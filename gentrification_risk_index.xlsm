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C:\Users\ramra\OneDrive\Desktop\Individual Gentrification Project\gentrification-risk-index\"/>
    </mc:Choice>
  </mc:AlternateContent>
  <xr:revisionPtr revIDLastSave="0" documentId="13_ncr:1_{BF6A7666-8A35-4760-AB95-C889C1782AA2}" xr6:coauthVersionLast="47" xr6:coauthVersionMax="47" xr10:uidLastSave="{00000000-0000-0000-0000-000000000000}"/>
  <bookViews>
    <workbookView xWindow="-110" yWindow="-110" windowWidth="19420" windowHeight="11500" xr2:uid="{0B6FBAD5-73A5-4EC5-9B05-79911AEEB115}"/>
  </bookViews>
  <sheets>
    <sheet name="Project Journal" sheetId="1" r:id="rId1"/>
    <sheet name="Indicator ranking" sheetId="6" r:id="rId2"/>
    <sheet name="Indicator Allignment" sheetId="60" r:id="rId3"/>
    <sheet name="2023 Z Scores" sheetId="64" r:id="rId4"/>
    <sheet name="Delta Z Scores" sheetId="65" r:id="rId5"/>
    <sheet name="Forecast Z Scores" sheetId="66" r:id="rId6"/>
    <sheet name="Composite Gentrification Score" sheetId="67" r:id="rId7"/>
  </sheets>
  <definedNames>
    <definedName name="_xleta.SUM" hidden="1" xlm="1">#NAME?</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67" l="1"/>
  <c r="F3" i="67"/>
  <c r="E2" i="67"/>
  <c r="E3" i="67"/>
  <c r="E4" i="67"/>
  <c r="E5" i="67"/>
  <c r="E6" i="67"/>
  <c r="E7" i="67"/>
  <c r="E8" i="67"/>
  <c r="E9" i="67"/>
  <c r="E10" i="67"/>
  <c r="E11" i="67"/>
  <c r="E12" i="67"/>
  <c r="E13" i="67"/>
  <c r="E14" i="67"/>
  <c r="E15" i="67"/>
  <c r="E16" i="67"/>
  <c r="E17" i="67"/>
  <c r="E18" i="67"/>
  <c r="E19" i="67"/>
  <c r="E20" i="67"/>
  <c r="E21" i="67"/>
  <c r="E22" i="67"/>
  <c r="E23" i="67"/>
  <c r="E24" i="67"/>
  <c r="E25" i="67"/>
  <c r="E26" i="67"/>
  <c r="E27" i="67"/>
  <c r="E28" i="67"/>
  <c r="E29" i="67"/>
  <c r="E30" i="67"/>
  <c r="E31" i="67"/>
  <c r="E32" i="67"/>
  <c r="E33" i="67"/>
  <c r="E34" i="67"/>
  <c r="E35" i="67"/>
  <c r="E36" i="67"/>
  <c r="E37" i="67"/>
  <c r="E38" i="67"/>
  <c r="E39" i="67"/>
  <c r="E40" i="67"/>
  <c r="E41" i="67"/>
  <c r="E42" i="67"/>
  <c r="E43" i="67"/>
  <c r="E44" i="67"/>
  <c r="E45" i="67"/>
  <c r="E46" i="67"/>
  <c r="E47" i="67"/>
  <c r="E48" i="67"/>
  <c r="E49" i="67"/>
  <c r="E50" i="67"/>
  <c r="E51" i="67"/>
  <c r="E52" i="67"/>
  <c r="E53" i="67"/>
  <c r="E54" i="67"/>
  <c r="E55" i="67"/>
  <c r="E56" i="67"/>
  <c r="E57" i="67"/>
  <c r="E58" i="67"/>
  <c r="E59" i="67"/>
  <c r="E60" i="67"/>
  <c r="E61" i="67"/>
  <c r="E62" i="67"/>
  <c r="E63" i="67"/>
  <c r="E64" i="67"/>
  <c r="E65" i="67"/>
  <c r="E66" i="67"/>
  <c r="E67" i="67"/>
  <c r="E68" i="67"/>
  <c r="E69" i="67"/>
  <c r="E70" i="67"/>
  <c r="E71" i="67"/>
  <c r="E72" i="67"/>
  <c r="E73" i="67"/>
  <c r="E74" i="67"/>
  <c r="E75" i="67"/>
  <c r="E76" i="67"/>
  <c r="E77" i="67"/>
  <c r="E78" i="67"/>
  <c r="E79" i="67"/>
  <c r="E80" i="67"/>
  <c r="E81" i="67"/>
  <c r="E82" i="67"/>
  <c r="E83" i="67"/>
  <c r="E84" i="67"/>
  <c r="E85" i="67"/>
  <c r="E86" i="67"/>
  <c r="E87" i="67"/>
  <c r="E88" i="67"/>
  <c r="E89" i="67"/>
  <c r="E90" i="67"/>
  <c r="E91" i="67"/>
  <c r="E92" i="67"/>
  <c r="E93" i="67"/>
  <c r="E94" i="67"/>
  <c r="E95" i="67"/>
  <c r="E96" i="67"/>
  <c r="E97" i="67"/>
  <c r="E98" i="67"/>
  <c r="E99" i="67"/>
  <c r="E100" i="67"/>
  <c r="E101" i="67"/>
  <c r="E102" i="67"/>
  <c r="E103" i="67"/>
  <c r="E104" i="67"/>
  <c r="E105" i="67"/>
  <c r="E106" i="67"/>
  <c r="E107" i="67"/>
  <c r="E108" i="67"/>
  <c r="E109" i="67"/>
  <c r="E110" i="67"/>
  <c r="E111" i="67"/>
  <c r="E112" i="67"/>
  <c r="E113" i="67"/>
  <c r="E114" i="67"/>
  <c r="E115" i="67"/>
  <c r="E116" i="67"/>
  <c r="E117" i="67"/>
  <c r="E118" i="67"/>
  <c r="E119" i="67"/>
  <c r="E120" i="67"/>
  <c r="E121" i="67"/>
  <c r="E122" i="67"/>
  <c r="E123" i="67"/>
  <c r="E124" i="67"/>
  <c r="E125" i="67"/>
  <c r="E126" i="67"/>
  <c r="E127" i="67"/>
  <c r="E128" i="67"/>
  <c r="E129" i="67"/>
  <c r="E130" i="67"/>
  <c r="E131" i="67"/>
  <c r="E132" i="67"/>
  <c r="E133" i="67"/>
  <c r="E134" i="67"/>
  <c r="E135" i="67"/>
  <c r="E136" i="67"/>
  <c r="E137" i="67"/>
  <c r="E138" i="67"/>
  <c r="E139" i="67"/>
  <c r="E140" i="67"/>
  <c r="E141" i="67"/>
  <c r="E142" i="67"/>
  <c r="E143" i="67"/>
  <c r="E144" i="67"/>
  <c r="E145" i="67"/>
  <c r="E146" i="67"/>
  <c r="E147" i="67"/>
  <c r="E148" i="67"/>
  <c r="E149" i="67"/>
  <c r="E150" i="67"/>
  <c r="E151" i="67"/>
  <c r="E152" i="67"/>
  <c r="E153" i="67"/>
  <c r="E154" i="67"/>
  <c r="E155" i="67"/>
  <c r="E156" i="67"/>
  <c r="E157" i="67"/>
  <c r="E158" i="67"/>
  <c r="E159" i="67"/>
  <c r="E160" i="67"/>
  <c r="E161" i="67"/>
  <c r="E162" i="67"/>
  <c r="E163" i="67"/>
  <c r="E164" i="67"/>
  <c r="E165" i="67"/>
  <c r="E166" i="67"/>
  <c r="E167" i="67"/>
  <c r="E168" i="67"/>
  <c r="E169" i="67"/>
  <c r="E170" i="67"/>
  <c r="E171" i="67"/>
  <c r="E172" i="67"/>
  <c r="E173" i="67"/>
  <c r="E174" i="67"/>
  <c r="E175" i="67"/>
  <c r="E176" i="67"/>
  <c r="E177" i="67"/>
  <c r="E178" i="67"/>
  <c r="E179" i="67"/>
  <c r="E180" i="67"/>
  <c r="E181" i="67"/>
  <c r="E182" i="67"/>
  <c r="E183" i="67"/>
  <c r="E184" i="67"/>
  <c r="E185" i="67"/>
  <c r="E186" i="67"/>
  <c r="E187" i="67"/>
  <c r="E188" i="67"/>
  <c r="E189" i="67"/>
  <c r="E190" i="67"/>
  <c r="E191" i="67"/>
  <c r="E192" i="67"/>
  <c r="E193" i="67"/>
  <c r="E194" i="67"/>
  <c r="E195" i="67"/>
  <c r="E196" i="67"/>
  <c r="E197" i="67"/>
  <c r="E198" i="67"/>
  <c r="E199" i="67"/>
  <c r="E200" i="67"/>
  <c r="E201" i="67"/>
  <c r="E202" i="67"/>
  <c r="E203" i="67"/>
  <c r="E204" i="67"/>
  <c r="E205" i="67"/>
  <c r="E206" i="67"/>
  <c r="E207" i="67"/>
  <c r="E208" i="67"/>
  <c r="E209" i="67"/>
  <c r="E210" i="67"/>
  <c r="E211" i="67"/>
  <c r="E212" i="67"/>
  <c r="E213" i="67"/>
  <c r="E214" i="67"/>
  <c r="E215" i="67"/>
  <c r="E216" i="67"/>
  <c r="E217" i="67"/>
  <c r="E218" i="67"/>
  <c r="E219" i="67"/>
  <c r="E220" i="67"/>
  <c r="E221" i="67"/>
  <c r="E222" i="67"/>
  <c r="E223" i="67"/>
  <c r="E224" i="67"/>
  <c r="E225" i="67"/>
  <c r="E226" i="67"/>
  <c r="E227" i="67"/>
  <c r="E228" i="67"/>
  <c r="E229" i="67"/>
  <c r="E230" i="67"/>
  <c r="E231" i="67"/>
  <c r="E232" i="67"/>
  <c r="E233" i="67"/>
  <c r="E234" i="67"/>
  <c r="E235" i="67"/>
  <c r="E236" i="67"/>
  <c r="E237" i="67"/>
  <c r="E238" i="67"/>
  <c r="E239" i="67"/>
  <c r="E240" i="67"/>
  <c r="E241" i="67"/>
  <c r="E242" i="67"/>
  <c r="E243" i="67"/>
  <c r="E244" i="67"/>
  <c r="E245" i="67"/>
  <c r="E246" i="67"/>
  <c r="E247" i="67"/>
  <c r="E248" i="67"/>
  <c r="E249" i="67"/>
  <c r="E250" i="67"/>
  <c r="E251" i="67"/>
  <c r="E252" i="67"/>
  <c r="E253" i="67"/>
  <c r="E254" i="67"/>
  <c r="E255" i="67"/>
  <c r="E256" i="67"/>
  <c r="E257" i="67"/>
  <c r="E258" i="67"/>
  <c r="E259" i="67"/>
  <c r="E260" i="67"/>
  <c r="E261" i="67"/>
  <c r="E262" i="67"/>
  <c r="E263" i="67"/>
  <c r="E264" i="67"/>
  <c r="E265" i="67"/>
  <c r="E266" i="67"/>
  <c r="E267" i="67"/>
  <c r="E268" i="67"/>
  <c r="E269" i="67"/>
  <c r="E270" i="67"/>
  <c r="E271" i="67"/>
  <c r="E272" i="67"/>
  <c r="E273" i="67"/>
  <c r="E274" i="67"/>
  <c r="E275" i="67"/>
  <c r="E276" i="67"/>
  <c r="E277" i="67"/>
  <c r="E278" i="67"/>
  <c r="E279" i="67"/>
  <c r="E280" i="67"/>
  <c r="E281" i="67"/>
  <c r="E282" i="67"/>
  <c r="E283" i="67"/>
  <c r="E284" i="67"/>
  <c r="E285" i="67"/>
  <c r="E286" i="67"/>
  <c r="E287" i="67"/>
  <c r="E288" i="67"/>
  <c r="E289" i="67"/>
  <c r="E290" i="67"/>
  <c r="E291" i="67"/>
  <c r="E292" i="67"/>
  <c r="E293" i="67"/>
  <c r="E294" i="67"/>
  <c r="E295" i="67"/>
  <c r="E296" i="67"/>
  <c r="E297" i="67"/>
  <c r="E298" i="67"/>
  <c r="E299" i="67"/>
  <c r="E300" i="67"/>
  <c r="E301" i="67"/>
  <c r="E302" i="67"/>
  <c r="E303" i="67"/>
  <c r="E304" i="67"/>
  <c r="E305" i="67"/>
  <c r="E306" i="67"/>
  <c r="E307" i="67"/>
  <c r="E308" i="67"/>
  <c r="E309" i="67"/>
  <c r="E310" i="67"/>
  <c r="E311" i="67"/>
  <c r="E312" i="67"/>
  <c r="E313" i="67"/>
  <c r="E314" i="67"/>
  <c r="E315" i="67"/>
  <c r="E316" i="67"/>
  <c r="E317" i="67"/>
  <c r="E318" i="67"/>
  <c r="E319" i="67"/>
  <c r="E320" i="67"/>
  <c r="E321" i="67"/>
  <c r="E322" i="67"/>
  <c r="E323" i="67"/>
  <c r="E324" i="67"/>
  <c r="E325" i="67"/>
  <c r="E326" i="67"/>
  <c r="E327" i="67"/>
  <c r="E328" i="67"/>
  <c r="E329" i="67"/>
  <c r="E330" i="67"/>
  <c r="E331" i="67"/>
  <c r="E332" i="67"/>
  <c r="E333" i="67"/>
  <c r="E334" i="67"/>
  <c r="E335" i="67"/>
  <c r="E336" i="67"/>
  <c r="E337" i="67"/>
  <c r="E338" i="67"/>
  <c r="E339" i="67"/>
  <c r="E340" i="67"/>
  <c r="E341" i="67"/>
  <c r="E342" i="67"/>
  <c r="E343" i="67"/>
  <c r="E344" i="67"/>
  <c r="E345" i="67"/>
  <c r="E346" i="67"/>
  <c r="E347" i="67"/>
  <c r="E348" i="67"/>
  <c r="E349" i="67"/>
  <c r="E350" i="67"/>
  <c r="E351" i="67"/>
  <c r="E352" i="67"/>
  <c r="E353" i="67"/>
  <c r="E354" i="67"/>
  <c r="E355" i="67"/>
  <c r="E356" i="67"/>
  <c r="E357" i="67"/>
  <c r="E358" i="67"/>
  <c r="E359" i="67"/>
  <c r="E360" i="67"/>
  <c r="E361" i="67"/>
  <c r="E362" i="67"/>
  <c r="E363" i="67"/>
  <c r="E364" i="67"/>
  <c r="E365" i="67"/>
  <c r="E366" i="67"/>
  <c r="E367" i="67"/>
  <c r="E368" i="67"/>
  <c r="E369" i="67"/>
  <c r="E370" i="67"/>
  <c r="E371" i="67"/>
  <c r="E372" i="67"/>
  <c r="E373" i="67"/>
  <c r="E374" i="67"/>
  <c r="E375" i="67"/>
  <c r="E376" i="67"/>
  <c r="E377" i="67"/>
  <c r="E378" i="67"/>
  <c r="E379" i="67"/>
  <c r="E380" i="67"/>
  <c r="E381" i="67"/>
  <c r="E382" i="67"/>
  <c r="E383" i="67"/>
  <c r="E384" i="67"/>
  <c r="E385" i="67"/>
  <c r="E386" i="67"/>
  <c r="E387" i="67"/>
  <c r="E388" i="67"/>
  <c r="E389" i="67"/>
  <c r="E390" i="67"/>
  <c r="E391" i="67"/>
  <c r="E392" i="67"/>
  <c r="E393" i="67"/>
  <c r="E394" i="67"/>
  <c r="E395" i="67"/>
  <c r="E396" i="67"/>
  <c r="E397" i="67"/>
  <c r="E398" i="67"/>
  <c r="E399" i="67"/>
  <c r="E400" i="67"/>
  <c r="E401" i="67"/>
  <c r="E402" i="67"/>
  <c r="E403" i="67"/>
  <c r="E404" i="67"/>
  <c r="E405" i="67"/>
  <c r="E406" i="67"/>
  <c r="E407" i="67"/>
  <c r="E408" i="67"/>
  <c r="E409" i="67"/>
  <c r="E410" i="67"/>
  <c r="E411" i="67"/>
  <c r="E412" i="67"/>
  <c r="E413" i="67"/>
  <c r="E414" i="67"/>
  <c r="E415" i="67"/>
  <c r="E416" i="67"/>
  <c r="E417" i="67"/>
  <c r="E418" i="67"/>
  <c r="E419" i="67"/>
  <c r="E420" i="67"/>
  <c r="E421" i="67"/>
  <c r="E422" i="67"/>
  <c r="E423" i="67"/>
  <c r="E424" i="67"/>
  <c r="E425" i="67"/>
  <c r="E426" i="67"/>
  <c r="E427" i="67"/>
  <c r="E428" i="67"/>
  <c r="E429" i="67"/>
  <c r="E430" i="67"/>
  <c r="E431" i="67"/>
  <c r="E432" i="67"/>
  <c r="E433" i="67"/>
  <c r="E434" i="67"/>
  <c r="E435" i="67"/>
  <c r="E436" i="67"/>
  <c r="E437" i="67"/>
  <c r="E438" i="67"/>
  <c r="E439" i="67"/>
  <c r="E440" i="67"/>
  <c r="E441" i="67"/>
  <c r="E442" i="67"/>
  <c r="E443" i="67"/>
  <c r="E444" i="67"/>
  <c r="E445" i="67"/>
  <c r="E446" i="67"/>
  <c r="E447" i="67"/>
  <c r="E448" i="67"/>
  <c r="E449" i="67"/>
  <c r="E450" i="67"/>
  <c r="E451" i="67"/>
  <c r="E452" i="67"/>
  <c r="E453" i="67"/>
  <c r="E454" i="67"/>
  <c r="E455" i="67"/>
  <c r="E456" i="67"/>
  <c r="E457" i="67"/>
  <c r="E458" i="67"/>
  <c r="E459" i="67"/>
  <c r="E460" i="67"/>
  <c r="E461" i="67"/>
  <c r="E462" i="67"/>
  <c r="E463" i="67"/>
  <c r="E464" i="67"/>
  <c r="E465" i="67"/>
  <c r="E466" i="67"/>
  <c r="E467" i="67"/>
  <c r="E468" i="67"/>
  <c r="E469" i="67"/>
  <c r="E470" i="67"/>
  <c r="E471" i="67"/>
  <c r="E472" i="67"/>
  <c r="E473" i="67"/>
  <c r="E474" i="67"/>
  <c r="E475" i="67"/>
  <c r="E476" i="67"/>
  <c r="E477" i="67"/>
  <c r="E478" i="67"/>
  <c r="E479" i="67"/>
  <c r="E480" i="67"/>
  <c r="E481" i="67"/>
  <c r="E482" i="67"/>
  <c r="E483" i="67"/>
  <c r="E484" i="67"/>
  <c r="E485" i="67"/>
  <c r="E486" i="67"/>
  <c r="E487" i="67"/>
  <c r="E488" i="67"/>
  <c r="E489" i="67"/>
  <c r="E490" i="67"/>
  <c r="E491" i="67"/>
  <c r="E492" i="67"/>
  <c r="E493" i="67"/>
  <c r="E494" i="67"/>
  <c r="E495" i="67"/>
  <c r="E496" i="67"/>
  <c r="E497" i="67"/>
  <c r="E498" i="67"/>
  <c r="E499" i="67"/>
  <c r="E500" i="67"/>
  <c r="E501" i="67"/>
  <c r="E502" i="67"/>
  <c r="E503" i="67"/>
  <c r="E504" i="67"/>
  <c r="E505" i="67"/>
  <c r="E506" i="67"/>
  <c r="E507" i="67"/>
  <c r="E508" i="67"/>
  <c r="E509" i="67"/>
  <c r="E510" i="67"/>
  <c r="E511" i="67"/>
  <c r="E512" i="67"/>
  <c r="E513" i="67"/>
  <c r="E514" i="67"/>
  <c r="E515" i="67"/>
  <c r="E516" i="67"/>
  <c r="E517" i="67"/>
  <c r="E518" i="67"/>
  <c r="E519" i="67"/>
  <c r="E520" i="67"/>
  <c r="E521" i="67"/>
  <c r="E522" i="67"/>
  <c r="E523" i="67"/>
  <c r="E524" i="67"/>
  <c r="E525" i="67"/>
  <c r="E526" i="67"/>
  <c r="E527" i="67"/>
  <c r="E528" i="67"/>
  <c r="E529" i="67"/>
  <c r="E530" i="67"/>
  <c r="E531" i="67"/>
  <c r="E532" i="67"/>
  <c r="E533" i="67"/>
  <c r="E534" i="67"/>
  <c r="E535" i="67"/>
  <c r="E536" i="67"/>
  <c r="E537" i="67"/>
  <c r="E538" i="67"/>
  <c r="E539" i="67"/>
  <c r="E540" i="67"/>
  <c r="E541" i="67"/>
  <c r="E542" i="67"/>
  <c r="E543" i="67"/>
  <c r="E544" i="67"/>
  <c r="E545" i="67"/>
  <c r="E546" i="67"/>
  <c r="E547" i="67"/>
  <c r="E548" i="67"/>
  <c r="E549" i="67"/>
  <c r="E550" i="67"/>
  <c r="E551" i="67"/>
  <c r="E552" i="67"/>
  <c r="E553" i="67"/>
  <c r="E554" i="67"/>
  <c r="E555" i="67"/>
  <c r="E556" i="67"/>
  <c r="E557" i="67"/>
  <c r="E558" i="67"/>
  <c r="E559" i="67"/>
  <c r="E560" i="67"/>
  <c r="E561" i="67"/>
  <c r="E562" i="67"/>
  <c r="E563" i="67"/>
  <c r="E564" i="67"/>
  <c r="E565" i="67"/>
  <c r="E566" i="67"/>
  <c r="E567" i="67"/>
  <c r="E568" i="67"/>
  <c r="E569" i="67"/>
  <c r="E570" i="67"/>
  <c r="E571" i="67"/>
  <c r="E572" i="67"/>
  <c r="E573" i="67"/>
  <c r="E574" i="67"/>
  <c r="E575" i="67"/>
  <c r="E576" i="67"/>
  <c r="E577" i="67"/>
  <c r="E578" i="67"/>
  <c r="E579" i="67"/>
  <c r="E580" i="67"/>
  <c r="E581" i="67"/>
  <c r="E582" i="67"/>
  <c r="E583" i="67"/>
  <c r="E584" i="67"/>
  <c r="E585" i="67"/>
  <c r="E586" i="67"/>
  <c r="E587" i="67"/>
  <c r="E588" i="67"/>
  <c r="E589" i="67"/>
  <c r="E590" i="67"/>
  <c r="E591" i="67"/>
  <c r="E592" i="67"/>
  <c r="E593" i="67"/>
  <c r="E594" i="67"/>
  <c r="E595" i="67"/>
  <c r="E596" i="67"/>
  <c r="E597" i="67"/>
  <c r="E598" i="67"/>
  <c r="E599" i="67"/>
  <c r="E600" i="67"/>
  <c r="E601" i="67"/>
  <c r="E602" i="67"/>
  <c r="E603" i="67"/>
  <c r="E604" i="67"/>
  <c r="E605" i="67"/>
  <c r="E606" i="67"/>
  <c r="E607" i="67"/>
  <c r="E608" i="67"/>
  <c r="E609" i="67"/>
  <c r="E610" i="67"/>
  <c r="E611" i="67"/>
  <c r="E612" i="67"/>
  <c r="E613" i="67"/>
  <c r="E614" i="67"/>
  <c r="E615" i="67"/>
  <c r="E616" i="67"/>
  <c r="E617" i="67"/>
  <c r="E618" i="67"/>
  <c r="E619" i="67"/>
  <c r="E620" i="67"/>
  <c r="E621" i="67"/>
  <c r="E622" i="67"/>
  <c r="E623" i="67"/>
  <c r="E624" i="67"/>
  <c r="E625" i="67"/>
  <c r="E626" i="67"/>
  <c r="E627" i="67"/>
  <c r="E628" i="67"/>
  <c r="E629" i="67"/>
  <c r="E630" i="67"/>
  <c r="E631" i="67"/>
  <c r="E632" i="67"/>
  <c r="E633" i="67"/>
  <c r="E634" i="67"/>
  <c r="E635" i="67"/>
  <c r="E636" i="67"/>
  <c r="E637" i="67"/>
  <c r="E638" i="67"/>
  <c r="E639" i="67"/>
  <c r="E640" i="67"/>
  <c r="E641" i="67"/>
  <c r="E642" i="67"/>
  <c r="E643" i="67"/>
  <c r="E644" i="67"/>
  <c r="E645" i="67"/>
  <c r="E646" i="67"/>
  <c r="E647" i="67"/>
  <c r="E648" i="67"/>
  <c r="E649" i="67"/>
  <c r="E650" i="67"/>
  <c r="E651" i="67"/>
  <c r="E652" i="67"/>
  <c r="E653" i="67"/>
  <c r="E654" i="67"/>
  <c r="E655" i="67"/>
  <c r="E656" i="67"/>
  <c r="E657" i="67"/>
  <c r="E658" i="67"/>
  <c r="E659" i="67"/>
  <c r="E660" i="67"/>
  <c r="E661" i="67"/>
  <c r="E662" i="67"/>
  <c r="E663" i="67"/>
  <c r="E664" i="67"/>
  <c r="E665" i="67"/>
  <c r="E666" i="67"/>
  <c r="E667" i="67"/>
  <c r="E668" i="67"/>
  <c r="E669" i="67"/>
  <c r="E670" i="67"/>
  <c r="E671" i="67"/>
  <c r="E672" i="67"/>
  <c r="E673" i="67"/>
  <c r="E674" i="67"/>
  <c r="E675" i="67"/>
  <c r="E676" i="67"/>
  <c r="E677" i="67"/>
  <c r="E678" i="67"/>
  <c r="E679" i="67"/>
  <c r="E680" i="67"/>
  <c r="E681" i="67"/>
  <c r="E682" i="67"/>
  <c r="E683" i="67"/>
  <c r="E684" i="67"/>
  <c r="E685" i="67"/>
  <c r="E686" i="67"/>
  <c r="E687" i="67"/>
  <c r="E688" i="67"/>
  <c r="E689" i="67"/>
  <c r="E690" i="67"/>
  <c r="E691" i="67"/>
  <c r="E692" i="67"/>
  <c r="E693" i="67"/>
  <c r="E694" i="67"/>
  <c r="E695" i="67"/>
  <c r="E696" i="67"/>
  <c r="E697" i="67"/>
  <c r="E698" i="67"/>
  <c r="E699" i="67"/>
  <c r="E700" i="67"/>
  <c r="E701" i="67"/>
  <c r="E702" i="67"/>
  <c r="E703" i="67"/>
  <c r="E704" i="67"/>
  <c r="E705" i="67"/>
  <c r="E706" i="67"/>
  <c r="E707" i="67"/>
  <c r="E708" i="67"/>
  <c r="E709" i="67"/>
  <c r="E710" i="67"/>
  <c r="E711" i="67"/>
  <c r="E712" i="67"/>
  <c r="E713" i="67"/>
  <c r="E714" i="67"/>
  <c r="E715" i="67"/>
  <c r="E716" i="67"/>
  <c r="E717" i="67"/>
  <c r="E718" i="67"/>
  <c r="E719" i="67"/>
  <c r="E720" i="67"/>
  <c r="E721" i="67"/>
  <c r="E722" i="67"/>
  <c r="E723" i="67"/>
  <c r="E724" i="67"/>
  <c r="E725" i="67"/>
  <c r="E726" i="67"/>
  <c r="E727" i="67"/>
  <c r="E728" i="67"/>
  <c r="E729" i="67"/>
  <c r="E730" i="67"/>
  <c r="E731" i="67"/>
  <c r="E732" i="67"/>
  <c r="E733" i="67"/>
  <c r="E734" i="67"/>
  <c r="E735" i="67"/>
  <c r="E736" i="67"/>
  <c r="E737" i="67"/>
  <c r="E738" i="67"/>
  <c r="E739" i="67"/>
  <c r="E740" i="67"/>
  <c r="E741" i="67"/>
  <c r="E742" i="67"/>
  <c r="E743" i="67"/>
  <c r="E744" i="67"/>
  <c r="E745" i="67"/>
  <c r="E746" i="67"/>
  <c r="E747" i="67"/>
  <c r="E748" i="67"/>
  <c r="E749" i="67"/>
  <c r="E750" i="67"/>
  <c r="E751" i="67"/>
  <c r="E752" i="67"/>
  <c r="E753" i="67"/>
  <c r="E754" i="67"/>
  <c r="E755" i="67"/>
  <c r="E756" i="67"/>
  <c r="E757" i="67"/>
  <c r="E758" i="67"/>
  <c r="E759" i="67"/>
  <c r="E760" i="67"/>
  <c r="E761" i="67"/>
  <c r="E762" i="67"/>
  <c r="E763" i="67"/>
  <c r="E764" i="67"/>
  <c r="E765" i="67"/>
  <c r="E766" i="67"/>
  <c r="E767" i="67"/>
  <c r="E768" i="67"/>
  <c r="E769" i="67"/>
  <c r="E770" i="67"/>
  <c r="E771" i="67"/>
  <c r="E772" i="67"/>
  <c r="E773" i="67"/>
  <c r="E774" i="67"/>
  <c r="E775" i="67"/>
  <c r="E776" i="67"/>
  <c r="E777" i="67"/>
  <c r="E778" i="67"/>
  <c r="E779" i="67"/>
  <c r="E780" i="67"/>
  <c r="E781" i="67"/>
  <c r="E782" i="67"/>
  <c r="E783" i="67"/>
  <c r="E784" i="67"/>
  <c r="E785" i="67"/>
  <c r="E786" i="67"/>
  <c r="E787" i="67"/>
  <c r="E788" i="67"/>
  <c r="E789" i="67"/>
  <c r="E790" i="67"/>
  <c r="E791" i="67"/>
  <c r="E792" i="67"/>
  <c r="E793" i="67"/>
  <c r="E794" i="67"/>
  <c r="E795" i="67"/>
  <c r="E796" i="67"/>
  <c r="E797" i="67"/>
  <c r="E798" i="67"/>
  <c r="E799" i="67"/>
  <c r="E800" i="67"/>
  <c r="E801" i="67"/>
  <c r="E802" i="67"/>
  <c r="E803" i="67"/>
  <c r="E804" i="67"/>
  <c r="E805" i="67"/>
  <c r="E806" i="67"/>
  <c r="E807" i="67"/>
  <c r="E808" i="67"/>
  <c r="E809" i="67"/>
  <c r="E810" i="67"/>
  <c r="E811" i="67"/>
  <c r="E812" i="67"/>
  <c r="E813" i="67"/>
  <c r="E814" i="67"/>
  <c r="E815" i="67"/>
  <c r="E816" i="67"/>
  <c r="E817" i="67"/>
  <c r="E818" i="67"/>
  <c r="E819" i="67"/>
  <c r="E820" i="67"/>
  <c r="E821" i="67"/>
  <c r="E822" i="67"/>
  <c r="E823" i="67"/>
  <c r="E824" i="67"/>
  <c r="E825" i="67"/>
  <c r="E826" i="67"/>
  <c r="E827" i="67"/>
  <c r="E828" i="67"/>
  <c r="E829" i="67"/>
  <c r="E830" i="67"/>
  <c r="E831" i="67"/>
  <c r="E832" i="67"/>
  <c r="E833" i="67"/>
  <c r="E834" i="67"/>
  <c r="E835" i="67"/>
  <c r="E836" i="67"/>
  <c r="E837" i="67"/>
  <c r="E838" i="67"/>
  <c r="E839" i="67"/>
  <c r="E840" i="67"/>
  <c r="E841" i="67"/>
  <c r="E842" i="67"/>
  <c r="E843" i="67"/>
  <c r="E844" i="67"/>
  <c r="E845" i="67"/>
  <c r="E846" i="67"/>
  <c r="E847" i="67"/>
  <c r="E848" i="67"/>
  <c r="E849" i="67"/>
  <c r="E850" i="67"/>
  <c r="E851" i="67"/>
  <c r="E852" i="67"/>
  <c r="E853" i="67"/>
  <c r="E854" i="67"/>
  <c r="E855" i="67"/>
  <c r="E856" i="67"/>
  <c r="E857" i="67"/>
  <c r="E858" i="67"/>
  <c r="E859" i="67"/>
  <c r="E860" i="67"/>
  <c r="E861" i="67"/>
  <c r="E862" i="67"/>
  <c r="E863" i="67"/>
  <c r="E864" i="67"/>
  <c r="E865" i="67"/>
  <c r="E866" i="67"/>
  <c r="E867" i="67"/>
  <c r="E868" i="67"/>
  <c r="E869" i="67"/>
  <c r="E870" i="67"/>
  <c r="E871" i="67"/>
  <c r="E872" i="67"/>
  <c r="E873" i="67"/>
  <c r="E874" i="67"/>
  <c r="E875" i="67"/>
  <c r="E876" i="67"/>
  <c r="E877" i="67"/>
  <c r="E878" i="67"/>
  <c r="E879" i="67"/>
  <c r="E880" i="67"/>
  <c r="E881" i="67"/>
  <c r="E882" i="67"/>
  <c r="E883" i="67"/>
  <c r="E884" i="67"/>
  <c r="E885" i="67"/>
  <c r="E886" i="67"/>
  <c r="E887" i="67"/>
  <c r="E888" i="67"/>
  <c r="E889" i="67"/>
  <c r="E890" i="67"/>
  <c r="E891" i="67"/>
  <c r="E892" i="67"/>
  <c r="E893" i="67"/>
  <c r="E894" i="67"/>
  <c r="E895" i="67"/>
  <c r="E896" i="67"/>
  <c r="E897" i="67"/>
  <c r="E898" i="67"/>
  <c r="E899" i="67"/>
  <c r="E900" i="67"/>
  <c r="E901" i="67"/>
  <c r="E902" i="67"/>
  <c r="E903" i="67"/>
  <c r="E904" i="67"/>
  <c r="E905" i="67"/>
  <c r="E906" i="67"/>
  <c r="E907" i="67"/>
  <c r="E908" i="67"/>
  <c r="E909" i="67"/>
  <c r="E910" i="67"/>
  <c r="E911" i="67"/>
  <c r="E912" i="67"/>
  <c r="E913" i="67"/>
  <c r="E914" i="67"/>
  <c r="E915" i="67"/>
  <c r="E916" i="67"/>
  <c r="E917" i="67"/>
  <c r="E918" i="67"/>
  <c r="E919" i="67"/>
  <c r="E920" i="67"/>
  <c r="E921" i="67"/>
  <c r="E922" i="67"/>
  <c r="E923" i="67"/>
  <c r="E924" i="67"/>
  <c r="E925" i="67"/>
  <c r="E926" i="67"/>
  <c r="E927" i="67"/>
  <c r="E928" i="67"/>
  <c r="E929" i="67"/>
  <c r="E930" i="67"/>
  <c r="E931" i="67"/>
  <c r="E932" i="67"/>
  <c r="E933" i="67"/>
  <c r="E934" i="67"/>
  <c r="E935" i="67"/>
  <c r="E936" i="67"/>
  <c r="E937" i="67"/>
  <c r="E938" i="67"/>
  <c r="E939" i="67"/>
  <c r="E940" i="67"/>
  <c r="E941" i="67"/>
  <c r="E942" i="67"/>
  <c r="E943" i="67"/>
  <c r="E944" i="67"/>
  <c r="E945" i="67"/>
  <c r="E946" i="67"/>
  <c r="E947" i="67"/>
  <c r="E948" i="67"/>
  <c r="E949" i="67"/>
  <c r="E950" i="67"/>
  <c r="E951" i="67"/>
  <c r="E952" i="67"/>
  <c r="E953" i="67"/>
  <c r="E954" i="67"/>
  <c r="E955" i="67"/>
  <c r="E956" i="67"/>
  <c r="E957" i="67"/>
  <c r="E958" i="67"/>
  <c r="E959" i="67"/>
  <c r="E960" i="67"/>
  <c r="E961" i="67"/>
  <c r="E962" i="67"/>
  <c r="E963" i="67"/>
  <c r="E964" i="67"/>
  <c r="E965" i="67"/>
  <c r="E966" i="67"/>
  <c r="E967" i="67"/>
  <c r="E968" i="67"/>
  <c r="E969" i="67"/>
  <c r="E970" i="67"/>
  <c r="E971" i="67"/>
  <c r="E972" i="67"/>
  <c r="E973" i="67"/>
  <c r="E974" i="67"/>
  <c r="E975" i="67"/>
  <c r="E976" i="67"/>
  <c r="E977" i="67"/>
  <c r="E978" i="67"/>
  <c r="E979" i="67"/>
  <c r="E980" i="67"/>
  <c r="E981" i="67"/>
  <c r="E982" i="67"/>
  <c r="E983" i="67"/>
  <c r="E984" i="67"/>
  <c r="E985" i="67"/>
  <c r="E986" i="67"/>
  <c r="E987" i="67"/>
  <c r="E988" i="67"/>
  <c r="E989" i="67"/>
  <c r="E990" i="67"/>
  <c r="E991" i="67"/>
  <c r="E992" i="67"/>
  <c r="E993" i="67"/>
  <c r="E994" i="67"/>
  <c r="E995" i="67"/>
  <c r="E996" i="67"/>
  <c r="E997" i="67"/>
  <c r="E998" i="67"/>
  <c r="E999" i="67"/>
  <c r="E1000" i="67"/>
  <c r="E1001" i="67"/>
  <c r="E1002" i="67"/>
  <c r="E1003" i="67"/>
  <c r="E1004" i="67"/>
  <c r="E1005" i="67"/>
  <c r="E1006" i="67"/>
  <c r="E1007" i="67"/>
  <c r="E1008" i="67"/>
  <c r="E1009" i="67"/>
  <c r="E1010" i="67"/>
  <c r="E1011" i="67"/>
  <c r="E1012" i="67"/>
  <c r="E1013" i="67"/>
  <c r="E1014" i="67"/>
  <c r="E1015" i="67"/>
  <c r="E1016" i="67"/>
  <c r="E1017" i="67"/>
  <c r="E1018" i="67"/>
  <c r="E1019" i="67"/>
  <c r="E1020" i="67"/>
  <c r="E1021" i="67"/>
  <c r="E1022" i="67"/>
  <c r="E1023" i="67"/>
  <c r="E1024" i="67"/>
  <c r="E1025" i="67"/>
  <c r="E1026" i="67"/>
  <c r="E1027" i="67"/>
  <c r="E1028" i="67"/>
  <c r="E1029" i="67"/>
  <c r="E1030" i="67"/>
  <c r="E1031" i="67"/>
  <c r="E1032" i="67"/>
  <c r="E1033" i="67"/>
  <c r="E1034" i="67"/>
  <c r="E1035" i="67"/>
  <c r="E1036" i="67"/>
  <c r="E1037" i="67"/>
  <c r="E1038" i="67"/>
  <c r="E1039" i="67"/>
  <c r="E1040" i="67"/>
  <c r="E1041" i="67"/>
  <c r="E1042" i="67"/>
  <c r="E1043" i="67"/>
  <c r="E1044" i="67"/>
  <c r="E1045" i="67"/>
  <c r="E1046" i="67"/>
  <c r="E1047" i="67"/>
  <c r="E1048" i="67"/>
  <c r="E1049" i="67"/>
  <c r="E1050" i="67"/>
  <c r="E1051" i="67"/>
  <c r="E1052" i="67"/>
  <c r="E1053" i="67"/>
  <c r="E1054" i="67"/>
  <c r="E1055" i="67"/>
  <c r="E1056" i="67"/>
  <c r="E1057" i="67"/>
  <c r="E1058" i="67"/>
  <c r="E1059" i="67"/>
  <c r="E1060" i="67"/>
  <c r="E1061" i="67"/>
  <c r="E1062" i="67"/>
  <c r="E1063" i="67"/>
  <c r="E1064" i="67"/>
  <c r="E1065" i="67"/>
  <c r="E1066" i="67"/>
  <c r="E1067" i="67"/>
  <c r="E1068" i="67"/>
  <c r="E1069" i="67"/>
  <c r="E1070" i="67"/>
  <c r="E1071" i="67"/>
  <c r="E1072" i="67"/>
  <c r="E1073" i="67"/>
  <c r="E1074" i="67"/>
  <c r="E1075" i="67"/>
  <c r="E1076" i="67"/>
  <c r="E1077" i="67"/>
  <c r="E1078" i="67"/>
  <c r="E1079" i="67"/>
  <c r="E1080" i="67"/>
  <c r="E1081" i="67"/>
  <c r="E1082" i="67"/>
  <c r="E1083" i="67"/>
  <c r="E1084" i="67"/>
  <c r="E1085" i="67"/>
  <c r="E1086" i="67"/>
  <c r="E1087" i="67"/>
  <c r="E1088" i="67"/>
  <c r="E1089" i="67"/>
  <c r="E1090" i="67"/>
  <c r="E1091" i="67"/>
  <c r="E1092" i="67"/>
  <c r="E1093" i="67"/>
  <c r="E1094" i="67"/>
  <c r="E1095" i="67"/>
  <c r="E1096" i="67"/>
  <c r="E1097" i="67"/>
  <c r="E1098" i="67"/>
  <c r="E1099" i="67"/>
  <c r="E1100" i="67"/>
  <c r="E1101" i="67"/>
  <c r="E1102" i="67"/>
  <c r="E1103" i="67"/>
  <c r="E1104" i="67"/>
  <c r="E1105" i="67"/>
  <c r="E1106" i="67"/>
  <c r="E1107" i="67"/>
  <c r="E1108" i="67"/>
  <c r="E1109" i="67"/>
  <c r="E1110" i="67"/>
  <c r="E1111" i="67"/>
  <c r="E1112" i="67"/>
  <c r="E1113" i="67"/>
  <c r="E1114" i="67"/>
  <c r="E1115" i="67"/>
  <c r="E1116" i="67"/>
  <c r="E1117" i="67"/>
  <c r="E1118" i="67"/>
  <c r="E1119" i="67"/>
  <c r="E1120" i="67"/>
  <c r="E1121" i="67"/>
  <c r="E1122" i="67"/>
  <c r="E1123" i="67"/>
  <c r="E1124" i="67"/>
  <c r="E1125" i="67"/>
  <c r="E1126" i="67"/>
  <c r="E1127" i="67"/>
  <c r="E1128" i="67"/>
  <c r="E1129" i="67"/>
  <c r="E1130" i="67"/>
  <c r="E1131" i="67"/>
  <c r="E1132" i="67"/>
  <c r="E1133" i="67"/>
  <c r="E1134" i="67"/>
  <c r="E1135" i="67"/>
  <c r="E1136" i="67"/>
  <c r="E1137" i="67"/>
  <c r="E1138" i="67"/>
  <c r="E1139" i="67"/>
  <c r="E1140" i="67"/>
  <c r="E1141" i="67"/>
  <c r="E1142" i="67"/>
  <c r="E1143" i="67"/>
  <c r="E1144" i="67"/>
  <c r="E1145" i="67"/>
  <c r="E1146" i="67"/>
  <c r="E1147" i="67"/>
  <c r="E1148" i="67"/>
  <c r="E1149" i="67"/>
  <c r="E1150" i="67"/>
  <c r="E1151" i="67"/>
  <c r="E1152" i="67"/>
  <c r="E1153" i="67"/>
  <c r="E1154" i="67"/>
  <c r="E1155" i="67"/>
  <c r="E1156" i="67"/>
  <c r="E1157" i="67"/>
  <c r="E1158" i="67"/>
  <c r="E1159" i="67"/>
  <c r="E1160" i="67"/>
  <c r="E1161" i="67"/>
  <c r="E1162" i="67"/>
  <c r="E1163" i="67"/>
  <c r="E1164" i="67"/>
  <c r="E1165" i="67"/>
  <c r="E1166" i="67"/>
  <c r="E1167" i="67"/>
  <c r="E1168" i="67"/>
  <c r="E1169" i="67"/>
  <c r="E1170" i="67"/>
  <c r="E1171" i="67"/>
  <c r="E1172" i="67"/>
  <c r="E1173" i="67"/>
  <c r="E1174" i="67"/>
  <c r="E1175" i="67"/>
  <c r="E1176" i="67"/>
  <c r="E1177" i="67"/>
  <c r="E1178" i="67"/>
  <c r="E1179" i="67"/>
  <c r="E1180" i="67"/>
  <c r="E1181" i="67"/>
  <c r="E1182" i="67"/>
  <c r="E1183" i="67"/>
  <c r="E1184" i="67"/>
  <c r="E1185" i="67"/>
  <c r="E1186" i="67"/>
  <c r="E1187" i="67"/>
  <c r="E1188" i="67"/>
  <c r="E1189" i="67"/>
  <c r="E1190" i="67"/>
  <c r="E1191" i="67"/>
  <c r="E1192" i="67"/>
  <c r="E1193" i="67"/>
  <c r="E1194" i="67"/>
  <c r="E1195" i="67"/>
  <c r="E1196" i="67"/>
  <c r="E1197" i="67"/>
  <c r="E1198" i="67"/>
  <c r="E1199" i="67"/>
  <c r="E1200" i="67"/>
  <c r="E1201" i="67"/>
  <c r="E1202" i="67"/>
  <c r="E1203" i="67"/>
  <c r="E1204" i="67"/>
  <c r="E1205" i="67"/>
  <c r="E1206" i="67"/>
  <c r="E1207" i="67"/>
  <c r="E1208" i="67"/>
  <c r="E1209" i="67"/>
  <c r="E1210" i="67"/>
  <c r="E1211" i="67"/>
  <c r="E1212" i="67"/>
  <c r="E1213" i="67"/>
  <c r="E1214" i="67"/>
  <c r="E1215" i="67"/>
  <c r="E1216" i="67"/>
  <c r="E1217" i="67"/>
  <c r="E1218" i="67"/>
  <c r="E1219" i="67"/>
  <c r="E1220" i="67"/>
  <c r="E1221" i="67"/>
  <c r="E1222" i="67"/>
  <c r="E1223" i="67"/>
  <c r="E1224" i="67"/>
  <c r="E1225" i="67"/>
  <c r="E1226" i="67"/>
  <c r="E1227" i="67"/>
  <c r="E1228" i="67"/>
  <c r="E1229" i="67"/>
  <c r="E1230" i="67"/>
  <c r="E1231" i="67"/>
  <c r="E1232" i="67"/>
  <c r="E1233" i="67"/>
  <c r="E1234" i="67"/>
  <c r="E1235" i="67"/>
  <c r="E1236" i="67"/>
  <c r="E1237" i="67"/>
  <c r="E1238" i="67"/>
  <c r="E1239" i="67"/>
  <c r="E1240" i="67"/>
  <c r="E1241" i="67"/>
  <c r="E1242" i="67"/>
  <c r="E1243" i="67"/>
  <c r="E1244" i="67"/>
  <c r="E1245" i="67"/>
  <c r="E1246" i="67"/>
  <c r="E1247" i="67"/>
  <c r="E1248" i="67"/>
  <c r="E1249" i="67"/>
  <c r="E1250" i="67"/>
  <c r="E1251" i="67"/>
  <c r="E1252" i="67"/>
  <c r="E1253" i="67"/>
  <c r="E1254" i="67"/>
  <c r="E1255" i="67"/>
  <c r="E1256" i="67"/>
  <c r="E1257" i="67"/>
  <c r="E1258" i="67"/>
  <c r="E1259" i="67"/>
  <c r="E1260" i="67"/>
  <c r="E1261" i="67"/>
  <c r="E1262" i="67"/>
  <c r="E1263" i="67"/>
  <c r="E1264" i="67"/>
  <c r="E1265" i="67"/>
  <c r="E1266" i="67"/>
  <c r="E1267" i="67"/>
  <c r="E1268" i="67"/>
  <c r="E1269" i="67"/>
  <c r="E1270" i="67"/>
  <c r="E1271" i="67"/>
  <c r="E1272" i="67"/>
  <c r="E1273" i="67"/>
  <c r="E1274" i="67"/>
  <c r="E1275" i="67"/>
  <c r="E1276" i="67"/>
  <c r="E1277" i="67"/>
  <c r="E1278" i="67"/>
  <c r="E1279" i="67"/>
  <c r="E1280" i="67"/>
  <c r="E1281" i="67"/>
  <c r="E1282" i="67"/>
  <c r="E1283" i="67"/>
  <c r="E1284" i="67"/>
  <c r="E1285" i="67"/>
  <c r="E1286" i="67"/>
  <c r="E1287" i="67"/>
  <c r="E1288" i="67"/>
  <c r="E1289" i="67"/>
  <c r="E1290" i="67"/>
  <c r="E1291" i="67"/>
  <c r="E1292" i="67"/>
  <c r="E1293" i="67"/>
  <c r="E1294" i="67"/>
  <c r="E1295" i="67"/>
  <c r="E1296" i="67"/>
  <c r="E1297" i="67"/>
  <c r="E1298" i="67"/>
  <c r="E1299" i="67"/>
  <c r="E1300" i="67"/>
  <c r="E1301" i="67"/>
  <c r="E1302" i="67"/>
  <c r="E1303" i="67"/>
  <c r="E1304" i="67"/>
  <c r="E1305" i="67"/>
  <c r="E1306" i="67"/>
  <c r="E1307" i="67"/>
  <c r="E1308" i="67"/>
  <c r="E1309" i="67"/>
  <c r="E1310" i="67"/>
  <c r="E1311" i="67"/>
  <c r="E1312" i="67"/>
  <c r="E1313" i="67"/>
  <c r="E1314" i="67"/>
  <c r="E1315" i="67"/>
  <c r="E1316" i="67"/>
  <c r="E1317" i="67"/>
  <c r="E1318" i="67"/>
  <c r="E1319" i="67"/>
  <c r="E1320" i="67"/>
  <c r="E1321" i="67"/>
  <c r="E1322" i="67"/>
  <c r="E1323" i="67"/>
  <c r="E1324" i="67"/>
  <c r="E1325" i="67"/>
  <c r="E1326" i="67"/>
  <c r="E1327" i="67"/>
  <c r="E1328" i="67"/>
  <c r="E1329" i="67"/>
  <c r="E1330" i="67"/>
  <c r="E1331" i="67"/>
  <c r="E1332" i="67"/>
  <c r="E1333" i="67"/>
  <c r="E1334" i="67"/>
  <c r="E1335" i="67"/>
  <c r="E1336" i="67"/>
  <c r="E1337" i="67"/>
  <c r="E1338" i="67"/>
  <c r="E1339" i="67"/>
  <c r="E1340" i="67"/>
  <c r="E1341" i="67"/>
  <c r="E1342" i="67"/>
  <c r="E1343" i="67"/>
  <c r="E1344" i="67"/>
  <c r="E1345" i="67"/>
  <c r="E1346" i="67"/>
  <c r="E1347" i="67"/>
  <c r="E1348" i="67"/>
  <c r="E1349" i="67"/>
  <c r="E1350" i="67"/>
  <c r="E1351" i="67"/>
  <c r="E1352" i="67"/>
  <c r="E1353" i="67"/>
  <c r="E1354" i="67"/>
  <c r="E1355" i="67"/>
  <c r="E1356" i="67"/>
  <c r="E1357" i="67"/>
  <c r="E1358" i="67"/>
  <c r="E1359" i="67"/>
  <c r="E1360" i="67"/>
  <c r="E1361" i="67"/>
  <c r="E1362" i="67"/>
  <c r="E1363" i="67"/>
  <c r="E1364" i="67"/>
  <c r="E1365" i="67"/>
  <c r="E1366" i="67"/>
  <c r="E1367" i="67"/>
  <c r="E1368" i="67"/>
  <c r="E1369" i="67"/>
  <c r="E1370" i="67"/>
  <c r="E1371" i="67"/>
  <c r="E1372" i="67"/>
  <c r="E1373" i="67"/>
  <c r="E1374" i="67"/>
  <c r="E1375" i="67"/>
  <c r="E1376" i="67"/>
  <c r="E1377" i="67"/>
  <c r="E1378" i="67"/>
  <c r="E1379" i="67"/>
  <c r="E1380" i="67"/>
  <c r="E1381" i="67"/>
  <c r="E1382" i="67"/>
  <c r="E1383" i="67"/>
  <c r="E1384" i="67"/>
  <c r="E1385" i="67"/>
  <c r="E1386" i="67"/>
  <c r="E1387" i="67"/>
  <c r="E1388" i="67"/>
  <c r="E1389" i="67"/>
  <c r="E1390" i="67"/>
  <c r="E1391" i="67"/>
  <c r="E1392" i="67"/>
  <c r="E1393" i="67"/>
  <c r="E1394" i="67"/>
  <c r="E1395" i="67"/>
  <c r="E1396" i="67"/>
  <c r="E1397" i="67"/>
  <c r="E1398" i="67"/>
  <c r="E1399" i="67"/>
  <c r="E1400" i="67"/>
  <c r="E1401" i="67"/>
  <c r="E1402" i="67"/>
  <c r="E1403" i="67"/>
  <c r="E1404" i="67"/>
  <c r="E1405" i="67"/>
  <c r="E1406" i="67"/>
  <c r="E1407" i="67"/>
  <c r="E1408" i="67"/>
  <c r="E1409" i="67"/>
  <c r="E1410" i="67"/>
  <c r="E1411" i="67"/>
  <c r="E1412" i="67"/>
  <c r="E1413" i="67"/>
  <c r="E1414" i="67"/>
  <c r="E1415" i="67"/>
  <c r="E1416" i="67"/>
  <c r="E1417" i="67"/>
  <c r="E1418" i="67"/>
  <c r="E1419" i="67"/>
  <c r="E1420" i="67"/>
  <c r="E1421" i="67"/>
  <c r="E1422" i="67"/>
  <c r="E1423" i="67"/>
  <c r="E1424" i="67"/>
  <c r="E1425" i="67"/>
  <c r="E1426" i="67"/>
  <c r="E1427" i="67"/>
  <c r="E1428" i="67"/>
  <c r="E1429" i="67"/>
  <c r="E1430" i="67"/>
  <c r="E1431" i="67"/>
  <c r="E1432" i="67"/>
  <c r="E1433" i="67"/>
  <c r="E1434" i="67"/>
  <c r="E1435" i="67"/>
  <c r="E1436" i="67"/>
  <c r="E1437" i="67"/>
  <c r="E1438" i="67"/>
  <c r="E1439" i="67"/>
  <c r="E1440" i="67"/>
  <c r="E1441" i="67"/>
  <c r="E1442" i="67"/>
  <c r="E1443" i="67"/>
  <c r="E1444" i="67"/>
  <c r="E1445" i="67"/>
  <c r="E1446" i="67"/>
  <c r="E1447" i="67"/>
  <c r="E1448" i="67"/>
  <c r="E1449" i="67"/>
  <c r="E1450" i="67"/>
  <c r="E1451" i="67"/>
  <c r="E1452" i="67"/>
  <c r="E1453" i="67"/>
  <c r="E1454" i="67"/>
  <c r="E1455" i="67"/>
  <c r="E1456" i="67"/>
  <c r="E1457" i="67"/>
  <c r="E1458" i="67"/>
  <c r="E1459" i="67"/>
  <c r="E1460" i="67"/>
  <c r="E1461" i="67"/>
  <c r="E1462" i="67"/>
  <c r="E1463" i="67"/>
  <c r="E1464" i="67"/>
  <c r="E1465" i="67"/>
  <c r="E1466" i="67"/>
  <c r="E1467" i="67"/>
  <c r="E1468" i="67"/>
  <c r="E1469" i="67"/>
  <c r="E1470" i="67"/>
  <c r="E1471" i="67"/>
  <c r="E1472" i="67"/>
  <c r="E1473" i="67"/>
  <c r="E1474" i="67"/>
  <c r="E1475" i="67"/>
  <c r="E1476" i="67"/>
  <c r="E1477" i="67"/>
  <c r="E1478" i="67"/>
  <c r="E1479" i="67"/>
  <c r="E1480" i="67"/>
  <c r="E1481" i="67"/>
  <c r="E1482" i="67"/>
  <c r="E1483" i="67"/>
  <c r="E1484" i="67"/>
  <c r="E1485" i="67"/>
  <c r="E1486" i="67"/>
  <c r="E1487" i="67"/>
  <c r="E1488" i="67"/>
  <c r="E1489" i="67"/>
  <c r="E1490" i="67"/>
  <c r="E1491" i="67"/>
  <c r="E1492" i="67"/>
  <c r="E1493" i="67"/>
  <c r="E1494" i="67"/>
  <c r="E1495" i="67"/>
  <c r="E1496" i="67"/>
  <c r="E1497" i="67"/>
  <c r="E1498" i="67"/>
  <c r="E1499" i="67"/>
  <c r="E1500" i="67"/>
  <c r="E1501" i="67"/>
  <c r="E1502" i="67"/>
  <c r="E1503" i="67"/>
  <c r="E1504" i="67"/>
  <c r="E1505" i="67"/>
  <c r="E1506" i="67"/>
  <c r="E1507" i="67"/>
  <c r="E1508" i="67"/>
  <c r="E1509" i="67"/>
  <c r="E1510" i="67"/>
  <c r="E1511" i="67"/>
  <c r="E1512" i="67"/>
  <c r="E1513" i="67"/>
  <c r="E1514" i="67"/>
  <c r="E1515" i="67"/>
  <c r="E1516" i="67"/>
  <c r="E1517" i="67"/>
  <c r="E1518" i="67"/>
  <c r="E1519" i="67"/>
  <c r="E1520" i="67"/>
  <c r="E1521" i="67"/>
  <c r="E1522" i="67"/>
  <c r="E1523" i="67"/>
  <c r="E1524" i="67"/>
  <c r="E1525" i="67"/>
  <c r="E1526" i="67"/>
  <c r="E1527" i="67"/>
  <c r="E1528" i="67"/>
  <c r="E1529" i="67"/>
  <c r="E1530" i="67"/>
  <c r="E1531" i="67"/>
  <c r="E1532" i="67"/>
  <c r="E1533" i="67"/>
  <c r="E1534" i="67"/>
  <c r="E1535" i="67"/>
  <c r="E1536" i="67"/>
  <c r="E1537" i="67"/>
  <c r="E1538" i="67"/>
  <c r="E1539" i="67"/>
  <c r="E1540" i="67"/>
  <c r="E1541" i="67"/>
  <c r="G4" i="67"/>
  <c r="G5" i="67"/>
  <c r="G6" i="67"/>
  <c r="G7" i="67"/>
  <c r="G8" i="67"/>
  <c r="G9" i="67"/>
  <c r="G10" i="67"/>
  <c r="G11" i="67"/>
  <c r="G12" i="67"/>
  <c r="G13" i="67"/>
  <c r="G14" i="67"/>
  <c r="G15" i="67"/>
  <c r="G16" i="67"/>
  <c r="G17" i="67"/>
  <c r="G18" i="67"/>
  <c r="G19" i="67"/>
  <c r="G20" i="67"/>
  <c r="G21" i="67"/>
  <c r="G22" i="67"/>
  <c r="G23" i="67"/>
  <c r="G24" i="67"/>
  <c r="G25" i="67"/>
  <c r="G26" i="67"/>
  <c r="G27" i="67"/>
  <c r="G28" i="67"/>
  <c r="G29" i="67"/>
  <c r="G30" i="67"/>
  <c r="G31" i="67"/>
  <c r="G32" i="67"/>
  <c r="G33" i="67"/>
  <c r="G34" i="67"/>
  <c r="G35" i="67"/>
  <c r="G36" i="67"/>
  <c r="G37" i="67"/>
  <c r="G38" i="67"/>
  <c r="G39" i="67"/>
  <c r="G40" i="67"/>
  <c r="G41" i="67"/>
  <c r="G42" i="67"/>
  <c r="G43" i="67"/>
  <c r="G44" i="67"/>
  <c r="G45" i="67"/>
  <c r="G46" i="67"/>
  <c r="G47" i="67"/>
  <c r="G48" i="67"/>
  <c r="G49" i="67"/>
  <c r="G50" i="67"/>
  <c r="G51" i="67"/>
  <c r="G52" i="67"/>
  <c r="G53" i="67"/>
  <c r="G54" i="67"/>
  <c r="G55" i="67"/>
  <c r="G56" i="67"/>
  <c r="G57" i="67"/>
  <c r="G58" i="67"/>
  <c r="G59" i="67"/>
  <c r="G60" i="67"/>
  <c r="G61" i="67"/>
  <c r="G62" i="67"/>
  <c r="G63" i="67"/>
  <c r="G64" i="67"/>
  <c r="G65" i="67"/>
  <c r="G66" i="67"/>
  <c r="G67" i="67"/>
  <c r="G68" i="67"/>
  <c r="G69" i="67"/>
  <c r="G70" i="67"/>
  <c r="G71" i="67"/>
  <c r="G72" i="67"/>
  <c r="G73" i="67"/>
  <c r="G74" i="67"/>
  <c r="G75" i="67"/>
  <c r="G76" i="67"/>
  <c r="G77" i="67"/>
  <c r="G78" i="67"/>
  <c r="G79" i="67"/>
  <c r="G80" i="67"/>
  <c r="G81" i="67"/>
  <c r="G82" i="67"/>
  <c r="G83" i="67"/>
  <c r="G84" i="67"/>
  <c r="G85" i="67"/>
  <c r="G86" i="67"/>
  <c r="G87" i="67"/>
  <c r="G88" i="67"/>
  <c r="G89" i="67"/>
  <c r="G90" i="67"/>
  <c r="G91" i="67"/>
  <c r="G92" i="67"/>
  <c r="G93" i="67"/>
  <c r="G94" i="67"/>
  <c r="G95" i="67"/>
  <c r="G96" i="67"/>
  <c r="G97" i="67"/>
  <c r="G98" i="67"/>
  <c r="G99" i="67"/>
  <c r="G100" i="67"/>
  <c r="G101" i="67"/>
  <c r="G102" i="67"/>
  <c r="G103" i="67"/>
  <c r="G104" i="67"/>
  <c r="G105" i="67"/>
  <c r="G106" i="67"/>
  <c r="G107" i="67"/>
  <c r="G108" i="67"/>
  <c r="G109" i="67"/>
  <c r="G110" i="67"/>
  <c r="G111" i="67"/>
  <c r="G112" i="67"/>
  <c r="G113" i="67"/>
  <c r="G114" i="67"/>
  <c r="G115" i="67"/>
  <c r="G116" i="67"/>
  <c r="G117" i="67"/>
  <c r="G118" i="67"/>
  <c r="G119" i="67"/>
  <c r="G120" i="67"/>
  <c r="G121" i="67"/>
  <c r="G122" i="67"/>
  <c r="G123" i="67"/>
  <c r="G124" i="67"/>
  <c r="G125" i="67"/>
  <c r="G126" i="67"/>
  <c r="G127" i="67"/>
  <c r="G128" i="67"/>
  <c r="G129" i="67"/>
  <c r="G130" i="67"/>
  <c r="G131" i="67"/>
  <c r="G132" i="67"/>
  <c r="G133" i="67"/>
  <c r="G134" i="67"/>
  <c r="G135" i="67"/>
  <c r="G136" i="67"/>
  <c r="G137" i="67"/>
  <c r="G138" i="67"/>
  <c r="G139" i="67"/>
  <c r="G140" i="67"/>
  <c r="G141" i="67"/>
  <c r="G142" i="67"/>
  <c r="G143" i="67"/>
  <c r="G144" i="67"/>
  <c r="G145" i="67"/>
  <c r="G146" i="67"/>
  <c r="G147" i="67"/>
  <c r="G148" i="67"/>
  <c r="G149" i="67"/>
  <c r="G150" i="67"/>
  <c r="G151" i="67"/>
  <c r="G152" i="67"/>
  <c r="G153" i="67"/>
  <c r="G154" i="67"/>
  <c r="G155" i="67"/>
  <c r="G156" i="67"/>
  <c r="G157" i="67"/>
  <c r="G158" i="67"/>
  <c r="G159" i="67"/>
  <c r="G160" i="67"/>
  <c r="G161" i="67"/>
  <c r="G162" i="67"/>
  <c r="G163" i="67"/>
  <c r="G164" i="67"/>
  <c r="G165" i="67"/>
  <c r="G166" i="67"/>
  <c r="G167" i="67"/>
  <c r="G168" i="67"/>
  <c r="G169" i="67"/>
  <c r="G170" i="67"/>
  <c r="G171" i="67"/>
  <c r="G172" i="67"/>
  <c r="G173" i="67"/>
  <c r="G174" i="67"/>
  <c r="G175" i="67"/>
  <c r="G176" i="67"/>
  <c r="G177" i="67"/>
  <c r="G178" i="67"/>
  <c r="G179" i="67"/>
  <c r="G180" i="67"/>
  <c r="G181" i="67"/>
  <c r="G182" i="67"/>
  <c r="G183" i="67"/>
  <c r="G184" i="67"/>
  <c r="G185" i="67"/>
  <c r="G186" i="67"/>
  <c r="G187" i="67"/>
  <c r="G188" i="67"/>
  <c r="G189" i="67"/>
  <c r="G190" i="67"/>
  <c r="G191" i="67"/>
  <c r="G192" i="67"/>
  <c r="G193" i="67"/>
  <c r="G194" i="67"/>
  <c r="G195" i="67"/>
  <c r="G196" i="67"/>
  <c r="G197" i="67"/>
  <c r="G198" i="67"/>
  <c r="G199" i="67"/>
  <c r="G200" i="67"/>
  <c r="G201" i="67"/>
  <c r="G202" i="67"/>
  <c r="G203" i="67"/>
  <c r="G204" i="67"/>
  <c r="G205" i="67"/>
  <c r="G206" i="67"/>
  <c r="G207" i="67"/>
  <c r="G208" i="67"/>
  <c r="G209" i="67"/>
  <c r="G210" i="67"/>
  <c r="G211" i="67"/>
  <c r="G212" i="67"/>
  <c r="G213" i="67"/>
  <c r="G214" i="67"/>
  <c r="G215" i="67"/>
  <c r="G216" i="67"/>
  <c r="G217" i="67"/>
  <c r="G218" i="67"/>
  <c r="G219" i="67"/>
  <c r="G220" i="67"/>
  <c r="G221" i="67"/>
  <c r="G222" i="67"/>
  <c r="G223" i="67"/>
  <c r="G224" i="67"/>
  <c r="G225" i="67"/>
  <c r="G226" i="67"/>
  <c r="G227" i="67"/>
  <c r="G228" i="67"/>
  <c r="G229" i="67"/>
  <c r="G230" i="67"/>
  <c r="G231" i="67"/>
  <c r="G232" i="67"/>
  <c r="G233" i="67"/>
  <c r="G234" i="67"/>
  <c r="G235" i="67"/>
  <c r="G236" i="67"/>
  <c r="G237" i="67"/>
  <c r="G238" i="67"/>
  <c r="G239" i="67"/>
  <c r="G240" i="67"/>
  <c r="G241" i="67"/>
  <c r="G242" i="67"/>
  <c r="G243" i="67"/>
  <c r="G244" i="67"/>
  <c r="G245" i="67"/>
  <c r="G246" i="67"/>
  <c r="G247" i="67"/>
  <c r="G248" i="67"/>
  <c r="G249" i="67"/>
  <c r="G250" i="67"/>
  <c r="G251" i="67"/>
  <c r="G252" i="67"/>
  <c r="G253" i="67"/>
  <c r="G254" i="67"/>
  <c r="G255" i="67"/>
  <c r="G256" i="67"/>
  <c r="G257" i="67"/>
  <c r="G258" i="67"/>
  <c r="G259" i="67"/>
  <c r="G260" i="67"/>
  <c r="G261" i="67"/>
  <c r="G262" i="67"/>
  <c r="G263" i="67"/>
  <c r="G264" i="67"/>
  <c r="G265" i="67"/>
  <c r="G266" i="67"/>
  <c r="G267" i="67"/>
  <c r="G268" i="67"/>
  <c r="G269" i="67"/>
  <c r="G270" i="67"/>
  <c r="G271" i="67"/>
  <c r="G272" i="67"/>
  <c r="G273" i="67"/>
  <c r="G274" i="67"/>
  <c r="G275" i="67"/>
  <c r="G276" i="67"/>
  <c r="G277" i="67"/>
  <c r="G278" i="67"/>
  <c r="G279" i="67"/>
  <c r="G280" i="67"/>
  <c r="G281" i="67"/>
  <c r="G282" i="67"/>
  <c r="G283" i="67"/>
  <c r="G284" i="67"/>
  <c r="G285" i="67"/>
  <c r="G286" i="67"/>
  <c r="G287" i="67"/>
  <c r="G288" i="67"/>
  <c r="G289" i="67"/>
  <c r="G290" i="67"/>
  <c r="G291" i="67"/>
  <c r="G292" i="67"/>
  <c r="G293" i="67"/>
  <c r="G294" i="67"/>
  <c r="G295" i="67"/>
  <c r="G296" i="67"/>
  <c r="G297" i="67"/>
  <c r="G298" i="67"/>
  <c r="G299" i="67"/>
  <c r="G300" i="67"/>
  <c r="G301" i="67"/>
  <c r="G302" i="67"/>
  <c r="G303" i="67"/>
  <c r="G304" i="67"/>
  <c r="G305" i="67"/>
  <c r="G306" i="67"/>
  <c r="G307" i="67"/>
  <c r="G308" i="67"/>
  <c r="G309" i="67"/>
  <c r="G310" i="67"/>
  <c r="G311" i="67"/>
  <c r="G312" i="67"/>
  <c r="G313" i="67"/>
  <c r="G314" i="67"/>
  <c r="G315" i="67"/>
  <c r="G316" i="67"/>
  <c r="G317" i="67"/>
  <c r="G318" i="67"/>
  <c r="G319" i="67"/>
  <c r="G320" i="67"/>
  <c r="G321" i="67"/>
  <c r="G322" i="67"/>
  <c r="G323" i="67"/>
  <c r="G324" i="67"/>
  <c r="G325" i="67"/>
  <c r="G326" i="67"/>
  <c r="G327" i="67"/>
  <c r="G328" i="67"/>
  <c r="G329" i="67"/>
  <c r="G330" i="67"/>
  <c r="G331" i="67"/>
  <c r="G332" i="67"/>
  <c r="G333" i="67"/>
  <c r="G334" i="67"/>
  <c r="G335" i="67"/>
  <c r="G336" i="67"/>
  <c r="G337" i="67"/>
  <c r="G338" i="67"/>
  <c r="G339" i="67"/>
  <c r="G340" i="67"/>
  <c r="G341" i="67"/>
  <c r="G342" i="67"/>
  <c r="G343" i="67"/>
  <c r="G344" i="67"/>
  <c r="G345" i="67"/>
  <c r="G346" i="67"/>
  <c r="G347" i="67"/>
  <c r="G348" i="67"/>
  <c r="G349" i="67"/>
  <c r="G350" i="67"/>
  <c r="G351" i="67"/>
  <c r="G352" i="67"/>
  <c r="G353" i="67"/>
  <c r="G354" i="67"/>
  <c r="G355" i="67"/>
  <c r="G356" i="67"/>
  <c r="G357" i="67"/>
  <c r="G358" i="67"/>
  <c r="G359" i="67"/>
  <c r="G360" i="67"/>
  <c r="G361" i="67"/>
  <c r="G362" i="67"/>
  <c r="G363" i="67"/>
  <c r="G364" i="67"/>
  <c r="G365" i="67"/>
  <c r="G366" i="67"/>
  <c r="G367" i="67"/>
  <c r="G368" i="67"/>
  <c r="G369" i="67"/>
  <c r="G370" i="67"/>
  <c r="G371" i="67"/>
  <c r="G372" i="67"/>
  <c r="G373" i="67"/>
  <c r="G374" i="67"/>
  <c r="G375" i="67"/>
  <c r="G376" i="67"/>
  <c r="G377" i="67"/>
  <c r="G378" i="67"/>
  <c r="G379" i="67"/>
  <c r="G380" i="67"/>
  <c r="G381" i="67"/>
  <c r="G382" i="67"/>
  <c r="G383" i="67"/>
  <c r="G384" i="67"/>
  <c r="G385" i="67"/>
  <c r="G386" i="67"/>
  <c r="G387" i="67"/>
  <c r="G388" i="67"/>
  <c r="G389" i="67"/>
  <c r="G390" i="67"/>
  <c r="G391" i="67"/>
  <c r="G392" i="67"/>
  <c r="G393" i="67"/>
  <c r="G394" i="67"/>
  <c r="G395" i="67"/>
  <c r="G396" i="67"/>
  <c r="G397" i="67"/>
  <c r="G398" i="67"/>
  <c r="G399" i="67"/>
  <c r="G400" i="67"/>
  <c r="G401" i="67"/>
  <c r="G402" i="67"/>
  <c r="G403" i="67"/>
  <c r="G404" i="67"/>
  <c r="G405" i="67"/>
  <c r="G406" i="67"/>
  <c r="G407" i="67"/>
  <c r="G408" i="67"/>
  <c r="G409" i="67"/>
  <c r="G410" i="67"/>
  <c r="G411" i="67"/>
  <c r="G412" i="67"/>
  <c r="G413" i="67"/>
  <c r="G414" i="67"/>
  <c r="G415" i="67"/>
  <c r="G416" i="67"/>
  <c r="G417" i="67"/>
  <c r="G418" i="67"/>
  <c r="G419" i="67"/>
  <c r="G420" i="67"/>
  <c r="G421" i="67"/>
  <c r="G422" i="67"/>
  <c r="G423" i="67"/>
  <c r="G424" i="67"/>
  <c r="G425" i="67"/>
  <c r="G426" i="67"/>
  <c r="G427" i="67"/>
  <c r="G428" i="67"/>
  <c r="G429" i="67"/>
  <c r="G430" i="67"/>
  <c r="G431" i="67"/>
  <c r="G432" i="67"/>
  <c r="G433" i="67"/>
  <c r="G434" i="67"/>
  <c r="G435" i="67"/>
  <c r="G436" i="67"/>
  <c r="G437" i="67"/>
  <c r="G438" i="67"/>
  <c r="G439" i="67"/>
  <c r="G440" i="67"/>
  <c r="G441" i="67"/>
  <c r="G442" i="67"/>
  <c r="G443" i="67"/>
  <c r="G444" i="67"/>
  <c r="G445" i="67"/>
  <c r="G446" i="67"/>
  <c r="G447" i="67"/>
  <c r="G448" i="67"/>
  <c r="G449" i="67"/>
  <c r="G450" i="67"/>
  <c r="G451" i="67"/>
  <c r="G452" i="67"/>
  <c r="G453" i="67"/>
  <c r="G454" i="67"/>
  <c r="G455" i="67"/>
  <c r="G456" i="67"/>
  <c r="G457" i="67"/>
  <c r="G458" i="67"/>
  <c r="G459" i="67"/>
  <c r="G460" i="67"/>
  <c r="G461" i="67"/>
  <c r="G462" i="67"/>
  <c r="G463" i="67"/>
  <c r="G464" i="67"/>
  <c r="G465" i="67"/>
  <c r="G466" i="67"/>
  <c r="G467" i="67"/>
  <c r="G468" i="67"/>
  <c r="G469" i="67"/>
  <c r="G470" i="67"/>
  <c r="G471" i="67"/>
  <c r="G472" i="67"/>
  <c r="G473" i="67"/>
  <c r="G474" i="67"/>
  <c r="G475" i="67"/>
  <c r="G476" i="67"/>
  <c r="G477" i="67"/>
  <c r="G478" i="67"/>
  <c r="G479" i="67"/>
  <c r="G480" i="67"/>
  <c r="G481" i="67"/>
  <c r="G482" i="67"/>
  <c r="G483" i="67"/>
  <c r="G484" i="67"/>
  <c r="G485" i="67"/>
  <c r="G486" i="67"/>
  <c r="G487" i="67"/>
  <c r="G488" i="67"/>
  <c r="G489" i="67"/>
  <c r="G490" i="67"/>
  <c r="G491" i="67"/>
  <c r="G492" i="67"/>
  <c r="G493" i="67"/>
  <c r="G494" i="67"/>
  <c r="G495" i="67"/>
  <c r="G496" i="67"/>
  <c r="G497" i="67"/>
  <c r="G498" i="67"/>
  <c r="G499" i="67"/>
  <c r="G500" i="67"/>
  <c r="G501" i="67"/>
  <c r="G502" i="67"/>
  <c r="G503" i="67"/>
  <c r="G504" i="67"/>
  <c r="G505" i="67"/>
  <c r="G506" i="67"/>
  <c r="G507" i="67"/>
  <c r="G508" i="67"/>
  <c r="G509" i="67"/>
  <c r="G510" i="67"/>
  <c r="G511" i="67"/>
  <c r="G512" i="67"/>
  <c r="G513" i="67"/>
  <c r="G514" i="67"/>
  <c r="G515" i="67"/>
  <c r="G516" i="67"/>
  <c r="G517" i="67"/>
  <c r="G518" i="67"/>
  <c r="G519" i="67"/>
  <c r="G520" i="67"/>
  <c r="G521" i="67"/>
  <c r="G522" i="67"/>
  <c r="G523" i="67"/>
  <c r="G524" i="67"/>
  <c r="G525" i="67"/>
  <c r="G526" i="67"/>
  <c r="G527" i="67"/>
  <c r="G528" i="67"/>
  <c r="G529" i="67"/>
  <c r="G530" i="67"/>
  <c r="G531" i="67"/>
  <c r="G532" i="67"/>
  <c r="G533" i="67"/>
  <c r="G534" i="67"/>
  <c r="G535" i="67"/>
  <c r="G536" i="67"/>
  <c r="G537" i="67"/>
  <c r="G538" i="67"/>
  <c r="G539" i="67"/>
  <c r="G540" i="67"/>
  <c r="G541" i="67"/>
  <c r="G542" i="67"/>
  <c r="G543" i="67"/>
  <c r="G544" i="67"/>
  <c r="G545" i="67"/>
  <c r="G546" i="67"/>
  <c r="G547" i="67"/>
  <c r="G548" i="67"/>
  <c r="G549" i="67"/>
  <c r="G550" i="67"/>
  <c r="G551" i="67"/>
  <c r="G552" i="67"/>
  <c r="G553" i="67"/>
  <c r="G554" i="67"/>
  <c r="G555" i="67"/>
  <c r="G556" i="67"/>
  <c r="G557" i="67"/>
  <c r="G558" i="67"/>
  <c r="G559" i="67"/>
  <c r="G560" i="67"/>
  <c r="G561" i="67"/>
  <c r="G562" i="67"/>
  <c r="G563" i="67"/>
  <c r="G564" i="67"/>
  <c r="G565" i="67"/>
  <c r="G566" i="67"/>
  <c r="G567" i="67"/>
  <c r="G568" i="67"/>
  <c r="G569" i="67"/>
  <c r="G570" i="67"/>
  <c r="G571" i="67"/>
  <c r="G572" i="67"/>
  <c r="G573" i="67"/>
  <c r="G574" i="67"/>
  <c r="G575" i="67"/>
  <c r="G576" i="67"/>
  <c r="G577" i="67"/>
  <c r="G578" i="67"/>
  <c r="G579" i="67"/>
  <c r="G580" i="67"/>
  <c r="G581" i="67"/>
  <c r="G582" i="67"/>
  <c r="G583" i="67"/>
  <c r="G584" i="67"/>
  <c r="G585" i="67"/>
  <c r="G586" i="67"/>
  <c r="G587" i="67"/>
  <c r="G588" i="67"/>
  <c r="G589" i="67"/>
  <c r="G590" i="67"/>
  <c r="G591" i="67"/>
  <c r="G592" i="67"/>
  <c r="G593" i="67"/>
  <c r="G594" i="67"/>
  <c r="G595" i="67"/>
  <c r="G596" i="67"/>
  <c r="G597" i="67"/>
  <c r="G598" i="67"/>
  <c r="G599" i="67"/>
  <c r="G600" i="67"/>
  <c r="G601" i="67"/>
  <c r="G602" i="67"/>
  <c r="G603" i="67"/>
  <c r="G604" i="67"/>
  <c r="G605" i="67"/>
  <c r="G606" i="67"/>
  <c r="G607" i="67"/>
  <c r="G608" i="67"/>
  <c r="G609" i="67"/>
  <c r="G610" i="67"/>
  <c r="G611" i="67"/>
  <c r="G612" i="67"/>
  <c r="G613" i="67"/>
  <c r="G614" i="67"/>
  <c r="G615" i="67"/>
  <c r="G616" i="67"/>
  <c r="G617" i="67"/>
  <c r="G618" i="67"/>
  <c r="G619" i="67"/>
  <c r="G620" i="67"/>
  <c r="G621" i="67"/>
  <c r="G622" i="67"/>
  <c r="G623" i="67"/>
  <c r="G624" i="67"/>
  <c r="G625" i="67"/>
  <c r="G626" i="67"/>
  <c r="G627" i="67"/>
  <c r="G628" i="67"/>
  <c r="G629" i="67"/>
  <c r="G630" i="67"/>
  <c r="G631" i="67"/>
  <c r="G632" i="67"/>
  <c r="G633" i="67"/>
  <c r="G634" i="67"/>
  <c r="G635" i="67"/>
  <c r="G636" i="67"/>
  <c r="G637" i="67"/>
  <c r="G638" i="67"/>
  <c r="G639" i="67"/>
  <c r="G640" i="67"/>
  <c r="G641" i="67"/>
  <c r="G642" i="67"/>
  <c r="G643" i="67"/>
  <c r="G644" i="67"/>
  <c r="G645" i="67"/>
  <c r="G646" i="67"/>
  <c r="G647" i="67"/>
  <c r="G648" i="67"/>
  <c r="G649" i="67"/>
  <c r="G650" i="67"/>
  <c r="G651" i="67"/>
  <c r="G652" i="67"/>
  <c r="G653" i="67"/>
  <c r="G654" i="67"/>
  <c r="G655" i="67"/>
  <c r="G656" i="67"/>
  <c r="G657" i="67"/>
  <c r="G658" i="67"/>
  <c r="G659" i="67"/>
  <c r="G660" i="67"/>
  <c r="G661" i="67"/>
  <c r="G662" i="67"/>
  <c r="G663" i="67"/>
  <c r="G664" i="67"/>
  <c r="G665" i="67"/>
  <c r="G666" i="67"/>
  <c r="G667" i="67"/>
  <c r="G668" i="67"/>
  <c r="G669" i="67"/>
  <c r="G670" i="67"/>
  <c r="G671" i="67"/>
  <c r="G672" i="67"/>
  <c r="G673" i="67"/>
  <c r="G674" i="67"/>
  <c r="G675" i="67"/>
  <c r="G676" i="67"/>
  <c r="G677" i="67"/>
  <c r="G678" i="67"/>
  <c r="G679" i="67"/>
  <c r="G680" i="67"/>
  <c r="G681" i="67"/>
  <c r="G682" i="67"/>
  <c r="G683" i="67"/>
  <c r="G684" i="67"/>
  <c r="G685" i="67"/>
  <c r="G686" i="67"/>
  <c r="G687" i="67"/>
  <c r="G688" i="67"/>
  <c r="G689" i="67"/>
  <c r="G690" i="67"/>
  <c r="G691" i="67"/>
  <c r="G692" i="67"/>
  <c r="G693" i="67"/>
  <c r="G694" i="67"/>
  <c r="G695" i="67"/>
  <c r="G696" i="67"/>
  <c r="G697" i="67"/>
  <c r="G698" i="67"/>
  <c r="G699" i="67"/>
  <c r="G700" i="67"/>
  <c r="G701" i="67"/>
  <c r="G702" i="67"/>
  <c r="G703" i="67"/>
  <c r="G704" i="67"/>
  <c r="G705" i="67"/>
  <c r="G706" i="67"/>
  <c r="G707" i="67"/>
  <c r="G708" i="67"/>
  <c r="G709" i="67"/>
  <c r="G710" i="67"/>
  <c r="G711" i="67"/>
  <c r="G712" i="67"/>
  <c r="G713" i="67"/>
  <c r="G714" i="67"/>
  <c r="G715" i="67"/>
  <c r="G716" i="67"/>
  <c r="G717" i="67"/>
  <c r="G718" i="67"/>
  <c r="G719" i="67"/>
  <c r="G720" i="67"/>
  <c r="G721" i="67"/>
  <c r="G722" i="67"/>
  <c r="G723" i="67"/>
  <c r="G724" i="67"/>
  <c r="G725" i="67"/>
  <c r="G726" i="67"/>
  <c r="G727" i="67"/>
  <c r="G728" i="67"/>
  <c r="G729" i="67"/>
  <c r="G730" i="67"/>
  <c r="G731" i="67"/>
  <c r="G732" i="67"/>
  <c r="G733" i="67"/>
  <c r="G734" i="67"/>
  <c r="G735" i="67"/>
  <c r="G736" i="67"/>
  <c r="G737" i="67"/>
  <c r="G738" i="67"/>
  <c r="G739" i="67"/>
  <c r="G740" i="67"/>
  <c r="G741" i="67"/>
  <c r="G742" i="67"/>
  <c r="G743" i="67"/>
  <c r="G744" i="67"/>
  <c r="G745" i="67"/>
  <c r="G746" i="67"/>
  <c r="G747" i="67"/>
  <c r="G748" i="67"/>
  <c r="G749" i="67"/>
  <c r="G750" i="67"/>
  <c r="G751" i="67"/>
  <c r="G752" i="67"/>
  <c r="G753" i="67"/>
  <c r="G754" i="67"/>
  <c r="G755" i="67"/>
  <c r="G756" i="67"/>
  <c r="G757" i="67"/>
  <c r="G758" i="67"/>
  <c r="G759" i="67"/>
  <c r="G760" i="67"/>
  <c r="G761" i="67"/>
  <c r="G762" i="67"/>
  <c r="G763" i="67"/>
  <c r="G764" i="67"/>
  <c r="G765" i="67"/>
  <c r="G766" i="67"/>
  <c r="G767" i="67"/>
  <c r="G768" i="67"/>
  <c r="G769" i="67"/>
  <c r="G770" i="67"/>
  <c r="G771" i="67"/>
  <c r="G772" i="67"/>
  <c r="G773" i="67"/>
  <c r="G774" i="67"/>
  <c r="G775" i="67"/>
  <c r="G776" i="67"/>
  <c r="G777" i="67"/>
  <c r="G778" i="67"/>
  <c r="G779" i="67"/>
  <c r="G780" i="67"/>
  <c r="G781" i="67"/>
  <c r="G782" i="67"/>
  <c r="G783" i="67"/>
  <c r="G784" i="67"/>
  <c r="G785" i="67"/>
  <c r="G786" i="67"/>
  <c r="G787" i="67"/>
  <c r="G788" i="67"/>
  <c r="G789" i="67"/>
  <c r="G790" i="67"/>
  <c r="G791" i="67"/>
  <c r="G792" i="67"/>
  <c r="G793" i="67"/>
  <c r="G794" i="67"/>
  <c r="G795" i="67"/>
  <c r="G796" i="67"/>
  <c r="G797" i="67"/>
  <c r="G798" i="67"/>
  <c r="G799" i="67"/>
  <c r="G800" i="67"/>
  <c r="G801" i="67"/>
  <c r="G802" i="67"/>
  <c r="G803" i="67"/>
  <c r="G804" i="67"/>
  <c r="G805" i="67"/>
  <c r="G806" i="67"/>
  <c r="G807" i="67"/>
  <c r="G808" i="67"/>
  <c r="G809" i="67"/>
  <c r="G810" i="67"/>
  <c r="G811" i="67"/>
  <c r="G812" i="67"/>
  <c r="G813" i="67"/>
  <c r="G814" i="67"/>
  <c r="G815" i="67"/>
  <c r="G816" i="67"/>
  <c r="G817" i="67"/>
  <c r="G818" i="67"/>
  <c r="G819" i="67"/>
  <c r="G820" i="67"/>
  <c r="G821" i="67"/>
  <c r="G822" i="67"/>
  <c r="G823" i="67"/>
  <c r="G824" i="67"/>
  <c r="G825" i="67"/>
  <c r="G826" i="67"/>
  <c r="G827" i="67"/>
  <c r="G828" i="67"/>
  <c r="G829" i="67"/>
  <c r="G830" i="67"/>
  <c r="G831" i="67"/>
  <c r="G832" i="67"/>
  <c r="G833" i="67"/>
  <c r="G834" i="67"/>
  <c r="G835" i="67"/>
  <c r="G836" i="67"/>
  <c r="G837" i="67"/>
  <c r="G838" i="67"/>
  <c r="G839" i="67"/>
  <c r="G840" i="67"/>
  <c r="G841" i="67"/>
  <c r="G842" i="67"/>
  <c r="G843" i="67"/>
  <c r="G844" i="67"/>
  <c r="G845" i="67"/>
  <c r="G846" i="67"/>
  <c r="G847" i="67"/>
  <c r="G848" i="67"/>
  <c r="G849" i="67"/>
  <c r="G850" i="67"/>
  <c r="G851" i="67"/>
  <c r="G852" i="67"/>
  <c r="G853" i="67"/>
  <c r="G854" i="67"/>
  <c r="G855" i="67"/>
  <c r="G856" i="67"/>
  <c r="G857" i="67"/>
  <c r="G858" i="67"/>
  <c r="G859" i="67"/>
  <c r="G860" i="67"/>
  <c r="G861" i="67"/>
  <c r="G862" i="67"/>
  <c r="G863" i="67"/>
  <c r="G864" i="67"/>
  <c r="G865" i="67"/>
  <c r="G866" i="67"/>
  <c r="G867" i="67"/>
  <c r="G868" i="67"/>
  <c r="G869" i="67"/>
  <c r="G870" i="67"/>
  <c r="G871" i="67"/>
  <c r="G872" i="67"/>
  <c r="G873" i="67"/>
  <c r="G874" i="67"/>
  <c r="G875" i="67"/>
  <c r="G876" i="67"/>
  <c r="G877" i="67"/>
  <c r="G878" i="67"/>
  <c r="G879" i="67"/>
  <c r="G880" i="67"/>
  <c r="G881" i="67"/>
  <c r="G882" i="67"/>
  <c r="G883" i="67"/>
  <c r="G884" i="67"/>
  <c r="G885" i="67"/>
  <c r="G886" i="67"/>
  <c r="G887" i="67"/>
  <c r="G888" i="67"/>
  <c r="G889" i="67"/>
  <c r="G890" i="67"/>
  <c r="G891" i="67"/>
  <c r="G892" i="67"/>
  <c r="G893" i="67"/>
  <c r="G894" i="67"/>
  <c r="G895" i="67"/>
  <c r="G896" i="67"/>
  <c r="G897" i="67"/>
  <c r="G898" i="67"/>
  <c r="G899" i="67"/>
  <c r="G900" i="67"/>
  <c r="G901" i="67"/>
  <c r="G902" i="67"/>
  <c r="G903" i="67"/>
  <c r="G904" i="67"/>
  <c r="G905" i="67"/>
  <c r="G906" i="67"/>
  <c r="G907" i="67"/>
  <c r="G908" i="67"/>
  <c r="G909" i="67"/>
  <c r="G910" i="67"/>
  <c r="G911" i="67"/>
  <c r="G912" i="67"/>
  <c r="G913" i="67"/>
  <c r="G914" i="67"/>
  <c r="G915" i="67"/>
  <c r="G916" i="67"/>
  <c r="G917" i="67"/>
  <c r="G918" i="67"/>
  <c r="G919" i="67"/>
  <c r="G920" i="67"/>
  <c r="G921" i="67"/>
  <c r="G922" i="67"/>
  <c r="G923" i="67"/>
  <c r="G924" i="67"/>
  <c r="G925" i="67"/>
  <c r="G926" i="67"/>
  <c r="G927" i="67"/>
  <c r="G928" i="67"/>
  <c r="G929" i="67"/>
  <c r="G930" i="67"/>
  <c r="G931" i="67"/>
  <c r="G932" i="67"/>
  <c r="G933" i="67"/>
  <c r="G934" i="67"/>
  <c r="G935" i="67"/>
  <c r="G936" i="67"/>
  <c r="G937" i="67"/>
  <c r="G938" i="67"/>
  <c r="G939" i="67"/>
  <c r="G940" i="67"/>
  <c r="G941" i="67"/>
  <c r="G942" i="67"/>
  <c r="G943" i="67"/>
  <c r="G944" i="67"/>
  <c r="G945" i="67"/>
  <c r="G946" i="67"/>
  <c r="G947" i="67"/>
  <c r="G948" i="67"/>
  <c r="G949" i="67"/>
  <c r="G950" i="67"/>
  <c r="G951" i="67"/>
  <c r="G952" i="67"/>
  <c r="G953" i="67"/>
  <c r="G954" i="67"/>
  <c r="G955" i="67"/>
  <c r="G956" i="67"/>
  <c r="G957" i="67"/>
  <c r="G958" i="67"/>
  <c r="G959" i="67"/>
  <c r="G960" i="67"/>
  <c r="G961" i="67"/>
  <c r="G962" i="67"/>
  <c r="G963" i="67"/>
  <c r="G964" i="67"/>
  <c r="G965" i="67"/>
  <c r="G966" i="67"/>
  <c r="G967" i="67"/>
  <c r="G968" i="67"/>
  <c r="G969" i="67"/>
  <c r="G970" i="67"/>
  <c r="G971" i="67"/>
  <c r="G972" i="67"/>
  <c r="G973" i="67"/>
  <c r="G974" i="67"/>
  <c r="G975" i="67"/>
  <c r="G976" i="67"/>
  <c r="G977" i="67"/>
  <c r="G978" i="67"/>
  <c r="G979" i="67"/>
  <c r="G980" i="67"/>
  <c r="G981" i="67"/>
  <c r="G982" i="67"/>
  <c r="G983" i="67"/>
  <c r="G984" i="67"/>
  <c r="G985" i="67"/>
  <c r="G986" i="67"/>
  <c r="G987" i="67"/>
  <c r="G988" i="67"/>
  <c r="G989" i="67"/>
  <c r="G990" i="67"/>
  <c r="G991" i="67"/>
  <c r="G992" i="67"/>
  <c r="G993" i="67"/>
  <c r="G994" i="67"/>
  <c r="G995" i="67"/>
  <c r="G996" i="67"/>
  <c r="G997" i="67"/>
  <c r="G998" i="67"/>
  <c r="G999" i="67"/>
  <c r="G1000" i="67"/>
  <c r="G1001" i="67"/>
  <c r="G1002" i="67"/>
  <c r="G1003" i="67"/>
  <c r="G1004" i="67"/>
  <c r="G1005" i="67"/>
  <c r="G1006" i="67"/>
  <c r="G1007" i="67"/>
  <c r="G1008" i="67"/>
  <c r="G1009" i="67"/>
  <c r="G1010" i="67"/>
  <c r="G1011" i="67"/>
  <c r="G1012" i="67"/>
  <c r="G1013" i="67"/>
  <c r="G1014" i="67"/>
  <c r="G1015" i="67"/>
  <c r="G1016" i="67"/>
  <c r="G1017" i="67"/>
  <c r="G1018" i="67"/>
  <c r="G1019" i="67"/>
  <c r="G1020" i="67"/>
  <c r="G1021" i="67"/>
  <c r="G1022" i="67"/>
  <c r="G1023" i="67"/>
  <c r="G1024" i="67"/>
  <c r="G1025" i="67"/>
  <c r="G1026" i="67"/>
  <c r="G1027" i="67"/>
  <c r="G1028" i="67"/>
  <c r="G1029" i="67"/>
  <c r="G1030" i="67"/>
  <c r="G1031" i="67"/>
  <c r="G1032" i="67"/>
  <c r="G1033" i="67"/>
  <c r="G1034" i="67"/>
  <c r="G1035" i="67"/>
  <c r="G1036" i="67"/>
  <c r="G1037" i="67"/>
  <c r="G1038" i="67"/>
  <c r="G1039" i="67"/>
  <c r="G1040" i="67"/>
  <c r="G1041" i="67"/>
  <c r="G1042" i="67"/>
  <c r="G1043" i="67"/>
  <c r="G1044" i="67"/>
  <c r="G1045" i="67"/>
  <c r="G1046" i="67"/>
  <c r="G1047" i="67"/>
  <c r="G1048" i="67"/>
  <c r="G1049" i="67"/>
  <c r="G1050" i="67"/>
  <c r="G1051" i="67"/>
  <c r="G1052" i="67"/>
  <c r="G1053" i="67"/>
  <c r="G1054" i="67"/>
  <c r="G1055" i="67"/>
  <c r="G1056" i="67"/>
  <c r="G1057" i="67"/>
  <c r="G1058" i="67"/>
  <c r="G1059" i="67"/>
  <c r="G1060" i="67"/>
  <c r="G1061" i="67"/>
  <c r="G1062" i="67"/>
  <c r="G1063" i="67"/>
  <c r="G1064" i="67"/>
  <c r="G1065" i="67"/>
  <c r="G1066" i="67"/>
  <c r="G1067" i="67"/>
  <c r="G1068" i="67"/>
  <c r="G1069" i="67"/>
  <c r="G1070" i="67"/>
  <c r="G1071" i="67"/>
  <c r="G1072" i="67"/>
  <c r="G1073" i="67"/>
  <c r="G1074" i="67"/>
  <c r="G1075" i="67"/>
  <c r="G1076" i="67"/>
  <c r="G1077" i="67"/>
  <c r="G1078" i="67"/>
  <c r="G1079" i="67"/>
  <c r="G1080" i="67"/>
  <c r="G1081" i="67"/>
  <c r="G1082" i="67"/>
  <c r="G1083" i="67"/>
  <c r="G1084" i="67"/>
  <c r="G1085" i="67"/>
  <c r="G1086" i="67"/>
  <c r="G1087" i="67"/>
  <c r="G1088" i="67"/>
  <c r="G1089" i="67"/>
  <c r="G1090" i="67"/>
  <c r="G1091" i="67"/>
  <c r="G1092" i="67"/>
  <c r="G1093" i="67"/>
  <c r="G1094" i="67"/>
  <c r="G1095" i="67"/>
  <c r="G1096" i="67"/>
  <c r="G1097" i="67"/>
  <c r="G1098" i="67"/>
  <c r="G1099" i="67"/>
  <c r="G1100" i="67"/>
  <c r="G1101" i="67"/>
  <c r="G1102" i="67"/>
  <c r="G1103" i="67"/>
  <c r="G1104" i="67"/>
  <c r="G1105" i="67"/>
  <c r="G1106" i="67"/>
  <c r="G1107" i="67"/>
  <c r="G1108" i="67"/>
  <c r="G1109" i="67"/>
  <c r="G1110" i="67"/>
  <c r="G1111" i="67"/>
  <c r="G1112" i="67"/>
  <c r="G1113" i="67"/>
  <c r="G1114" i="67"/>
  <c r="G1115" i="67"/>
  <c r="G1116" i="67"/>
  <c r="G1117" i="67"/>
  <c r="G1118" i="67"/>
  <c r="G1119" i="67"/>
  <c r="G1120" i="67"/>
  <c r="G1121" i="67"/>
  <c r="G1122" i="67"/>
  <c r="G1123" i="67"/>
  <c r="G1124" i="67"/>
  <c r="G1125" i="67"/>
  <c r="G1126" i="67"/>
  <c r="G1127" i="67"/>
  <c r="G1128" i="67"/>
  <c r="G1129" i="67"/>
  <c r="G1130" i="67"/>
  <c r="G1131" i="67"/>
  <c r="G1132" i="67"/>
  <c r="G1133" i="67"/>
  <c r="G1134" i="67"/>
  <c r="G1135" i="67"/>
  <c r="G1136" i="67"/>
  <c r="G1137" i="67"/>
  <c r="G1138" i="67"/>
  <c r="G1139" i="67"/>
  <c r="G1140" i="67"/>
  <c r="G1141" i="67"/>
  <c r="G1142" i="67"/>
  <c r="G1143" i="67"/>
  <c r="G1144" i="67"/>
  <c r="G1145" i="67"/>
  <c r="G1146" i="67"/>
  <c r="G1147" i="67"/>
  <c r="G1148" i="67"/>
  <c r="G1149" i="67"/>
  <c r="G1150" i="67"/>
  <c r="G1151" i="67"/>
  <c r="G1152" i="67"/>
  <c r="G1153" i="67"/>
  <c r="G1154" i="67"/>
  <c r="G1155" i="67"/>
  <c r="G1156" i="67"/>
  <c r="G1157" i="67"/>
  <c r="G1158" i="67"/>
  <c r="G1159" i="67"/>
  <c r="G1160" i="67"/>
  <c r="G1161" i="67"/>
  <c r="G1162" i="67"/>
  <c r="G1163" i="67"/>
  <c r="G1164" i="67"/>
  <c r="G1165" i="67"/>
  <c r="G1166" i="67"/>
  <c r="G1167" i="67"/>
  <c r="G1168" i="67"/>
  <c r="G1169" i="67"/>
  <c r="G1170" i="67"/>
  <c r="G1171" i="67"/>
  <c r="G1172" i="67"/>
  <c r="G1173" i="67"/>
  <c r="G1174" i="67"/>
  <c r="G1175" i="67"/>
  <c r="G1176" i="67"/>
  <c r="G1177" i="67"/>
  <c r="G1178" i="67"/>
  <c r="G1179" i="67"/>
  <c r="G1180" i="67"/>
  <c r="G1181" i="67"/>
  <c r="G1182" i="67"/>
  <c r="G1183" i="67"/>
  <c r="G1184" i="67"/>
  <c r="G1185" i="67"/>
  <c r="G1186" i="67"/>
  <c r="G1187" i="67"/>
  <c r="G1188" i="67"/>
  <c r="G1189" i="67"/>
  <c r="G1190" i="67"/>
  <c r="G1191" i="67"/>
  <c r="G1192" i="67"/>
  <c r="G1193" i="67"/>
  <c r="G1194" i="67"/>
  <c r="G1195" i="67"/>
  <c r="G1196" i="67"/>
  <c r="G1197" i="67"/>
  <c r="G1198" i="67"/>
  <c r="G1199" i="67"/>
  <c r="G1200" i="67"/>
  <c r="G1201" i="67"/>
  <c r="G1202" i="67"/>
  <c r="G1203" i="67"/>
  <c r="G1204" i="67"/>
  <c r="G1205" i="67"/>
  <c r="G1206" i="67"/>
  <c r="G1207" i="67"/>
  <c r="G1208" i="67"/>
  <c r="G1209" i="67"/>
  <c r="G1210" i="67"/>
  <c r="G1211" i="67"/>
  <c r="G1212" i="67"/>
  <c r="G1213" i="67"/>
  <c r="G1214" i="67"/>
  <c r="G1215" i="67"/>
  <c r="G1216" i="67"/>
  <c r="G1217" i="67"/>
  <c r="G1218" i="67"/>
  <c r="G1219" i="67"/>
  <c r="G1220" i="67"/>
  <c r="G1221" i="67"/>
  <c r="G1222" i="67"/>
  <c r="G1223" i="67"/>
  <c r="G1224" i="67"/>
  <c r="G1225" i="67"/>
  <c r="G1226" i="67"/>
  <c r="G1227" i="67"/>
  <c r="G1228" i="67"/>
  <c r="G1229" i="67"/>
  <c r="G1230" i="67"/>
  <c r="G1231" i="67"/>
  <c r="G1232" i="67"/>
  <c r="G1233" i="67"/>
  <c r="G1234" i="67"/>
  <c r="G1235" i="67"/>
  <c r="G1236" i="67"/>
  <c r="G1237" i="67"/>
  <c r="G1238" i="67"/>
  <c r="G1239" i="67"/>
  <c r="G1240" i="67"/>
  <c r="G1241" i="67"/>
  <c r="G1242" i="67"/>
  <c r="G1243" i="67"/>
  <c r="G1244" i="67"/>
  <c r="G1245" i="67"/>
  <c r="G1246" i="67"/>
  <c r="G1247" i="67"/>
  <c r="G1248" i="67"/>
  <c r="G1249" i="67"/>
  <c r="G1250" i="67"/>
  <c r="G1251" i="67"/>
  <c r="G1252" i="67"/>
  <c r="G1253" i="67"/>
  <c r="G1254" i="67"/>
  <c r="G1255" i="67"/>
  <c r="G1256" i="67"/>
  <c r="G1257" i="67"/>
  <c r="G1258" i="67"/>
  <c r="G1259" i="67"/>
  <c r="G1260" i="67"/>
  <c r="G1261" i="67"/>
  <c r="G1262" i="67"/>
  <c r="G1263" i="67"/>
  <c r="G1264" i="67"/>
  <c r="G1265" i="67"/>
  <c r="G1266" i="67"/>
  <c r="G1267" i="67"/>
  <c r="G1268" i="67"/>
  <c r="G1269" i="67"/>
  <c r="G1270" i="67"/>
  <c r="G1271" i="67"/>
  <c r="G1272" i="67"/>
  <c r="G1273" i="67"/>
  <c r="G1274" i="67"/>
  <c r="G1275" i="67"/>
  <c r="G1276" i="67"/>
  <c r="G1277" i="67"/>
  <c r="G1278" i="67"/>
  <c r="G1279" i="67"/>
  <c r="G1280" i="67"/>
  <c r="G1281" i="67"/>
  <c r="G1282" i="67"/>
  <c r="G1283" i="67"/>
  <c r="G1284" i="67"/>
  <c r="G1285" i="67"/>
  <c r="G1286" i="67"/>
  <c r="G1287" i="67"/>
  <c r="G1288" i="67"/>
  <c r="G1289" i="67"/>
  <c r="G1290" i="67"/>
  <c r="G1291" i="67"/>
  <c r="G1292" i="67"/>
  <c r="G1293" i="67"/>
  <c r="G1294" i="67"/>
  <c r="G1295" i="67"/>
  <c r="G1296" i="67"/>
  <c r="G1297" i="67"/>
  <c r="G1298" i="67"/>
  <c r="G1299" i="67"/>
  <c r="G1300" i="67"/>
  <c r="G1301" i="67"/>
  <c r="G1302" i="67"/>
  <c r="G1303" i="67"/>
  <c r="G1304" i="67"/>
  <c r="G1305" i="67"/>
  <c r="G1306" i="67"/>
  <c r="G1307" i="67"/>
  <c r="G1308" i="67"/>
  <c r="G1309" i="67"/>
  <c r="G1310" i="67"/>
  <c r="G1311" i="67"/>
  <c r="G1312" i="67"/>
  <c r="G1313" i="67"/>
  <c r="G1314" i="67"/>
  <c r="G1315" i="67"/>
  <c r="G1316" i="67"/>
  <c r="G1317" i="67"/>
  <c r="G1318" i="67"/>
  <c r="G1319" i="67"/>
  <c r="G1320" i="67"/>
  <c r="G1321" i="67"/>
  <c r="G1322" i="67"/>
  <c r="G1323" i="67"/>
  <c r="G1324" i="67"/>
  <c r="G1325" i="67"/>
  <c r="G1326" i="67"/>
  <c r="G1327" i="67"/>
  <c r="G1328" i="67"/>
  <c r="G1329" i="67"/>
  <c r="G1330" i="67"/>
  <c r="G1331" i="67"/>
  <c r="G1332" i="67"/>
  <c r="G1333" i="67"/>
  <c r="G1334" i="67"/>
  <c r="G1335" i="67"/>
  <c r="G1336" i="67"/>
  <c r="G1337" i="67"/>
  <c r="G1338" i="67"/>
  <c r="G1339" i="67"/>
  <c r="G1340" i="67"/>
  <c r="G1341" i="67"/>
  <c r="G1342" i="67"/>
  <c r="G1343" i="67"/>
  <c r="G1344" i="67"/>
  <c r="G1345" i="67"/>
  <c r="G1346" i="67"/>
  <c r="G1347" i="67"/>
  <c r="G1348" i="67"/>
  <c r="G1349" i="67"/>
  <c r="G1350" i="67"/>
  <c r="G1351" i="67"/>
  <c r="G1352" i="67"/>
  <c r="G1353" i="67"/>
  <c r="G1354" i="67"/>
  <c r="G1355" i="67"/>
  <c r="G1356" i="67"/>
  <c r="G1357" i="67"/>
  <c r="G1358" i="67"/>
  <c r="G1359" i="67"/>
  <c r="G1360" i="67"/>
  <c r="G1361" i="67"/>
  <c r="G1362" i="67"/>
  <c r="G1363" i="67"/>
  <c r="G1364" i="67"/>
  <c r="G1365" i="67"/>
  <c r="G1366" i="67"/>
  <c r="G1367" i="67"/>
  <c r="G1368" i="67"/>
  <c r="G1369" i="67"/>
  <c r="G1370" i="67"/>
  <c r="G1371" i="67"/>
  <c r="G1372" i="67"/>
  <c r="G1373" i="67"/>
  <c r="G1374" i="67"/>
  <c r="G1375" i="67"/>
  <c r="G1376" i="67"/>
  <c r="G1377" i="67"/>
  <c r="G1378" i="67"/>
  <c r="G1379" i="67"/>
  <c r="G1380" i="67"/>
  <c r="G1381" i="67"/>
  <c r="G1382" i="67"/>
  <c r="G1383" i="67"/>
  <c r="G1384" i="67"/>
  <c r="G1385" i="67"/>
  <c r="G1386" i="67"/>
  <c r="G1387" i="67"/>
  <c r="G1388" i="67"/>
  <c r="G1389" i="67"/>
  <c r="G1390" i="67"/>
  <c r="G1391" i="67"/>
  <c r="G1392" i="67"/>
  <c r="G1393" i="67"/>
  <c r="G1394" i="67"/>
  <c r="G1395" i="67"/>
  <c r="G1396" i="67"/>
  <c r="G1397" i="67"/>
  <c r="G1398" i="67"/>
  <c r="G1399" i="67"/>
  <c r="G1400" i="67"/>
  <c r="G1401" i="67"/>
  <c r="G1402" i="67"/>
  <c r="G1403" i="67"/>
  <c r="G1404" i="67"/>
  <c r="G1405" i="67"/>
  <c r="G1406" i="67"/>
  <c r="G1407" i="67"/>
  <c r="G1408" i="67"/>
  <c r="G1409" i="67"/>
  <c r="G1410" i="67"/>
  <c r="G1411" i="67"/>
  <c r="G1412" i="67"/>
  <c r="G1413" i="67"/>
  <c r="G1414" i="67"/>
  <c r="G1415" i="67"/>
  <c r="G1416" i="67"/>
  <c r="G1417" i="67"/>
  <c r="G1418" i="67"/>
  <c r="G1419" i="67"/>
  <c r="G1420" i="67"/>
  <c r="G1421" i="67"/>
  <c r="G1422" i="67"/>
  <c r="G1423" i="67"/>
  <c r="G1424" i="67"/>
  <c r="G1425" i="67"/>
  <c r="G1426" i="67"/>
  <c r="G1427" i="67"/>
  <c r="G1428" i="67"/>
  <c r="G1429" i="67"/>
  <c r="G1430" i="67"/>
  <c r="G1431" i="67"/>
  <c r="G1432" i="67"/>
  <c r="G1433" i="67"/>
  <c r="G1434" i="67"/>
  <c r="G1435" i="67"/>
  <c r="G1436" i="67"/>
  <c r="G1437" i="67"/>
  <c r="G1438" i="67"/>
  <c r="G1439" i="67"/>
  <c r="G1440" i="67"/>
  <c r="G1441" i="67"/>
  <c r="G1442" i="67"/>
  <c r="G1443" i="67"/>
  <c r="G1444" i="67"/>
  <c r="G1445" i="67"/>
  <c r="G1446" i="67"/>
  <c r="G1447" i="67"/>
  <c r="G1448" i="67"/>
  <c r="G1449" i="67"/>
  <c r="G1450" i="67"/>
  <c r="G1451" i="67"/>
  <c r="G1452" i="67"/>
  <c r="G1453" i="67"/>
  <c r="G1454" i="67"/>
  <c r="G1455" i="67"/>
  <c r="G1456" i="67"/>
  <c r="G1457" i="67"/>
  <c r="G1458" i="67"/>
  <c r="G1459" i="67"/>
  <c r="G1460" i="67"/>
  <c r="G1461" i="67"/>
  <c r="G1462" i="67"/>
  <c r="G1463" i="67"/>
  <c r="G1464" i="67"/>
  <c r="G1465" i="67"/>
  <c r="G1466" i="67"/>
  <c r="G1467" i="67"/>
  <c r="G1468" i="67"/>
  <c r="G1469" i="67"/>
  <c r="G1470" i="67"/>
  <c r="G1471" i="67"/>
  <c r="G1472" i="67"/>
  <c r="G1473" i="67"/>
  <c r="G1474" i="67"/>
  <c r="G1475" i="67"/>
  <c r="G1476" i="67"/>
  <c r="G1477" i="67"/>
  <c r="G1478" i="67"/>
  <c r="G1479" i="67"/>
  <c r="G1480" i="67"/>
  <c r="G1481" i="67"/>
  <c r="G1482" i="67"/>
  <c r="G1483" i="67"/>
  <c r="G1484" i="67"/>
  <c r="G1485" i="67"/>
  <c r="G1486" i="67"/>
  <c r="G1487" i="67"/>
  <c r="G1488" i="67"/>
  <c r="G1489" i="67"/>
  <c r="G1490" i="67"/>
  <c r="G1491" i="67"/>
  <c r="G1492" i="67"/>
  <c r="G1493" i="67"/>
  <c r="G1494" i="67"/>
  <c r="G1495" i="67"/>
  <c r="G1496" i="67"/>
  <c r="G1497" i="67"/>
  <c r="G1498" i="67"/>
  <c r="G1499" i="67"/>
  <c r="G1500" i="67"/>
  <c r="G1501" i="67"/>
  <c r="G1502" i="67"/>
  <c r="G1503" i="67"/>
  <c r="G1504" i="67"/>
  <c r="G1505" i="67"/>
  <c r="G1506" i="67"/>
  <c r="G1507" i="67"/>
  <c r="G1508" i="67"/>
  <c r="G1509" i="67"/>
  <c r="G1510" i="67"/>
  <c r="G1511" i="67"/>
  <c r="G1512" i="67"/>
  <c r="G1513" i="67"/>
  <c r="G1514" i="67"/>
  <c r="G1515" i="67"/>
  <c r="G1516" i="67"/>
  <c r="G1517" i="67"/>
  <c r="G1518" i="67"/>
  <c r="G1519" i="67"/>
  <c r="G1520" i="67"/>
  <c r="G1521" i="67"/>
  <c r="G1522" i="67"/>
  <c r="G1523" i="67"/>
  <c r="G1524" i="67"/>
  <c r="G1525" i="67"/>
  <c r="G1526" i="67"/>
  <c r="G1527" i="67"/>
  <c r="G1528" i="67"/>
  <c r="G1529" i="67"/>
  <c r="G1530" i="67"/>
  <c r="G1531" i="67"/>
  <c r="G1532" i="67"/>
  <c r="G1533" i="67"/>
  <c r="G1534" i="67"/>
  <c r="G1535" i="67"/>
  <c r="G1536" i="67"/>
  <c r="G1537" i="67"/>
  <c r="G1538" i="67"/>
  <c r="G1539" i="67"/>
  <c r="G1540" i="67"/>
  <c r="G1541" i="67"/>
  <c r="G2" i="67"/>
  <c r="F2" i="67"/>
  <c r="F4" i="67"/>
  <c r="F5" i="67"/>
  <c r="F6" i="67"/>
  <c r="F7" i="67"/>
  <c r="F8" i="67"/>
  <c r="F9" i="67"/>
  <c r="F10" i="67"/>
  <c r="F11" i="67"/>
  <c r="F12" i="67"/>
  <c r="F13" i="67"/>
  <c r="F14" i="67"/>
  <c r="F15" i="67"/>
  <c r="F16" i="67"/>
  <c r="F17" i="67"/>
  <c r="F18" i="67"/>
  <c r="F19" i="67"/>
  <c r="F20" i="67"/>
  <c r="F21" i="67"/>
  <c r="F22" i="67"/>
  <c r="F23" i="67"/>
  <c r="F24" i="67"/>
  <c r="F25" i="67"/>
  <c r="F26" i="67"/>
  <c r="F27" i="67"/>
  <c r="F28" i="67"/>
  <c r="F29" i="67"/>
  <c r="F30" i="67"/>
  <c r="F31" i="67"/>
  <c r="F32" i="67"/>
  <c r="F33" i="67"/>
  <c r="F34" i="67"/>
  <c r="F35" i="67"/>
  <c r="F36" i="67"/>
  <c r="F37" i="67"/>
  <c r="F38" i="67"/>
  <c r="F39" i="67"/>
  <c r="F40" i="67"/>
  <c r="F41" i="67"/>
  <c r="F42" i="67"/>
  <c r="F43" i="67"/>
  <c r="F44" i="67"/>
  <c r="F45" i="67"/>
  <c r="F46" i="67"/>
  <c r="F47" i="67"/>
  <c r="F48" i="67"/>
  <c r="F49" i="67"/>
  <c r="F50" i="67"/>
  <c r="F51" i="67"/>
  <c r="F52" i="67"/>
  <c r="F53" i="67"/>
  <c r="F54" i="67"/>
  <c r="F55" i="67"/>
  <c r="F56" i="67"/>
  <c r="F57" i="67"/>
  <c r="F58" i="67"/>
  <c r="F59" i="67"/>
  <c r="F60" i="67"/>
  <c r="F61" i="67"/>
  <c r="F62" i="67"/>
  <c r="F63" i="67"/>
  <c r="F64" i="67"/>
  <c r="F65" i="67"/>
  <c r="F66" i="67"/>
  <c r="F67" i="67"/>
  <c r="F68" i="67"/>
  <c r="F69" i="67"/>
  <c r="F70" i="67"/>
  <c r="F71" i="67"/>
  <c r="F72" i="67"/>
  <c r="F73" i="67"/>
  <c r="F74" i="67"/>
  <c r="F75" i="67"/>
  <c r="F76" i="67"/>
  <c r="F77" i="67"/>
  <c r="F78" i="67"/>
  <c r="F79" i="67"/>
  <c r="F80" i="67"/>
  <c r="F81" i="67"/>
  <c r="F82" i="67"/>
  <c r="F83" i="67"/>
  <c r="F84" i="67"/>
  <c r="F85" i="67"/>
  <c r="F86" i="67"/>
  <c r="F87" i="67"/>
  <c r="F88" i="67"/>
  <c r="F89" i="67"/>
  <c r="F90" i="67"/>
  <c r="F91" i="67"/>
  <c r="F92" i="67"/>
  <c r="F93" i="67"/>
  <c r="F94" i="67"/>
  <c r="F95" i="67"/>
  <c r="F96" i="67"/>
  <c r="F97" i="67"/>
  <c r="F98" i="67"/>
  <c r="F99" i="67"/>
  <c r="F100" i="67"/>
  <c r="F101" i="67"/>
  <c r="F102" i="67"/>
  <c r="F103" i="67"/>
  <c r="F104" i="67"/>
  <c r="F105" i="67"/>
  <c r="F106" i="67"/>
  <c r="F107" i="67"/>
  <c r="F108" i="67"/>
  <c r="F109" i="67"/>
  <c r="F110" i="67"/>
  <c r="F111" i="67"/>
  <c r="F112" i="67"/>
  <c r="F113" i="67"/>
  <c r="F114" i="67"/>
  <c r="F115" i="67"/>
  <c r="F116" i="67"/>
  <c r="F117" i="67"/>
  <c r="F118" i="67"/>
  <c r="F119" i="67"/>
  <c r="F120" i="67"/>
  <c r="F121" i="67"/>
  <c r="F122" i="67"/>
  <c r="F123" i="67"/>
  <c r="F124" i="67"/>
  <c r="F125" i="67"/>
  <c r="F126" i="67"/>
  <c r="F127" i="67"/>
  <c r="F128" i="67"/>
  <c r="F129" i="67"/>
  <c r="F130" i="67"/>
  <c r="F131" i="67"/>
  <c r="F132" i="67"/>
  <c r="F133" i="67"/>
  <c r="F134" i="67"/>
  <c r="F135" i="67"/>
  <c r="F136" i="67"/>
  <c r="F137" i="67"/>
  <c r="F138" i="67"/>
  <c r="F139" i="67"/>
  <c r="F140" i="67"/>
  <c r="F141" i="67"/>
  <c r="F142" i="67"/>
  <c r="F143" i="67"/>
  <c r="F144" i="67"/>
  <c r="F145" i="67"/>
  <c r="F146" i="67"/>
  <c r="F147" i="67"/>
  <c r="F148" i="67"/>
  <c r="F149" i="67"/>
  <c r="F150" i="67"/>
  <c r="F151" i="67"/>
  <c r="F152" i="67"/>
  <c r="F153" i="67"/>
  <c r="F154" i="67"/>
  <c r="F155" i="67"/>
  <c r="F156" i="67"/>
  <c r="F157" i="67"/>
  <c r="F158" i="67"/>
  <c r="F159" i="67"/>
  <c r="F160" i="67"/>
  <c r="F161" i="67"/>
  <c r="F162" i="67"/>
  <c r="F163" i="67"/>
  <c r="F164" i="67"/>
  <c r="F165" i="67"/>
  <c r="F166" i="67"/>
  <c r="F167" i="67"/>
  <c r="F168" i="67"/>
  <c r="F169" i="67"/>
  <c r="F170" i="67"/>
  <c r="F171" i="67"/>
  <c r="F172" i="67"/>
  <c r="F173" i="67"/>
  <c r="F174" i="67"/>
  <c r="F175" i="67"/>
  <c r="F176" i="67"/>
  <c r="F177" i="67"/>
  <c r="F178" i="67"/>
  <c r="F179" i="67"/>
  <c r="F180" i="67"/>
  <c r="F181" i="67"/>
  <c r="F182" i="67"/>
  <c r="F183" i="67"/>
  <c r="F184" i="67"/>
  <c r="F185" i="67"/>
  <c r="F186" i="67"/>
  <c r="F187" i="67"/>
  <c r="F188" i="67"/>
  <c r="F189" i="67"/>
  <c r="F190" i="67"/>
  <c r="F191" i="67"/>
  <c r="F192" i="67"/>
  <c r="F193" i="67"/>
  <c r="F194" i="67"/>
  <c r="F195" i="67"/>
  <c r="F196" i="67"/>
  <c r="F197" i="67"/>
  <c r="F198" i="67"/>
  <c r="F199" i="67"/>
  <c r="F200" i="67"/>
  <c r="F201" i="67"/>
  <c r="F202" i="67"/>
  <c r="F203" i="67"/>
  <c r="F204" i="67"/>
  <c r="F205" i="67"/>
  <c r="F206" i="67"/>
  <c r="F207" i="67"/>
  <c r="F208" i="67"/>
  <c r="F209" i="67"/>
  <c r="F210" i="67"/>
  <c r="F211" i="67"/>
  <c r="F212" i="67"/>
  <c r="F213" i="67"/>
  <c r="F214" i="67"/>
  <c r="F215" i="67"/>
  <c r="F216" i="67"/>
  <c r="F217" i="67"/>
  <c r="F218" i="67"/>
  <c r="F219" i="67"/>
  <c r="F220" i="67"/>
  <c r="F221" i="67"/>
  <c r="F222" i="67"/>
  <c r="F223" i="67"/>
  <c r="F224" i="67"/>
  <c r="F225" i="67"/>
  <c r="F226" i="67"/>
  <c r="F227" i="67"/>
  <c r="F228" i="67"/>
  <c r="F229" i="67"/>
  <c r="F230" i="67"/>
  <c r="F231" i="67"/>
  <c r="F232" i="67"/>
  <c r="F233" i="67"/>
  <c r="F234" i="67"/>
  <c r="F235" i="67"/>
  <c r="F236" i="67"/>
  <c r="F237" i="67"/>
  <c r="F238" i="67"/>
  <c r="F239" i="67"/>
  <c r="F240" i="67"/>
  <c r="F241" i="67"/>
  <c r="F242" i="67"/>
  <c r="F243" i="67"/>
  <c r="F244" i="67"/>
  <c r="F245" i="67"/>
  <c r="F246" i="67"/>
  <c r="F247" i="67"/>
  <c r="F248" i="67"/>
  <c r="F249" i="67"/>
  <c r="F250" i="67"/>
  <c r="F251" i="67"/>
  <c r="F252" i="67"/>
  <c r="F253" i="67"/>
  <c r="F254" i="67"/>
  <c r="F255" i="67"/>
  <c r="F256" i="67"/>
  <c r="F257" i="67"/>
  <c r="F258" i="67"/>
  <c r="F259" i="67"/>
  <c r="F260" i="67"/>
  <c r="F261" i="67"/>
  <c r="F262" i="67"/>
  <c r="F263" i="67"/>
  <c r="F264" i="67"/>
  <c r="F265" i="67"/>
  <c r="F266" i="67"/>
  <c r="F267" i="67"/>
  <c r="F268" i="67"/>
  <c r="F269" i="67"/>
  <c r="F270" i="67"/>
  <c r="F271" i="67"/>
  <c r="F272" i="67"/>
  <c r="F273" i="67"/>
  <c r="F274" i="67"/>
  <c r="F275" i="67"/>
  <c r="F276" i="67"/>
  <c r="F277" i="67"/>
  <c r="F278" i="67"/>
  <c r="F279" i="67"/>
  <c r="F280" i="67"/>
  <c r="F281" i="67"/>
  <c r="F282" i="67"/>
  <c r="F283" i="67"/>
  <c r="F284" i="67"/>
  <c r="F285" i="67"/>
  <c r="F286" i="67"/>
  <c r="F287" i="67"/>
  <c r="F288" i="67"/>
  <c r="F289" i="67"/>
  <c r="F290" i="67"/>
  <c r="F291" i="67"/>
  <c r="F292" i="67"/>
  <c r="F293" i="67"/>
  <c r="F294" i="67"/>
  <c r="F295" i="67"/>
  <c r="F296" i="67"/>
  <c r="F297" i="67"/>
  <c r="F298" i="67"/>
  <c r="F299" i="67"/>
  <c r="F300" i="67"/>
  <c r="F301" i="67"/>
  <c r="F302" i="67"/>
  <c r="F303" i="67"/>
  <c r="F304" i="67"/>
  <c r="F305" i="67"/>
  <c r="F306" i="67"/>
  <c r="F307" i="67"/>
  <c r="F308" i="67"/>
  <c r="F309" i="67"/>
  <c r="F310" i="67"/>
  <c r="F311" i="67"/>
  <c r="F312" i="67"/>
  <c r="F313" i="67"/>
  <c r="F314" i="67"/>
  <c r="F315" i="67"/>
  <c r="F316" i="67"/>
  <c r="F317" i="67"/>
  <c r="F318" i="67"/>
  <c r="F319" i="67"/>
  <c r="F320" i="67"/>
  <c r="F321" i="67"/>
  <c r="F322" i="67"/>
  <c r="F323" i="67"/>
  <c r="F324" i="67"/>
  <c r="F325" i="67"/>
  <c r="F326" i="67"/>
  <c r="F327" i="67"/>
  <c r="F328" i="67"/>
  <c r="F329" i="67"/>
  <c r="F330" i="67"/>
  <c r="F331" i="67"/>
  <c r="F332" i="67"/>
  <c r="F333" i="67"/>
  <c r="F334" i="67"/>
  <c r="F335" i="67"/>
  <c r="F336" i="67"/>
  <c r="F337" i="67"/>
  <c r="F338" i="67"/>
  <c r="F339" i="67"/>
  <c r="F340" i="67"/>
  <c r="F341" i="67"/>
  <c r="F342" i="67"/>
  <c r="F343" i="67"/>
  <c r="F344" i="67"/>
  <c r="F345" i="67"/>
  <c r="F346" i="67"/>
  <c r="F347" i="67"/>
  <c r="F348" i="67"/>
  <c r="F349" i="67"/>
  <c r="F350" i="67"/>
  <c r="F351" i="67"/>
  <c r="F352" i="67"/>
  <c r="F353" i="67"/>
  <c r="F354" i="67"/>
  <c r="F355" i="67"/>
  <c r="F356" i="67"/>
  <c r="F357" i="67"/>
  <c r="F358" i="67"/>
  <c r="F359" i="67"/>
  <c r="F360" i="67"/>
  <c r="F361" i="67"/>
  <c r="F362" i="67"/>
  <c r="F363" i="67"/>
  <c r="F364" i="67"/>
  <c r="F365" i="67"/>
  <c r="F366" i="67"/>
  <c r="F367" i="67"/>
  <c r="F368" i="67"/>
  <c r="F369" i="67"/>
  <c r="F370" i="67"/>
  <c r="F371" i="67"/>
  <c r="F372" i="67"/>
  <c r="F373" i="67"/>
  <c r="F374" i="67"/>
  <c r="F375" i="67"/>
  <c r="F376" i="67"/>
  <c r="F377" i="67"/>
  <c r="F378" i="67"/>
  <c r="F379" i="67"/>
  <c r="F380" i="67"/>
  <c r="F381" i="67"/>
  <c r="F382" i="67"/>
  <c r="F383" i="67"/>
  <c r="F384" i="67"/>
  <c r="F385" i="67"/>
  <c r="F386" i="67"/>
  <c r="F387" i="67"/>
  <c r="F388" i="67"/>
  <c r="F389" i="67"/>
  <c r="F390" i="67"/>
  <c r="F391" i="67"/>
  <c r="F392" i="67"/>
  <c r="F393" i="67"/>
  <c r="F394" i="67"/>
  <c r="F395" i="67"/>
  <c r="F396" i="67"/>
  <c r="F397" i="67"/>
  <c r="F398" i="67"/>
  <c r="F399" i="67"/>
  <c r="F400" i="67"/>
  <c r="F401" i="67"/>
  <c r="F402" i="67"/>
  <c r="F403" i="67"/>
  <c r="F404" i="67"/>
  <c r="F405" i="67"/>
  <c r="F406" i="67"/>
  <c r="F407" i="67"/>
  <c r="F408" i="67"/>
  <c r="F409" i="67"/>
  <c r="F410" i="67"/>
  <c r="F411" i="67"/>
  <c r="F412" i="67"/>
  <c r="F413" i="67"/>
  <c r="F414" i="67"/>
  <c r="F415" i="67"/>
  <c r="F416" i="67"/>
  <c r="F417" i="67"/>
  <c r="F418" i="67"/>
  <c r="F419" i="67"/>
  <c r="F420" i="67"/>
  <c r="F421" i="67"/>
  <c r="F422" i="67"/>
  <c r="F423" i="67"/>
  <c r="F424" i="67"/>
  <c r="F425" i="67"/>
  <c r="F426" i="67"/>
  <c r="F427" i="67"/>
  <c r="F428" i="67"/>
  <c r="F429" i="67"/>
  <c r="F430" i="67"/>
  <c r="F431" i="67"/>
  <c r="F432" i="67"/>
  <c r="F433" i="67"/>
  <c r="F434" i="67"/>
  <c r="F435" i="67"/>
  <c r="F436" i="67"/>
  <c r="F437" i="67"/>
  <c r="F438" i="67"/>
  <c r="F439" i="67"/>
  <c r="F440" i="67"/>
  <c r="F441" i="67"/>
  <c r="F442" i="67"/>
  <c r="F443" i="67"/>
  <c r="F444" i="67"/>
  <c r="F445" i="67"/>
  <c r="F446" i="67"/>
  <c r="F447" i="67"/>
  <c r="F448" i="67"/>
  <c r="F449" i="67"/>
  <c r="F450" i="67"/>
  <c r="F451" i="67"/>
  <c r="F452" i="67"/>
  <c r="F453" i="67"/>
  <c r="F454" i="67"/>
  <c r="F455" i="67"/>
  <c r="F456" i="67"/>
  <c r="F457" i="67"/>
  <c r="F458" i="67"/>
  <c r="F459" i="67"/>
  <c r="F460" i="67"/>
  <c r="F461" i="67"/>
  <c r="F462" i="67"/>
  <c r="F463" i="67"/>
  <c r="F464" i="67"/>
  <c r="F465" i="67"/>
  <c r="F466" i="67"/>
  <c r="F467" i="67"/>
  <c r="F468" i="67"/>
  <c r="F469" i="67"/>
  <c r="F470" i="67"/>
  <c r="F471" i="67"/>
  <c r="F472" i="67"/>
  <c r="F473" i="67"/>
  <c r="F474" i="67"/>
  <c r="F475" i="67"/>
  <c r="F476" i="67"/>
  <c r="F477" i="67"/>
  <c r="F478" i="67"/>
  <c r="F479" i="67"/>
  <c r="F480" i="67"/>
  <c r="F481" i="67"/>
  <c r="F482" i="67"/>
  <c r="F483" i="67"/>
  <c r="F484" i="67"/>
  <c r="F485" i="67"/>
  <c r="F486" i="67"/>
  <c r="F487" i="67"/>
  <c r="F488" i="67"/>
  <c r="F489" i="67"/>
  <c r="F490" i="67"/>
  <c r="F491" i="67"/>
  <c r="F492" i="67"/>
  <c r="F493" i="67"/>
  <c r="F494" i="67"/>
  <c r="F495" i="67"/>
  <c r="F496" i="67"/>
  <c r="F497" i="67"/>
  <c r="F498" i="67"/>
  <c r="F499" i="67"/>
  <c r="F500" i="67"/>
  <c r="F501" i="67"/>
  <c r="F502" i="67"/>
  <c r="F503" i="67"/>
  <c r="F504" i="67"/>
  <c r="F505" i="67"/>
  <c r="F506" i="67"/>
  <c r="F507" i="67"/>
  <c r="F508" i="67"/>
  <c r="F509" i="67"/>
  <c r="F510" i="67"/>
  <c r="F511" i="67"/>
  <c r="F512" i="67"/>
  <c r="F513" i="67"/>
  <c r="F514" i="67"/>
  <c r="F515" i="67"/>
  <c r="F516" i="67"/>
  <c r="F517" i="67"/>
  <c r="F518" i="67"/>
  <c r="F519" i="67"/>
  <c r="F520" i="67"/>
  <c r="F521" i="67"/>
  <c r="F522" i="67"/>
  <c r="F523" i="67"/>
  <c r="F524" i="67"/>
  <c r="F525" i="67"/>
  <c r="F526" i="67"/>
  <c r="F527" i="67"/>
  <c r="F528" i="67"/>
  <c r="F529" i="67"/>
  <c r="F530" i="67"/>
  <c r="F531" i="67"/>
  <c r="F532" i="67"/>
  <c r="F533" i="67"/>
  <c r="F534" i="67"/>
  <c r="F535" i="67"/>
  <c r="F536" i="67"/>
  <c r="F537" i="67"/>
  <c r="F538" i="67"/>
  <c r="F539" i="67"/>
  <c r="F540" i="67"/>
  <c r="F541" i="67"/>
  <c r="F542" i="67"/>
  <c r="F543" i="67"/>
  <c r="F544" i="67"/>
  <c r="F545" i="67"/>
  <c r="F546" i="67"/>
  <c r="F547" i="67"/>
  <c r="F548" i="67"/>
  <c r="F549" i="67"/>
  <c r="F550" i="67"/>
  <c r="F551" i="67"/>
  <c r="F552" i="67"/>
  <c r="F553" i="67"/>
  <c r="F554" i="67"/>
  <c r="F555" i="67"/>
  <c r="F556" i="67"/>
  <c r="F557" i="67"/>
  <c r="F558" i="67"/>
  <c r="F559" i="67"/>
  <c r="F560" i="67"/>
  <c r="F561" i="67"/>
  <c r="F562" i="67"/>
  <c r="F563" i="67"/>
  <c r="F564" i="67"/>
  <c r="F565" i="67"/>
  <c r="F566" i="67"/>
  <c r="F567" i="67"/>
  <c r="F568" i="67"/>
  <c r="F569" i="67"/>
  <c r="F570" i="67"/>
  <c r="F571" i="67"/>
  <c r="F572" i="67"/>
  <c r="F573" i="67"/>
  <c r="F574" i="67"/>
  <c r="F575" i="67"/>
  <c r="F576" i="67"/>
  <c r="F577" i="67"/>
  <c r="F578" i="67"/>
  <c r="F579" i="67"/>
  <c r="F580" i="67"/>
  <c r="F581" i="67"/>
  <c r="F582" i="67"/>
  <c r="F583" i="67"/>
  <c r="F584" i="67"/>
  <c r="F585" i="67"/>
  <c r="F586" i="67"/>
  <c r="F587" i="67"/>
  <c r="F588" i="67"/>
  <c r="F589" i="67"/>
  <c r="F590" i="67"/>
  <c r="F591" i="67"/>
  <c r="F592" i="67"/>
  <c r="F593" i="67"/>
  <c r="F594" i="67"/>
  <c r="F595" i="67"/>
  <c r="F596" i="67"/>
  <c r="F597" i="67"/>
  <c r="F598" i="67"/>
  <c r="F599" i="67"/>
  <c r="F600" i="67"/>
  <c r="F601" i="67"/>
  <c r="F602" i="67"/>
  <c r="F603" i="67"/>
  <c r="F604" i="67"/>
  <c r="F605" i="67"/>
  <c r="F606" i="67"/>
  <c r="F607" i="67"/>
  <c r="F608" i="67"/>
  <c r="F609" i="67"/>
  <c r="F610" i="67"/>
  <c r="F611" i="67"/>
  <c r="F612" i="67"/>
  <c r="F613" i="67"/>
  <c r="F614" i="67"/>
  <c r="F615" i="67"/>
  <c r="F616" i="67"/>
  <c r="F617" i="67"/>
  <c r="F618" i="67"/>
  <c r="F619" i="67"/>
  <c r="F620" i="67"/>
  <c r="F621" i="67"/>
  <c r="F622" i="67"/>
  <c r="F623" i="67"/>
  <c r="F624" i="67"/>
  <c r="F625" i="67"/>
  <c r="F626" i="67"/>
  <c r="F627" i="67"/>
  <c r="F628" i="67"/>
  <c r="F629" i="67"/>
  <c r="F630" i="67"/>
  <c r="F631" i="67"/>
  <c r="F632" i="67"/>
  <c r="F633" i="67"/>
  <c r="F634" i="67"/>
  <c r="F635" i="67"/>
  <c r="F636" i="67"/>
  <c r="F637" i="67"/>
  <c r="F638" i="67"/>
  <c r="F639" i="67"/>
  <c r="F640" i="67"/>
  <c r="F641" i="67"/>
  <c r="F642" i="67"/>
  <c r="F643" i="67"/>
  <c r="F644" i="67"/>
  <c r="F645" i="67"/>
  <c r="F646" i="67"/>
  <c r="F647" i="67"/>
  <c r="F648" i="67"/>
  <c r="F649" i="67"/>
  <c r="F650" i="67"/>
  <c r="F651" i="67"/>
  <c r="F652" i="67"/>
  <c r="F653" i="67"/>
  <c r="F654" i="67"/>
  <c r="F655" i="67"/>
  <c r="F656" i="67"/>
  <c r="F657" i="67"/>
  <c r="F658" i="67"/>
  <c r="F659" i="67"/>
  <c r="F660" i="67"/>
  <c r="F661" i="67"/>
  <c r="F662" i="67"/>
  <c r="F663" i="67"/>
  <c r="F664" i="67"/>
  <c r="F665" i="67"/>
  <c r="F666" i="67"/>
  <c r="F667" i="67"/>
  <c r="F668" i="67"/>
  <c r="F669" i="67"/>
  <c r="F670" i="67"/>
  <c r="F671" i="67"/>
  <c r="F672" i="67"/>
  <c r="F673" i="67"/>
  <c r="F674" i="67"/>
  <c r="F675" i="67"/>
  <c r="F676" i="67"/>
  <c r="F677" i="67"/>
  <c r="F678" i="67"/>
  <c r="F679" i="67"/>
  <c r="F680" i="67"/>
  <c r="F681" i="67"/>
  <c r="F682" i="67"/>
  <c r="F683" i="67"/>
  <c r="F684" i="67"/>
  <c r="F685" i="67"/>
  <c r="F686" i="67"/>
  <c r="F687" i="67"/>
  <c r="F688" i="67"/>
  <c r="F689" i="67"/>
  <c r="F690" i="67"/>
  <c r="F691" i="67"/>
  <c r="F692" i="67"/>
  <c r="F693" i="67"/>
  <c r="F694" i="67"/>
  <c r="F695" i="67"/>
  <c r="F696" i="67"/>
  <c r="F697" i="67"/>
  <c r="F698" i="67"/>
  <c r="F699" i="67"/>
  <c r="F700" i="67"/>
  <c r="F701" i="67"/>
  <c r="F702" i="67"/>
  <c r="F703" i="67"/>
  <c r="F704" i="67"/>
  <c r="F705" i="67"/>
  <c r="F706" i="67"/>
  <c r="F707" i="67"/>
  <c r="F708" i="67"/>
  <c r="F709" i="67"/>
  <c r="F710" i="67"/>
  <c r="F711" i="67"/>
  <c r="F712" i="67"/>
  <c r="F713" i="67"/>
  <c r="F714" i="67"/>
  <c r="F715" i="67"/>
  <c r="F716" i="67"/>
  <c r="F717" i="67"/>
  <c r="F718" i="67"/>
  <c r="F719" i="67"/>
  <c r="F720" i="67"/>
  <c r="F721" i="67"/>
  <c r="F722" i="67"/>
  <c r="F723" i="67"/>
  <c r="F724" i="67"/>
  <c r="F725" i="67"/>
  <c r="F726" i="67"/>
  <c r="F727" i="67"/>
  <c r="F728" i="67"/>
  <c r="F729" i="67"/>
  <c r="F730" i="67"/>
  <c r="F731" i="67"/>
  <c r="F732" i="67"/>
  <c r="F733" i="67"/>
  <c r="F734" i="67"/>
  <c r="F735" i="67"/>
  <c r="F736" i="67"/>
  <c r="F737" i="67"/>
  <c r="F738" i="67"/>
  <c r="F739" i="67"/>
  <c r="F740" i="67"/>
  <c r="F741" i="67"/>
  <c r="F742" i="67"/>
  <c r="F743" i="67"/>
  <c r="F744" i="67"/>
  <c r="F745" i="67"/>
  <c r="F746" i="67"/>
  <c r="F747" i="67"/>
  <c r="F748" i="67"/>
  <c r="F749" i="67"/>
  <c r="F750" i="67"/>
  <c r="F751" i="67"/>
  <c r="F752" i="67"/>
  <c r="F753" i="67"/>
  <c r="F754" i="67"/>
  <c r="F755" i="67"/>
  <c r="F756" i="67"/>
  <c r="F757" i="67"/>
  <c r="F758" i="67"/>
  <c r="F759" i="67"/>
  <c r="F760" i="67"/>
  <c r="F761" i="67"/>
  <c r="F762" i="67"/>
  <c r="F763" i="67"/>
  <c r="F764" i="67"/>
  <c r="F765" i="67"/>
  <c r="F766" i="67"/>
  <c r="F767" i="67"/>
  <c r="F768" i="67"/>
  <c r="F769" i="67"/>
  <c r="F770" i="67"/>
  <c r="F771" i="67"/>
  <c r="F772" i="67"/>
  <c r="F773" i="67"/>
  <c r="F774" i="67"/>
  <c r="F775" i="67"/>
  <c r="F776" i="67"/>
  <c r="F777" i="67"/>
  <c r="F778" i="67"/>
  <c r="F779" i="67"/>
  <c r="F780" i="67"/>
  <c r="F781" i="67"/>
  <c r="F782" i="67"/>
  <c r="F783" i="67"/>
  <c r="F784" i="67"/>
  <c r="F785" i="67"/>
  <c r="F786" i="67"/>
  <c r="F787" i="67"/>
  <c r="F788" i="67"/>
  <c r="F789" i="67"/>
  <c r="F790" i="67"/>
  <c r="F791" i="67"/>
  <c r="F792" i="67"/>
  <c r="F793" i="67"/>
  <c r="F794" i="67"/>
  <c r="F795" i="67"/>
  <c r="F796" i="67"/>
  <c r="F797" i="67"/>
  <c r="F798" i="67"/>
  <c r="F799" i="67"/>
  <c r="F800" i="67"/>
  <c r="F801" i="67"/>
  <c r="F802" i="67"/>
  <c r="F803" i="67"/>
  <c r="F804" i="67"/>
  <c r="F805" i="67"/>
  <c r="F806" i="67"/>
  <c r="F807" i="67"/>
  <c r="F808" i="67"/>
  <c r="F809" i="67"/>
  <c r="F810" i="67"/>
  <c r="F811" i="67"/>
  <c r="F812" i="67"/>
  <c r="F813" i="67"/>
  <c r="F814" i="67"/>
  <c r="F815" i="67"/>
  <c r="F816" i="67"/>
  <c r="F817" i="67"/>
  <c r="F818" i="67"/>
  <c r="F819" i="67"/>
  <c r="F820" i="67"/>
  <c r="F821" i="67"/>
  <c r="F822" i="67"/>
  <c r="F823" i="67"/>
  <c r="F824" i="67"/>
  <c r="F825" i="67"/>
  <c r="F826" i="67"/>
  <c r="F827" i="67"/>
  <c r="F828" i="67"/>
  <c r="F829" i="67"/>
  <c r="F830" i="67"/>
  <c r="F831" i="67"/>
  <c r="F832" i="67"/>
  <c r="F833" i="67"/>
  <c r="F834" i="67"/>
  <c r="F835" i="67"/>
  <c r="F836" i="67"/>
  <c r="F837" i="67"/>
  <c r="F838" i="67"/>
  <c r="F839" i="67"/>
  <c r="F840" i="67"/>
  <c r="F841" i="67"/>
  <c r="F842" i="67"/>
  <c r="F843" i="67"/>
  <c r="F844" i="67"/>
  <c r="F845" i="67"/>
  <c r="F846" i="67"/>
  <c r="F847" i="67"/>
  <c r="F848" i="67"/>
  <c r="F849" i="67"/>
  <c r="F850" i="67"/>
  <c r="F851" i="67"/>
  <c r="F852" i="67"/>
  <c r="F853" i="67"/>
  <c r="F854" i="67"/>
  <c r="F855" i="67"/>
  <c r="F856" i="67"/>
  <c r="F857" i="67"/>
  <c r="F858" i="67"/>
  <c r="F859" i="67"/>
  <c r="F860" i="67"/>
  <c r="F861" i="67"/>
  <c r="F862" i="67"/>
  <c r="F863" i="67"/>
  <c r="F864" i="67"/>
  <c r="F865" i="67"/>
  <c r="F866" i="67"/>
  <c r="F867" i="67"/>
  <c r="F868" i="67"/>
  <c r="F869" i="67"/>
  <c r="F870" i="67"/>
  <c r="F871" i="67"/>
  <c r="F872" i="67"/>
  <c r="F873" i="67"/>
  <c r="F874" i="67"/>
  <c r="F875" i="67"/>
  <c r="F876" i="67"/>
  <c r="F877" i="67"/>
  <c r="F878" i="67"/>
  <c r="F879" i="67"/>
  <c r="F880" i="67"/>
  <c r="F881" i="67"/>
  <c r="F882" i="67"/>
  <c r="F883" i="67"/>
  <c r="F884" i="67"/>
  <c r="F885" i="67"/>
  <c r="F886" i="67"/>
  <c r="F887" i="67"/>
  <c r="F888" i="67"/>
  <c r="F889" i="67"/>
  <c r="F890" i="67"/>
  <c r="F891" i="67"/>
  <c r="F892" i="67"/>
  <c r="F893" i="67"/>
  <c r="F894" i="67"/>
  <c r="F895" i="67"/>
  <c r="F896" i="67"/>
  <c r="F897" i="67"/>
  <c r="F898" i="67"/>
  <c r="F899" i="67"/>
  <c r="F900" i="67"/>
  <c r="F901" i="67"/>
  <c r="F902" i="67"/>
  <c r="F903" i="67"/>
  <c r="F904" i="67"/>
  <c r="F905" i="67"/>
  <c r="F906" i="67"/>
  <c r="F907" i="67"/>
  <c r="F908" i="67"/>
  <c r="F909" i="67"/>
  <c r="F910" i="67"/>
  <c r="F911" i="67"/>
  <c r="F912" i="67"/>
  <c r="F913" i="67"/>
  <c r="F914" i="67"/>
  <c r="F915" i="67"/>
  <c r="F916" i="67"/>
  <c r="F917" i="67"/>
  <c r="F918" i="67"/>
  <c r="F919" i="67"/>
  <c r="F920" i="67"/>
  <c r="F921" i="67"/>
  <c r="F922" i="67"/>
  <c r="F923" i="67"/>
  <c r="F924" i="67"/>
  <c r="F925" i="67"/>
  <c r="F926" i="67"/>
  <c r="F927" i="67"/>
  <c r="F928" i="67"/>
  <c r="F929" i="67"/>
  <c r="F930" i="67"/>
  <c r="F931" i="67"/>
  <c r="F932" i="67"/>
  <c r="F933" i="67"/>
  <c r="F934" i="67"/>
  <c r="F935" i="67"/>
  <c r="F936" i="67"/>
  <c r="F937" i="67"/>
  <c r="F938" i="67"/>
  <c r="F939" i="67"/>
  <c r="F940" i="67"/>
  <c r="F941" i="67"/>
  <c r="F942" i="67"/>
  <c r="F943" i="67"/>
  <c r="F944" i="67"/>
  <c r="F945" i="67"/>
  <c r="F946" i="67"/>
  <c r="F947" i="67"/>
  <c r="F948" i="67"/>
  <c r="F949" i="67"/>
  <c r="F950" i="67"/>
  <c r="F951" i="67"/>
  <c r="F952" i="67"/>
  <c r="F953" i="67"/>
  <c r="F954" i="67"/>
  <c r="F955" i="67"/>
  <c r="F956" i="67"/>
  <c r="F957" i="67"/>
  <c r="F958" i="67"/>
  <c r="F959" i="67"/>
  <c r="F960" i="67"/>
  <c r="F961" i="67"/>
  <c r="F962" i="67"/>
  <c r="F963" i="67"/>
  <c r="F964" i="67"/>
  <c r="F965" i="67"/>
  <c r="F966" i="67"/>
  <c r="F967" i="67"/>
  <c r="F968" i="67"/>
  <c r="F969" i="67"/>
  <c r="F970" i="67"/>
  <c r="F971" i="67"/>
  <c r="F972" i="67"/>
  <c r="F973" i="67"/>
  <c r="F974" i="67"/>
  <c r="F975" i="67"/>
  <c r="F976" i="67"/>
  <c r="F977" i="67"/>
  <c r="F978" i="67"/>
  <c r="F979" i="67"/>
  <c r="F980" i="67"/>
  <c r="F981" i="67"/>
  <c r="F982" i="67"/>
  <c r="F983" i="67"/>
  <c r="F984" i="67"/>
  <c r="F985" i="67"/>
  <c r="F986" i="67"/>
  <c r="F987" i="67"/>
  <c r="F988" i="67"/>
  <c r="F989" i="67"/>
  <c r="F990" i="67"/>
  <c r="F991" i="67"/>
  <c r="F992" i="67"/>
  <c r="F993" i="67"/>
  <c r="F994" i="67"/>
  <c r="F995" i="67"/>
  <c r="F996" i="67"/>
  <c r="F997" i="67"/>
  <c r="F998" i="67"/>
  <c r="F999" i="67"/>
  <c r="F1000" i="67"/>
  <c r="F1001" i="67"/>
  <c r="F1002" i="67"/>
  <c r="F1003" i="67"/>
  <c r="F1004" i="67"/>
  <c r="F1005" i="67"/>
  <c r="F1006" i="67"/>
  <c r="F1007" i="67"/>
  <c r="F1008" i="67"/>
  <c r="F1009" i="67"/>
  <c r="F1010" i="67"/>
  <c r="F1011" i="67"/>
  <c r="F1012" i="67"/>
  <c r="F1013" i="67"/>
  <c r="F1014" i="67"/>
  <c r="F1015" i="67"/>
  <c r="F1016" i="67"/>
  <c r="F1017" i="67"/>
  <c r="F1018" i="67"/>
  <c r="F1019" i="67"/>
  <c r="F1020" i="67"/>
  <c r="F1021" i="67"/>
  <c r="F1022" i="67"/>
  <c r="F1023" i="67"/>
  <c r="F1024" i="67"/>
  <c r="F1025" i="67"/>
  <c r="F1026" i="67"/>
  <c r="F1027" i="67"/>
  <c r="F1028" i="67"/>
  <c r="F1029" i="67"/>
  <c r="F1030" i="67"/>
  <c r="F1031" i="67"/>
  <c r="F1032" i="67"/>
  <c r="F1033" i="67"/>
  <c r="F1034" i="67"/>
  <c r="F1035" i="67"/>
  <c r="F1036" i="67"/>
  <c r="F1037" i="67"/>
  <c r="F1038" i="67"/>
  <c r="F1039" i="67"/>
  <c r="F1040" i="67"/>
  <c r="F1041" i="67"/>
  <c r="F1042" i="67"/>
  <c r="F1043" i="67"/>
  <c r="F1044" i="67"/>
  <c r="F1045" i="67"/>
  <c r="F1046" i="67"/>
  <c r="F1047" i="67"/>
  <c r="F1048" i="67"/>
  <c r="F1049" i="67"/>
  <c r="F1050" i="67"/>
  <c r="F1051" i="67"/>
  <c r="F1052" i="67"/>
  <c r="F1053" i="67"/>
  <c r="F1054" i="67"/>
  <c r="F1055" i="67"/>
  <c r="F1056" i="67"/>
  <c r="F1057" i="67"/>
  <c r="F1058" i="67"/>
  <c r="F1059" i="67"/>
  <c r="F1060" i="67"/>
  <c r="F1061" i="67"/>
  <c r="F1062" i="67"/>
  <c r="F1063" i="67"/>
  <c r="F1064" i="67"/>
  <c r="F1065" i="67"/>
  <c r="F1066" i="67"/>
  <c r="F1067" i="67"/>
  <c r="F1068" i="67"/>
  <c r="F1069" i="67"/>
  <c r="F1070" i="67"/>
  <c r="F1071" i="67"/>
  <c r="F1072" i="67"/>
  <c r="F1073" i="67"/>
  <c r="F1074" i="67"/>
  <c r="F1075" i="67"/>
  <c r="F1076" i="67"/>
  <c r="F1077" i="67"/>
  <c r="F1078" i="67"/>
  <c r="F1079" i="67"/>
  <c r="F1080" i="67"/>
  <c r="F1081" i="67"/>
  <c r="F1082" i="67"/>
  <c r="F1083" i="67"/>
  <c r="F1084" i="67"/>
  <c r="F1085" i="67"/>
  <c r="F1086" i="67"/>
  <c r="F1087" i="67"/>
  <c r="F1088" i="67"/>
  <c r="F1089" i="67"/>
  <c r="F1090" i="67"/>
  <c r="F1091" i="67"/>
  <c r="F1092" i="67"/>
  <c r="F1093" i="67"/>
  <c r="F1094" i="67"/>
  <c r="F1095" i="67"/>
  <c r="F1096" i="67"/>
  <c r="F1097" i="67"/>
  <c r="F1098" i="67"/>
  <c r="F1099" i="67"/>
  <c r="F1100" i="67"/>
  <c r="F1101" i="67"/>
  <c r="F1102" i="67"/>
  <c r="F1103" i="67"/>
  <c r="F1104" i="67"/>
  <c r="F1105" i="67"/>
  <c r="F1106" i="67"/>
  <c r="F1107" i="67"/>
  <c r="F1108" i="67"/>
  <c r="F1109" i="67"/>
  <c r="F1110" i="67"/>
  <c r="F1111" i="67"/>
  <c r="F1112" i="67"/>
  <c r="F1113" i="67"/>
  <c r="F1114" i="67"/>
  <c r="F1115" i="67"/>
  <c r="F1116" i="67"/>
  <c r="F1117" i="67"/>
  <c r="F1118" i="67"/>
  <c r="F1119" i="67"/>
  <c r="F1120" i="67"/>
  <c r="F1121" i="67"/>
  <c r="F1122" i="67"/>
  <c r="F1123" i="67"/>
  <c r="F1124" i="67"/>
  <c r="F1125" i="67"/>
  <c r="F1126" i="67"/>
  <c r="F1127" i="67"/>
  <c r="F1128" i="67"/>
  <c r="F1129" i="67"/>
  <c r="F1130" i="67"/>
  <c r="F1131" i="67"/>
  <c r="F1132" i="67"/>
  <c r="F1133" i="67"/>
  <c r="F1134" i="67"/>
  <c r="F1135" i="67"/>
  <c r="F1136" i="67"/>
  <c r="F1137" i="67"/>
  <c r="F1138" i="67"/>
  <c r="F1139" i="67"/>
  <c r="F1140" i="67"/>
  <c r="F1141" i="67"/>
  <c r="F1142" i="67"/>
  <c r="F1143" i="67"/>
  <c r="F1144" i="67"/>
  <c r="F1145" i="67"/>
  <c r="F1146" i="67"/>
  <c r="F1147" i="67"/>
  <c r="F1148" i="67"/>
  <c r="F1149" i="67"/>
  <c r="F1150" i="67"/>
  <c r="F1151" i="67"/>
  <c r="F1152" i="67"/>
  <c r="F1153" i="67"/>
  <c r="F1154" i="67"/>
  <c r="F1155" i="67"/>
  <c r="F1156" i="67"/>
  <c r="F1157" i="67"/>
  <c r="F1158" i="67"/>
  <c r="F1159" i="67"/>
  <c r="F1160" i="67"/>
  <c r="F1161" i="67"/>
  <c r="F1162" i="67"/>
  <c r="F1163" i="67"/>
  <c r="F1164" i="67"/>
  <c r="F1165" i="67"/>
  <c r="F1166" i="67"/>
  <c r="F1167" i="67"/>
  <c r="F1168" i="67"/>
  <c r="F1169" i="67"/>
  <c r="F1170" i="67"/>
  <c r="F1171" i="67"/>
  <c r="F1172" i="67"/>
  <c r="F1173" i="67"/>
  <c r="F1174" i="67"/>
  <c r="F1175" i="67"/>
  <c r="F1176" i="67"/>
  <c r="F1177" i="67"/>
  <c r="F1178" i="67"/>
  <c r="F1179" i="67"/>
  <c r="F1180" i="67"/>
  <c r="F1181" i="67"/>
  <c r="F1182" i="67"/>
  <c r="F1183" i="67"/>
  <c r="F1184" i="67"/>
  <c r="F1185" i="67"/>
  <c r="F1186" i="67"/>
  <c r="F1187" i="67"/>
  <c r="F1188" i="67"/>
  <c r="F1189" i="67"/>
  <c r="F1190" i="67"/>
  <c r="F1191" i="67"/>
  <c r="F1192" i="67"/>
  <c r="F1193" i="67"/>
  <c r="F1194" i="67"/>
  <c r="F1195" i="67"/>
  <c r="F1196" i="67"/>
  <c r="F1197" i="67"/>
  <c r="F1198" i="67"/>
  <c r="F1199" i="67"/>
  <c r="F1200" i="67"/>
  <c r="F1201" i="67"/>
  <c r="F1202" i="67"/>
  <c r="F1203" i="67"/>
  <c r="F1204" i="67"/>
  <c r="F1205" i="67"/>
  <c r="F1206" i="67"/>
  <c r="F1207" i="67"/>
  <c r="F1208" i="67"/>
  <c r="F1209" i="67"/>
  <c r="F1210" i="67"/>
  <c r="F1211" i="67"/>
  <c r="F1212" i="67"/>
  <c r="F1213" i="67"/>
  <c r="F1214" i="67"/>
  <c r="F1215" i="67"/>
  <c r="F1216" i="67"/>
  <c r="F1217" i="67"/>
  <c r="F1218" i="67"/>
  <c r="F1219" i="67"/>
  <c r="F1220" i="67"/>
  <c r="F1221" i="67"/>
  <c r="F1222" i="67"/>
  <c r="F1223" i="67"/>
  <c r="F1224" i="67"/>
  <c r="F1225" i="67"/>
  <c r="F1226" i="67"/>
  <c r="F1227" i="67"/>
  <c r="F1228" i="67"/>
  <c r="F1229" i="67"/>
  <c r="F1230" i="67"/>
  <c r="F1231" i="67"/>
  <c r="F1232" i="67"/>
  <c r="F1233" i="67"/>
  <c r="F1234" i="67"/>
  <c r="F1235" i="67"/>
  <c r="F1236" i="67"/>
  <c r="F1237" i="67"/>
  <c r="F1238" i="67"/>
  <c r="F1239" i="67"/>
  <c r="F1240" i="67"/>
  <c r="F1241" i="67"/>
  <c r="F1242" i="67"/>
  <c r="F1243" i="67"/>
  <c r="F1244" i="67"/>
  <c r="F1245" i="67"/>
  <c r="F1246" i="67"/>
  <c r="F1247" i="67"/>
  <c r="F1248" i="67"/>
  <c r="F1249" i="67"/>
  <c r="F1250" i="67"/>
  <c r="F1251" i="67"/>
  <c r="F1252" i="67"/>
  <c r="F1253" i="67"/>
  <c r="F1254" i="67"/>
  <c r="F1255" i="67"/>
  <c r="F1256" i="67"/>
  <c r="F1257" i="67"/>
  <c r="F1258" i="67"/>
  <c r="F1259" i="67"/>
  <c r="F1260" i="67"/>
  <c r="F1261" i="67"/>
  <c r="F1262" i="67"/>
  <c r="F1263" i="67"/>
  <c r="F1264" i="67"/>
  <c r="F1265" i="67"/>
  <c r="F1266" i="67"/>
  <c r="F1267" i="67"/>
  <c r="F1268" i="67"/>
  <c r="F1269" i="67"/>
  <c r="F1270" i="67"/>
  <c r="F1271" i="67"/>
  <c r="F1272" i="67"/>
  <c r="F1273" i="67"/>
  <c r="F1274" i="67"/>
  <c r="F1275" i="67"/>
  <c r="F1276" i="67"/>
  <c r="F1277" i="67"/>
  <c r="F1278" i="67"/>
  <c r="F1279" i="67"/>
  <c r="F1280" i="67"/>
  <c r="F1281" i="67"/>
  <c r="F1282" i="67"/>
  <c r="F1283" i="67"/>
  <c r="F1284" i="67"/>
  <c r="F1285" i="67"/>
  <c r="F1286" i="67"/>
  <c r="F1287" i="67"/>
  <c r="F1288" i="67"/>
  <c r="F1289" i="67"/>
  <c r="F1290" i="67"/>
  <c r="F1291" i="67"/>
  <c r="F1292" i="67"/>
  <c r="F1293" i="67"/>
  <c r="F1294" i="67"/>
  <c r="F1295" i="67"/>
  <c r="F1296" i="67"/>
  <c r="F1297" i="67"/>
  <c r="F1298" i="67"/>
  <c r="F1299" i="67"/>
  <c r="F1300" i="67"/>
  <c r="F1301" i="67"/>
  <c r="F1302" i="67"/>
  <c r="F1303" i="67"/>
  <c r="F1304" i="67"/>
  <c r="F1305" i="67"/>
  <c r="F1306" i="67"/>
  <c r="F1307" i="67"/>
  <c r="F1308" i="67"/>
  <c r="F1309" i="67"/>
  <c r="F1310" i="67"/>
  <c r="F1311" i="67"/>
  <c r="F1312" i="67"/>
  <c r="F1313" i="67"/>
  <c r="F1314" i="67"/>
  <c r="F1315" i="67"/>
  <c r="F1316" i="67"/>
  <c r="F1317" i="67"/>
  <c r="F1318" i="67"/>
  <c r="F1319" i="67"/>
  <c r="F1320" i="67"/>
  <c r="F1321" i="67"/>
  <c r="F1322" i="67"/>
  <c r="F1323" i="67"/>
  <c r="F1324" i="67"/>
  <c r="F1325" i="67"/>
  <c r="F1326" i="67"/>
  <c r="F1327" i="67"/>
  <c r="F1328" i="67"/>
  <c r="F1329" i="67"/>
  <c r="F1330" i="67"/>
  <c r="F1331" i="67"/>
  <c r="F1332" i="67"/>
  <c r="F1333" i="67"/>
  <c r="F1334" i="67"/>
  <c r="F1335" i="67"/>
  <c r="F1336" i="67"/>
  <c r="F1337" i="67"/>
  <c r="F1338" i="67"/>
  <c r="F1339" i="67"/>
  <c r="F1340" i="67"/>
  <c r="F1341" i="67"/>
  <c r="F1342" i="67"/>
  <c r="F1343" i="67"/>
  <c r="F1344" i="67"/>
  <c r="F1345" i="67"/>
  <c r="F1346" i="67"/>
  <c r="F1347" i="67"/>
  <c r="F1348" i="67"/>
  <c r="F1349" i="67"/>
  <c r="F1350" i="67"/>
  <c r="F1351" i="67"/>
  <c r="F1352" i="67"/>
  <c r="F1353" i="67"/>
  <c r="F1354" i="67"/>
  <c r="F1355" i="67"/>
  <c r="F1356" i="67"/>
  <c r="F1357" i="67"/>
  <c r="F1358" i="67"/>
  <c r="F1359" i="67"/>
  <c r="F1360" i="67"/>
  <c r="F1361" i="67"/>
  <c r="F1362" i="67"/>
  <c r="F1363" i="67"/>
  <c r="F1364" i="67"/>
  <c r="F1365" i="67"/>
  <c r="F1366" i="67"/>
  <c r="F1367" i="67"/>
  <c r="F1368" i="67"/>
  <c r="F1369" i="67"/>
  <c r="F1370" i="67"/>
  <c r="F1371" i="67"/>
  <c r="F1372" i="67"/>
  <c r="F1373" i="67"/>
  <c r="F1374" i="67"/>
  <c r="F1375" i="67"/>
  <c r="F1376" i="67"/>
  <c r="F1377" i="67"/>
  <c r="F1378" i="67"/>
  <c r="F1379" i="67"/>
  <c r="F1380" i="67"/>
  <c r="F1381" i="67"/>
  <c r="F1382" i="67"/>
  <c r="F1383" i="67"/>
  <c r="F1384" i="67"/>
  <c r="F1385" i="67"/>
  <c r="F1386" i="67"/>
  <c r="F1387" i="67"/>
  <c r="F1388" i="67"/>
  <c r="F1389" i="67"/>
  <c r="F1390" i="67"/>
  <c r="F1391" i="67"/>
  <c r="F1392" i="67"/>
  <c r="F1393" i="67"/>
  <c r="F1394" i="67"/>
  <c r="F1395" i="67"/>
  <c r="F1396" i="67"/>
  <c r="F1397" i="67"/>
  <c r="F1398" i="67"/>
  <c r="F1399" i="67"/>
  <c r="F1400" i="67"/>
  <c r="F1401" i="67"/>
  <c r="F1402" i="67"/>
  <c r="F1403" i="67"/>
  <c r="F1404" i="67"/>
  <c r="F1405" i="67"/>
  <c r="F1406" i="67"/>
  <c r="F1407" i="67"/>
  <c r="F1408" i="67"/>
  <c r="F1409" i="67"/>
  <c r="F1410" i="67"/>
  <c r="F1411" i="67"/>
  <c r="F1412" i="67"/>
  <c r="F1413" i="67"/>
  <c r="F1414" i="67"/>
  <c r="F1415" i="67"/>
  <c r="F1416" i="67"/>
  <c r="F1417" i="67"/>
  <c r="F1418" i="67"/>
  <c r="F1419" i="67"/>
  <c r="F1420" i="67"/>
  <c r="F1421" i="67"/>
  <c r="F1422" i="67"/>
  <c r="F1423" i="67"/>
  <c r="F1424" i="67"/>
  <c r="F1425" i="67"/>
  <c r="F1426" i="67"/>
  <c r="F1427" i="67"/>
  <c r="F1428" i="67"/>
  <c r="F1429" i="67"/>
  <c r="F1430" i="67"/>
  <c r="F1431" i="67"/>
  <c r="F1432" i="67"/>
  <c r="F1433" i="67"/>
  <c r="F1434" i="67"/>
  <c r="F1435" i="67"/>
  <c r="F1436" i="67"/>
  <c r="F1437" i="67"/>
  <c r="F1438" i="67"/>
  <c r="F1439" i="67"/>
  <c r="F1440" i="67"/>
  <c r="F1441" i="67"/>
  <c r="F1442" i="67"/>
  <c r="F1443" i="67"/>
  <c r="F1444" i="67"/>
  <c r="F1445" i="67"/>
  <c r="F1446" i="67"/>
  <c r="F1447" i="67"/>
  <c r="F1448" i="67"/>
  <c r="F1449" i="67"/>
  <c r="F1450" i="67"/>
  <c r="F1451" i="67"/>
  <c r="F1452" i="67"/>
  <c r="F1453" i="67"/>
  <c r="F1454" i="67"/>
  <c r="F1455" i="67"/>
  <c r="F1456" i="67"/>
  <c r="F1457" i="67"/>
  <c r="F1458" i="67"/>
  <c r="F1459" i="67"/>
  <c r="F1460" i="67"/>
  <c r="F1461" i="67"/>
  <c r="F1462" i="67"/>
  <c r="F1463" i="67"/>
  <c r="F1464" i="67"/>
  <c r="F1465" i="67"/>
  <c r="F1466" i="67"/>
  <c r="F1467" i="67"/>
  <c r="F1468" i="67"/>
  <c r="F1469" i="67"/>
  <c r="F1470" i="67"/>
  <c r="F1471" i="67"/>
  <c r="F1472" i="67"/>
  <c r="F1473" i="67"/>
  <c r="F1474" i="67"/>
  <c r="F1475" i="67"/>
  <c r="F1476" i="67"/>
  <c r="F1477" i="67"/>
  <c r="F1478" i="67"/>
  <c r="F1479" i="67"/>
  <c r="F1480" i="67"/>
  <c r="F1481" i="67"/>
  <c r="F1482" i="67"/>
  <c r="F1483" i="67"/>
  <c r="F1484" i="67"/>
  <c r="F1485" i="67"/>
  <c r="F1486" i="67"/>
  <c r="F1487" i="67"/>
  <c r="F1488" i="67"/>
  <c r="F1489" i="67"/>
  <c r="F1490" i="67"/>
  <c r="F1491" i="67"/>
  <c r="F1492" i="67"/>
  <c r="F1493" i="67"/>
  <c r="F1494" i="67"/>
  <c r="F1495" i="67"/>
  <c r="F1496" i="67"/>
  <c r="F1497" i="67"/>
  <c r="F1498" i="67"/>
  <c r="F1499" i="67"/>
  <c r="F1500" i="67"/>
  <c r="F1501" i="67"/>
  <c r="F1502" i="67"/>
  <c r="F1503" i="67"/>
  <c r="F1504" i="67"/>
  <c r="F1505" i="67"/>
  <c r="F1506" i="67"/>
  <c r="F1507" i="67"/>
  <c r="F1508" i="67"/>
  <c r="F1509" i="67"/>
  <c r="F1510" i="67"/>
  <c r="F1511" i="67"/>
  <c r="F1512" i="67"/>
  <c r="F1513" i="67"/>
  <c r="F1514" i="67"/>
  <c r="F1515" i="67"/>
  <c r="F1516" i="67"/>
  <c r="F1517" i="67"/>
  <c r="F1518" i="67"/>
  <c r="F1519" i="67"/>
  <c r="F1520" i="67"/>
  <c r="F1521" i="67"/>
  <c r="F1522" i="67"/>
  <c r="F1523" i="67"/>
  <c r="F1524" i="67"/>
  <c r="F1525" i="67"/>
  <c r="F1526" i="67"/>
  <c r="F1527" i="67"/>
  <c r="F1528" i="67"/>
  <c r="F1529" i="67"/>
  <c r="F1530" i="67"/>
  <c r="F1531" i="67"/>
  <c r="F1532" i="67"/>
  <c r="F1533" i="67"/>
  <c r="F1534" i="67"/>
  <c r="F1535" i="67"/>
  <c r="F1536" i="67"/>
  <c r="F1537" i="67"/>
  <c r="F1538" i="67"/>
  <c r="F1539" i="67"/>
  <c r="F1540" i="67"/>
  <c r="F1541" i="67"/>
  <c r="A3" i="67"/>
  <c r="A4" i="67"/>
  <c r="A5" i="67"/>
  <c r="A6" i="67"/>
  <c r="A7" i="67"/>
  <c r="A8" i="67"/>
  <c r="A9" i="67"/>
  <c r="A10" i="67"/>
  <c r="A11" i="67"/>
  <c r="A12" i="67"/>
  <c r="A13" i="67"/>
  <c r="A14" i="67"/>
  <c r="A15" i="67"/>
  <c r="A16" i="67"/>
  <c r="A17" i="67"/>
  <c r="A18" i="67"/>
  <c r="A19" i="67"/>
  <c r="A20" i="67"/>
  <c r="A21" i="67"/>
  <c r="A22" i="67"/>
  <c r="A23" i="67"/>
  <c r="A24" i="67"/>
  <c r="A25" i="67"/>
  <c r="A26" i="67"/>
  <c r="A27" i="67"/>
  <c r="A28" i="67"/>
  <c r="A29" i="67"/>
  <c r="A30" i="67"/>
  <c r="A31" i="67"/>
  <c r="A32" i="67"/>
  <c r="A33" i="67"/>
  <c r="A34" i="67"/>
  <c r="A35" i="67"/>
  <c r="A36" i="67"/>
  <c r="A37" i="67"/>
  <c r="A38" i="67"/>
  <c r="A39" i="67"/>
  <c r="A40" i="67"/>
  <c r="A41" i="67"/>
  <c r="A42" i="67"/>
  <c r="A43" i="67"/>
  <c r="A44" i="67"/>
  <c r="A45" i="67"/>
  <c r="A46" i="67"/>
  <c r="A47" i="67"/>
  <c r="A48" i="67"/>
  <c r="A49" i="67"/>
  <c r="A50" i="67"/>
  <c r="A51" i="67"/>
  <c r="A52" i="67"/>
  <c r="A53" i="67"/>
  <c r="A54" i="67"/>
  <c r="A55" i="67"/>
  <c r="A56" i="67"/>
  <c r="A57" i="67"/>
  <c r="A58" i="67"/>
  <c r="A59" i="67"/>
  <c r="A60" i="67"/>
  <c r="A61" i="67"/>
  <c r="A62" i="67"/>
  <c r="A63" i="67"/>
  <c r="A64" i="67"/>
  <c r="A65" i="67"/>
  <c r="A66" i="67"/>
  <c r="A67" i="67"/>
  <c r="A68" i="67"/>
  <c r="A69" i="67"/>
  <c r="A70" i="67"/>
  <c r="A71" i="67"/>
  <c r="A72" i="67"/>
  <c r="A73" i="67"/>
  <c r="A74" i="67"/>
  <c r="A75" i="67"/>
  <c r="A76" i="67"/>
  <c r="A77" i="67"/>
  <c r="A78" i="67"/>
  <c r="A79" i="67"/>
  <c r="A80" i="67"/>
  <c r="A81" i="67"/>
  <c r="A82" i="67"/>
  <c r="A83" i="67"/>
  <c r="A84" i="67"/>
  <c r="A85" i="67"/>
  <c r="A86" i="67"/>
  <c r="A87" i="67"/>
  <c r="A88" i="67"/>
  <c r="A89" i="67"/>
  <c r="A90" i="67"/>
  <c r="A91" i="67"/>
  <c r="A92" i="67"/>
  <c r="A93" i="67"/>
  <c r="A94" i="67"/>
  <c r="A95" i="67"/>
  <c r="A96" i="67"/>
  <c r="A97" i="67"/>
  <c r="A98" i="67"/>
  <c r="A99" i="67"/>
  <c r="A100" i="67"/>
  <c r="A101" i="67"/>
  <c r="A102" i="67"/>
  <c r="A103" i="67"/>
  <c r="A104" i="67"/>
  <c r="A105" i="67"/>
  <c r="A106" i="67"/>
  <c r="A107" i="67"/>
  <c r="A108" i="67"/>
  <c r="A109" i="67"/>
  <c r="A110" i="67"/>
  <c r="A111" i="67"/>
  <c r="A112" i="67"/>
  <c r="A113" i="67"/>
  <c r="A114" i="67"/>
  <c r="A115" i="67"/>
  <c r="A116" i="67"/>
  <c r="A117" i="67"/>
  <c r="A118" i="67"/>
  <c r="A119" i="67"/>
  <c r="A120" i="67"/>
  <c r="A121" i="67"/>
  <c r="A122" i="67"/>
  <c r="A123" i="67"/>
  <c r="A124" i="67"/>
  <c r="A125" i="67"/>
  <c r="A126" i="67"/>
  <c r="A127" i="67"/>
  <c r="A128" i="67"/>
  <c r="A129" i="67"/>
  <c r="A130" i="67"/>
  <c r="A131" i="67"/>
  <c r="A132" i="67"/>
  <c r="A133" i="67"/>
  <c r="A134" i="67"/>
  <c r="A135" i="67"/>
  <c r="A136" i="67"/>
  <c r="A137" i="67"/>
  <c r="A138" i="67"/>
  <c r="A139" i="67"/>
  <c r="A140" i="67"/>
  <c r="A141" i="67"/>
  <c r="A142" i="67"/>
  <c r="A143" i="67"/>
  <c r="A144" i="67"/>
  <c r="A145" i="67"/>
  <c r="A146" i="67"/>
  <c r="A147" i="67"/>
  <c r="A148" i="67"/>
  <c r="A149" i="67"/>
  <c r="A150" i="67"/>
  <c r="A151" i="67"/>
  <c r="A152" i="67"/>
  <c r="A153" i="67"/>
  <c r="A154" i="67"/>
  <c r="A155" i="67"/>
  <c r="A156" i="67"/>
  <c r="A157" i="67"/>
  <c r="A158" i="67"/>
  <c r="A159" i="67"/>
  <c r="A160" i="67"/>
  <c r="A161" i="67"/>
  <c r="A162" i="67"/>
  <c r="A163" i="67"/>
  <c r="A164" i="67"/>
  <c r="A165" i="67"/>
  <c r="A166" i="67"/>
  <c r="A167" i="67"/>
  <c r="A168" i="67"/>
  <c r="A169" i="67"/>
  <c r="A170" i="67"/>
  <c r="A171" i="67"/>
  <c r="A172" i="67"/>
  <c r="A173" i="67"/>
  <c r="A174" i="67"/>
  <c r="A175" i="67"/>
  <c r="A176" i="67"/>
  <c r="A177" i="67"/>
  <c r="A178" i="67"/>
  <c r="A179" i="67"/>
  <c r="A180" i="67"/>
  <c r="A181" i="67"/>
  <c r="A182" i="67"/>
  <c r="A183" i="67"/>
  <c r="A184" i="67"/>
  <c r="A185" i="67"/>
  <c r="A186" i="67"/>
  <c r="A187" i="67"/>
  <c r="A188" i="67"/>
  <c r="A189" i="67"/>
  <c r="A190" i="67"/>
  <c r="A191" i="67"/>
  <c r="A192" i="67"/>
  <c r="A193" i="67"/>
  <c r="A194" i="67"/>
  <c r="A195" i="67"/>
  <c r="A196" i="67"/>
  <c r="A197" i="67"/>
  <c r="A198" i="67"/>
  <c r="A199" i="67"/>
  <c r="A200" i="67"/>
  <c r="A201" i="67"/>
  <c r="A202" i="67"/>
  <c r="A203" i="67"/>
  <c r="A204" i="67"/>
  <c r="A205" i="67"/>
  <c r="A206" i="67"/>
  <c r="A207" i="67"/>
  <c r="A208" i="67"/>
  <c r="A209" i="67"/>
  <c r="A210" i="67"/>
  <c r="A211" i="67"/>
  <c r="A212" i="67"/>
  <c r="A213" i="67"/>
  <c r="A214" i="67"/>
  <c r="A215" i="67"/>
  <c r="A216" i="67"/>
  <c r="A217" i="67"/>
  <c r="A218" i="67"/>
  <c r="A219" i="67"/>
  <c r="A220" i="67"/>
  <c r="A221" i="67"/>
  <c r="A222" i="67"/>
  <c r="A223" i="67"/>
  <c r="A224" i="67"/>
  <c r="A225" i="67"/>
  <c r="A226" i="67"/>
  <c r="A227" i="67"/>
  <c r="A228" i="67"/>
  <c r="A229" i="67"/>
  <c r="A230" i="67"/>
  <c r="A231" i="67"/>
  <c r="A232" i="67"/>
  <c r="A233" i="67"/>
  <c r="A234" i="67"/>
  <c r="A235" i="67"/>
  <c r="A236" i="67"/>
  <c r="A237" i="67"/>
  <c r="A238" i="67"/>
  <c r="A239" i="67"/>
  <c r="A240" i="67"/>
  <c r="A241" i="67"/>
  <c r="A242" i="67"/>
  <c r="A243" i="67"/>
  <c r="A244" i="67"/>
  <c r="A245" i="67"/>
  <c r="A246" i="67"/>
  <c r="A247" i="67"/>
  <c r="A248" i="67"/>
  <c r="A249" i="67"/>
  <c r="A250" i="67"/>
  <c r="A251" i="67"/>
  <c r="A252" i="67"/>
  <c r="A253" i="67"/>
  <c r="A254" i="67"/>
  <c r="A255" i="67"/>
  <c r="A256" i="67"/>
  <c r="A257" i="67"/>
  <c r="A258" i="67"/>
  <c r="A259" i="67"/>
  <c r="A260" i="67"/>
  <c r="A261" i="67"/>
  <c r="A262" i="67"/>
  <c r="A263" i="67"/>
  <c r="A264" i="67"/>
  <c r="A265" i="67"/>
  <c r="A266" i="67"/>
  <c r="A267" i="67"/>
  <c r="A268" i="67"/>
  <c r="A269" i="67"/>
  <c r="A270" i="67"/>
  <c r="A271" i="67"/>
  <c r="A272" i="67"/>
  <c r="A273" i="67"/>
  <c r="A274" i="67"/>
  <c r="A275" i="67"/>
  <c r="A276" i="67"/>
  <c r="A277" i="67"/>
  <c r="A278" i="67"/>
  <c r="A279" i="67"/>
  <c r="A280" i="67"/>
  <c r="A281" i="67"/>
  <c r="A282" i="67"/>
  <c r="A283" i="67"/>
  <c r="A284" i="67"/>
  <c r="A285" i="67"/>
  <c r="A286" i="67"/>
  <c r="A287" i="67"/>
  <c r="A288" i="67"/>
  <c r="A289" i="67"/>
  <c r="A290" i="67"/>
  <c r="A291" i="67"/>
  <c r="A292" i="67"/>
  <c r="A293" i="67"/>
  <c r="A294" i="67"/>
  <c r="A295" i="67"/>
  <c r="A296" i="67"/>
  <c r="A297" i="67"/>
  <c r="A298" i="67"/>
  <c r="A299" i="67"/>
  <c r="A300" i="67"/>
  <c r="A301" i="67"/>
  <c r="A302" i="67"/>
  <c r="A303" i="67"/>
  <c r="A304" i="67"/>
  <c r="A305" i="67"/>
  <c r="A306" i="67"/>
  <c r="A307" i="67"/>
  <c r="A308" i="67"/>
  <c r="A309" i="67"/>
  <c r="A310" i="67"/>
  <c r="A311" i="67"/>
  <c r="A312" i="67"/>
  <c r="A313" i="67"/>
  <c r="A314" i="67"/>
  <c r="A315" i="67"/>
  <c r="A316" i="67"/>
  <c r="A317" i="67"/>
  <c r="A318" i="67"/>
  <c r="A319" i="67"/>
  <c r="A320" i="67"/>
  <c r="A321" i="67"/>
  <c r="A322" i="67"/>
  <c r="A323" i="67"/>
  <c r="A324" i="67"/>
  <c r="A325" i="67"/>
  <c r="A326" i="67"/>
  <c r="A327" i="67"/>
  <c r="A328" i="67"/>
  <c r="A329" i="67"/>
  <c r="A330" i="67"/>
  <c r="A331" i="67"/>
  <c r="A332" i="67"/>
  <c r="A333" i="67"/>
  <c r="A334" i="67"/>
  <c r="A335" i="67"/>
  <c r="A336" i="67"/>
  <c r="A337" i="67"/>
  <c r="A338" i="67"/>
  <c r="A339" i="67"/>
  <c r="A340" i="67"/>
  <c r="A341" i="67"/>
  <c r="A342" i="67"/>
  <c r="A343" i="67"/>
  <c r="A344" i="67"/>
  <c r="A345" i="67"/>
  <c r="A346" i="67"/>
  <c r="A347" i="67"/>
  <c r="A348" i="67"/>
  <c r="A349" i="67"/>
  <c r="A350" i="67"/>
  <c r="A351" i="67"/>
  <c r="A352" i="67"/>
  <c r="A353" i="67"/>
  <c r="A354" i="67"/>
  <c r="A355" i="67"/>
  <c r="A356" i="67"/>
  <c r="A357" i="67"/>
  <c r="A358" i="67"/>
  <c r="A359" i="67"/>
  <c r="A360" i="67"/>
  <c r="A361" i="67"/>
  <c r="A362" i="67"/>
  <c r="A363" i="67"/>
  <c r="A364" i="67"/>
  <c r="A365" i="67"/>
  <c r="A366" i="67"/>
  <c r="A367" i="67"/>
  <c r="A368" i="67"/>
  <c r="A369" i="67"/>
  <c r="A370" i="67"/>
  <c r="A371" i="67"/>
  <c r="A372" i="67"/>
  <c r="A373" i="67"/>
  <c r="A374" i="67"/>
  <c r="A375" i="67"/>
  <c r="A376" i="67"/>
  <c r="A377" i="67"/>
  <c r="A378" i="67"/>
  <c r="A379" i="67"/>
  <c r="A380" i="67"/>
  <c r="A381" i="67"/>
  <c r="A382" i="67"/>
  <c r="A383" i="67"/>
  <c r="A384" i="67"/>
  <c r="A385" i="67"/>
  <c r="A386" i="67"/>
  <c r="A387" i="67"/>
  <c r="A388" i="67"/>
  <c r="A389" i="67"/>
  <c r="A390" i="67"/>
  <c r="A391" i="67"/>
  <c r="A392" i="67"/>
  <c r="A393" i="67"/>
  <c r="A394" i="67"/>
  <c r="A395" i="67"/>
  <c r="A396" i="67"/>
  <c r="A397" i="67"/>
  <c r="A398" i="67"/>
  <c r="A399" i="67"/>
  <c r="A400" i="67"/>
  <c r="A401" i="67"/>
  <c r="A402" i="67"/>
  <c r="A403" i="67"/>
  <c r="A404" i="67"/>
  <c r="A405" i="67"/>
  <c r="A406" i="67"/>
  <c r="A407" i="67"/>
  <c r="A408" i="67"/>
  <c r="A409" i="67"/>
  <c r="A410" i="67"/>
  <c r="A411" i="67"/>
  <c r="A412" i="67"/>
  <c r="A413" i="67"/>
  <c r="A414" i="67"/>
  <c r="A415" i="67"/>
  <c r="A416" i="67"/>
  <c r="A417" i="67"/>
  <c r="A418" i="67"/>
  <c r="A419" i="67"/>
  <c r="A420" i="67"/>
  <c r="A421" i="67"/>
  <c r="A422" i="67"/>
  <c r="A423" i="67"/>
  <c r="A424" i="67"/>
  <c r="A425" i="67"/>
  <c r="A426" i="67"/>
  <c r="A427" i="67"/>
  <c r="A428" i="67"/>
  <c r="A429" i="67"/>
  <c r="A430" i="67"/>
  <c r="A431" i="67"/>
  <c r="A432" i="67"/>
  <c r="A433" i="67"/>
  <c r="A434" i="67"/>
  <c r="A435" i="67"/>
  <c r="A436" i="67"/>
  <c r="A437" i="67"/>
  <c r="A438" i="67"/>
  <c r="A439" i="67"/>
  <c r="A440" i="67"/>
  <c r="A441" i="67"/>
  <c r="A442" i="67"/>
  <c r="A443" i="67"/>
  <c r="A444" i="67"/>
  <c r="A445" i="67"/>
  <c r="A446" i="67"/>
  <c r="A447" i="67"/>
  <c r="A448" i="67"/>
  <c r="A449" i="67"/>
  <c r="A450" i="67"/>
  <c r="A451" i="67"/>
  <c r="A452" i="67"/>
  <c r="A453" i="67"/>
  <c r="A454" i="67"/>
  <c r="A455" i="67"/>
  <c r="A456" i="67"/>
  <c r="A457" i="67"/>
  <c r="A458" i="67"/>
  <c r="A459" i="67"/>
  <c r="A460" i="67"/>
  <c r="A461" i="67"/>
  <c r="A462" i="67"/>
  <c r="A463" i="67"/>
  <c r="A464" i="67"/>
  <c r="A465" i="67"/>
  <c r="A466" i="67"/>
  <c r="A467" i="67"/>
  <c r="A468" i="67"/>
  <c r="A469" i="67"/>
  <c r="A470" i="67"/>
  <c r="A471" i="67"/>
  <c r="A472" i="67"/>
  <c r="A473" i="67"/>
  <c r="A474" i="67"/>
  <c r="A475" i="67"/>
  <c r="A476" i="67"/>
  <c r="A477" i="67"/>
  <c r="A478" i="67"/>
  <c r="A479" i="67"/>
  <c r="A480" i="67"/>
  <c r="A481" i="67"/>
  <c r="A482" i="67"/>
  <c r="A483" i="67"/>
  <c r="A484" i="67"/>
  <c r="A485" i="67"/>
  <c r="A486" i="67"/>
  <c r="A487" i="67"/>
  <c r="A488" i="67"/>
  <c r="A489" i="67"/>
  <c r="A490" i="67"/>
  <c r="A491" i="67"/>
  <c r="A492" i="67"/>
  <c r="A493" i="67"/>
  <c r="A494" i="67"/>
  <c r="A495" i="67"/>
  <c r="A496" i="67"/>
  <c r="A497" i="67"/>
  <c r="A498" i="67"/>
  <c r="A499" i="67"/>
  <c r="A500" i="67"/>
  <c r="A501" i="67"/>
  <c r="A502" i="67"/>
  <c r="A503" i="67"/>
  <c r="A504" i="67"/>
  <c r="A505" i="67"/>
  <c r="A506" i="67"/>
  <c r="A507" i="67"/>
  <c r="A508" i="67"/>
  <c r="A509" i="67"/>
  <c r="A510" i="67"/>
  <c r="A511" i="67"/>
  <c r="A512" i="67"/>
  <c r="A513" i="67"/>
  <c r="A514" i="67"/>
  <c r="A515" i="67"/>
  <c r="A516" i="67"/>
  <c r="A517" i="67"/>
  <c r="A518" i="67"/>
  <c r="A519" i="67"/>
  <c r="A520" i="67"/>
  <c r="A521" i="67"/>
  <c r="A522" i="67"/>
  <c r="A523" i="67"/>
  <c r="A524" i="67"/>
  <c r="A525" i="67"/>
  <c r="A526" i="67"/>
  <c r="A527" i="67"/>
  <c r="A528" i="67"/>
  <c r="A529" i="67"/>
  <c r="A530" i="67"/>
  <c r="A531" i="67"/>
  <c r="A532" i="67"/>
  <c r="A533" i="67"/>
  <c r="A534" i="67"/>
  <c r="A535" i="67"/>
  <c r="A536" i="67"/>
  <c r="A537" i="67"/>
  <c r="A538" i="67"/>
  <c r="A539" i="67"/>
  <c r="A540" i="67"/>
  <c r="A541" i="67"/>
  <c r="A542" i="67"/>
  <c r="A543" i="67"/>
  <c r="A544" i="67"/>
  <c r="A545" i="67"/>
  <c r="A546" i="67"/>
  <c r="A547" i="67"/>
  <c r="A548" i="67"/>
  <c r="A549" i="67"/>
  <c r="A550" i="67"/>
  <c r="A551" i="67"/>
  <c r="A552" i="67"/>
  <c r="A553" i="67"/>
  <c r="A554" i="67"/>
  <c r="A555" i="67"/>
  <c r="A556" i="67"/>
  <c r="A557" i="67"/>
  <c r="A558" i="67"/>
  <c r="A559" i="67"/>
  <c r="A560" i="67"/>
  <c r="A561" i="67"/>
  <c r="A562" i="67"/>
  <c r="A563" i="67"/>
  <c r="A564" i="67"/>
  <c r="A565" i="67"/>
  <c r="A566" i="67"/>
  <c r="A567" i="67"/>
  <c r="A568" i="67"/>
  <c r="A569" i="67"/>
  <c r="A570" i="67"/>
  <c r="A571" i="67"/>
  <c r="A572" i="67"/>
  <c r="A573" i="67"/>
  <c r="A574" i="67"/>
  <c r="A575" i="67"/>
  <c r="A576" i="67"/>
  <c r="A577" i="67"/>
  <c r="A578" i="67"/>
  <c r="A579" i="67"/>
  <c r="A580" i="67"/>
  <c r="A581" i="67"/>
  <c r="A582" i="67"/>
  <c r="A583" i="67"/>
  <c r="A584" i="67"/>
  <c r="A585" i="67"/>
  <c r="A586" i="67"/>
  <c r="A587" i="67"/>
  <c r="A588" i="67"/>
  <c r="A589" i="67"/>
  <c r="A590" i="67"/>
  <c r="A591" i="67"/>
  <c r="A592" i="67"/>
  <c r="A593" i="67"/>
  <c r="A594" i="67"/>
  <c r="A595" i="67"/>
  <c r="A596" i="67"/>
  <c r="A597" i="67"/>
  <c r="A598" i="67"/>
  <c r="A599" i="67"/>
  <c r="A600" i="67"/>
  <c r="A601" i="67"/>
  <c r="A602" i="67"/>
  <c r="A603" i="67"/>
  <c r="A604" i="67"/>
  <c r="A605" i="67"/>
  <c r="A606" i="67"/>
  <c r="A607" i="67"/>
  <c r="A608" i="67"/>
  <c r="A609" i="67"/>
  <c r="A610" i="67"/>
  <c r="A611" i="67"/>
  <c r="A612" i="67"/>
  <c r="A613" i="67"/>
  <c r="A614" i="67"/>
  <c r="A615" i="67"/>
  <c r="A616" i="67"/>
  <c r="A617" i="67"/>
  <c r="A618" i="67"/>
  <c r="A619" i="67"/>
  <c r="A620" i="67"/>
  <c r="A621" i="67"/>
  <c r="A622" i="67"/>
  <c r="A623" i="67"/>
  <c r="A624" i="67"/>
  <c r="A625" i="67"/>
  <c r="A626" i="67"/>
  <c r="A627" i="67"/>
  <c r="A628" i="67"/>
  <c r="A629" i="67"/>
  <c r="A630" i="67"/>
  <c r="A631" i="67"/>
  <c r="A632" i="67"/>
  <c r="A633" i="67"/>
  <c r="A634" i="67"/>
  <c r="A635" i="67"/>
  <c r="A636" i="67"/>
  <c r="A637" i="67"/>
  <c r="A638" i="67"/>
  <c r="A639" i="67"/>
  <c r="A640" i="67"/>
  <c r="A641" i="67"/>
  <c r="A642" i="67"/>
  <c r="A643" i="67"/>
  <c r="A644" i="67"/>
  <c r="A645" i="67"/>
  <c r="A646" i="67"/>
  <c r="A647" i="67"/>
  <c r="A648" i="67"/>
  <c r="A649" i="67"/>
  <c r="A650" i="67"/>
  <c r="A651" i="67"/>
  <c r="A652" i="67"/>
  <c r="A653" i="67"/>
  <c r="A654" i="67"/>
  <c r="A655" i="67"/>
  <c r="A656" i="67"/>
  <c r="A657" i="67"/>
  <c r="A658" i="67"/>
  <c r="A659" i="67"/>
  <c r="A660" i="67"/>
  <c r="A661" i="67"/>
  <c r="A662" i="67"/>
  <c r="A663" i="67"/>
  <c r="A664" i="67"/>
  <c r="A665" i="67"/>
  <c r="A666" i="67"/>
  <c r="A667" i="67"/>
  <c r="A668" i="67"/>
  <c r="A669" i="67"/>
  <c r="A670" i="67"/>
  <c r="A671" i="67"/>
  <c r="A672" i="67"/>
  <c r="A673" i="67"/>
  <c r="A674" i="67"/>
  <c r="A675" i="67"/>
  <c r="A676" i="67"/>
  <c r="A677" i="67"/>
  <c r="A678" i="67"/>
  <c r="A679" i="67"/>
  <c r="A680" i="67"/>
  <c r="A681" i="67"/>
  <c r="A682" i="67"/>
  <c r="A683" i="67"/>
  <c r="A684" i="67"/>
  <c r="A685" i="67"/>
  <c r="A686" i="67"/>
  <c r="A687" i="67"/>
  <c r="A688" i="67"/>
  <c r="A689" i="67"/>
  <c r="A690" i="67"/>
  <c r="A691" i="67"/>
  <c r="A692" i="67"/>
  <c r="A693" i="67"/>
  <c r="A694" i="67"/>
  <c r="A695" i="67"/>
  <c r="A696" i="67"/>
  <c r="A697" i="67"/>
  <c r="A698" i="67"/>
  <c r="A699" i="67"/>
  <c r="A700" i="67"/>
  <c r="A701" i="67"/>
  <c r="A702" i="67"/>
  <c r="A703" i="67"/>
  <c r="A704" i="67"/>
  <c r="A705" i="67"/>
  <c r="A706" i="67"/>
  <c r="A707" i="67"/>
  <c r="A708" i="67"/>
  <c r="A709" i="67"/>
  <c r="A710" i="67"/>
  <c r="A711" i="67"/>
  <c r="A712" i="67"/>
  <c r="A713" i="67"/>
  <c r="A714" i="67"/>
  <c r="A715" i="67"/>
  <c r="A716" i="67"/>
  <c r="A717" i="67"/>
  <c r="A718" i="67"/>
  <c r="A719" i="67"/>
  <c r="A720" i="67"/>
  <c r="A721" i="67"/>
  <c r="A722" i="67"/>
  <c r="A723" i="67"/>
  <c r="A724" i="67"/>
  <c r="A725" i="67"/>
  <c r="A726" i="67"/>
  <c r="A727" i="67"/>
  <c r="A728" i="67"/>
  <c r="A729" i="67"/>
  <c r="A730" i="67"/>
  <c r="A731" i="67"/>
  <c r="A732" i="67"/>
  <c r="A733" i="67"/>
  <c r="A734" i="67"/>
  <c r="A735" i="67"/>
  <c r="A736" i="67"/>
  <c r="A737" i="67"/>
  <c r="A738" i="67"/>
  <c r="A739" i="67"/>
  <c r="A740" i="67"/>
  <c r="A741" i="67"/>
  <c r="A742" i="67"/>
  <c r="A743" i="67"/>
  <c r="A744" i="67"/>
  <c r="A745" i="67"/>
  <c r="A746" i="67"/>
  <c r="A747" i="67"/>
  <c r="A748" i="67"/>
  <c r="A749" i="67"/>
  <c r="A750" i="67"/>
  <c r="A751" i="67"/>
  <c r="A752" i="67"/>
  <c r="A753" i="67"/>
  <c r="A754" i="67"/>
  <c r="A755" i="67"/>
  <c r="A756" i="67"/>
  <c r="A757" i="67"/>
  <c r="A758" i="67"/>
  <c r="A759" i="67"/>
  <c r="A760" i="67"/>
  <c r="A761" i="67"/>
  <c r="A762" i="67"/>
  <c r="A763" i="67"/>
  <c r="A764" i="67"/>
  <c r="A765" i="67"/>
  <c r="A766" i="67"/>
  <c r="A767" i="67"/>
  <c r="A768" i="67"/>
  <c r="A769" i="67"/>
  <c r="A770" i="67"/>
  <c r="A771" i="67"/>
  <c r="A772" i="67"/>
  <c r="A773" i="67"/>
  <c r="A774" i="67"/>
  <c r="A775" i="67"/>
  <c r="A776" i="67"/>
  <c r="A777" i="67"/>
  <c r="A778" i="67"/>
  <c r="A779" i="67"/>
  <c r="A780" i="67"/>
  <c r="A781" i="67"/>
  <c r="A782" i="67"/>
  <c r="A783" i="67"/>
  <c r="A784" i="67"/>
  <c r="A785" i="67"/>
  <c r="A786" i="67"/>
  <c r="A787" i="67"/>
  <c r="A788" i="67"/>
  <c r="A789" i="67"/>
  <c r="A790" i="67"/>
  <c r="A791" i="67"/>
  <c r="A792" i="67"/>
  <c r="A793" i="67"/>
  <c r="A794" i="67"/>
  <c r="A795" i="67"/>
  <c r="A796" i="67"/>
  <c r="A797" i="67"/>
  <c r="A798" i="67"/>
  <c r="A799" i="67"/>
  <c r="A800" i="67"/>
  <c r="A801" i="67"/>
  <c r="A802" i="67"/>
  <c r="A803" i="67"/>
  <c r="A804" i="67"/>
  <c r="A805" i="67"/>
  <c r="A806" i="67"/>
  <c r="A807" i="67"/>
  <c r="A808" i="67"/>
  <c r="A809" i="67"/>
  <c r="A810" i="67"/>
  <c r="A811" i="67"/>
  <c r="A812" i="67"/>
  <c r="A813" i="67"/>
  <c r="A814" i="67"/>
  <c r="A815" i="67"/>
  <c r="A816" i="67"/>
  <c r="A817" i="67"/>
  <c r="A818" i="67"/>
  <c r="A819" i="67"/>
  <c r="A820" i="67"/>
  <c r="A821" i="67"/>
  <c r="A822" i="67"/>
  <c r="A823" i="67"/>
  <c r="A824" i="67"/>
  <c r="A825" i="67"/>
  <c r="A826" i="67"/>
  <c r="A827" i="67"/>
  <c r="A828" i="67"/>
  <c r="A829" i="67"/>
  <c r="A830" i="67"/>
  <c r="A831" i="67"/>
  <c r="A832" i="67"/>
  <c r="A833" i="67"/>
  <c r="A834" i="67"/>
  <c r="A835" i="67"/>
  <c r="A836" i="67"/>
  <c r="A837" i="67"/>
  <c r="A838" i="67"/>
  <c r="A839" i="67"/>
  <c r="A840" i="67"/>
  <c r="A841" i="67"/>
  <c r="A842" i="67"/>
  <c r="A843" i="67"/>
  <c r="A844" i="67"/>
  <c r="A845" i="67"/>
  <c r="A846" i="67"/>
  <c r="A847" i="67"/>
  <c r="A848" i="67"/>
  <c r="A849" i="67"/>
  <c r="A850" i="67"/>
  <c r="A851" i="67"/>
  <c r="A852" i="67"/>
  <c r="A853" i="67"/>
  <c r="A854" i="67"/>
  <c r="A855" i="67"/>
  <c r="A856" i="67"/>
  <c r="A857" i="67"/>
  <c r="A858" i="67"/>
  <c r="A859" i="67"/>
  <c r="A860" i="67"/>
  <c r="A861" i="67"/>
  <c r="A862" i="67"/>
  <c r="A863" i="67"/>
  <c r="A864" i="67"/>
  <c r="A865" i="67"/>
  <c r="A866" i="67"/>
  <c r="A867" i="67"/>
  <c r="A868" i="67"/>
  <c r="A869" i="67"/>
  <c r="A870" i="67"/>
  <c r="A871" i="67"/>
  <c r="A872" i="67"/>
  <c r="A873" i="67"/>
  <c r="A874" i="67"/>
  <c r="A875" i="67"/>
  <c r="A876" i="67"/>
  <c r="A877" i="67"/>
  <c r="A878" i="67"/>
  <c r="A879" i="67"/>
  <c r="A880" i="67"/>
  <c r="A881" i="67"/>
  <c r="A882" i="67"/>
  <c r="A883" i="67"/>
  <c r="A884" i="67"/>
  <c r="A885" i="67"/>
  <c r="A886" i="67"/>
  <c r="A887" i="67"/>
  <c r="A888" i="67"/>
  <c r="A889" i="67"/>
  <c r="A890" i="67"/>
  <c r="A891" i="67"/>
  <c r="A892" i="67"/>
  <c r="A893" i="67"/>
  <c r="A894" i="67"/>
  <c r="A895" i="67"/>
  <c r="A896" i="67"/>
  <c r="A897" i="67"/>
  <c r="A898" i="67"/>
  <c r="A899" i="67"/>
  <c r="A900" i="67"/>
  <c r="A901" i="67"/>
  <c r="A902" i="67"/>
  <c r="A903" i="67"/>
  <c r="A904" i="67"/>
  <c r="A905" i="67"/>
  <c r="A906" i="67"/>
  <c r="A907" i="67"/>
  <c r="A908" i="67"/>
  <c r="A909" i="67"/>
  <c r="A910" i="67"/>
  <c r="A911" i="67"/>
  <c r="A912" i="67"/>
  <c r="A913" i="67"/>
  <c r="A914" i="67"/>
  <c r="A915" i="67"/>
  <c r="A916" i="67"/>
  <c r="A917" i="67"/>
  <c r="A918" i="67"/>
  <c r="A919" i="67"/>
  <c r="A920" i="67"/>
  <c r="A921" i="67"/>
  <c r="A922" i="67"/>
  <c r="A923" i="67"/>
  <c r="A924" i="67"/>
  <c r="A925" i="67"/>
  <c r="A926" i="67"/>
  <c r="A927" i="67"/>
  <c r="A928" i="67"/>
  <c r="A929" i="67"/>
  <c r="A930" i="67"/>
  <c r="A931" i="67"/>
  <c r="A932" i="67"/>
  <c r="A933" i="67"/>
  <c r="A934" i="67"/>
  <c r="A935" i="67"/>
  <c r="A936" i="67"/>
  <c r="A937" i="67"/>
  <c r="A938" i="67"/>
  <c r="A939" i="67"/>
  <c r="A940" i="67"/>
  <c r="A941" i="67"/>
  <c r="A942" i="67"/>
  <c r="A943" i="67"/>
  <c r="A944" i="67"/>
  <c r="A945" i="67"/>
  <c r="A946" i="67"/>
  <c r="A947" i="67"/>
  <c r="A948" i="67"/>
  <c r="A949" i="67"/>
  <c r="A950" i="67"/>
  <c r="A951" i="67"/>
  <c r="A952" i="67"/>
  <c r="A953" i="67"/>
  <c r="A954" i="67"/>
  <c r="A955" i="67"/>
  <c r="A956" i="67"/>
  <c r="A957" i="67"/>
  <c r="A958" i="67"/>
  <c r="A959" i="67"/>
  <c r="A960" i="67"/>
  <c r="A961" i="67"/>
  <c r="A962" i="67"/>
  <c r="A963" i="67"/>
  <c r="A964" i="67"/>
  <c r="A965" i="67"/>
  <c r="A966" i="67"/>
  <c r="A967" i="67"/>
  <c r="A968" i="67"/>
  <c r="A969" i="67"/>
  <c r="A970" i="67"/>
  <c r="A971" i="67"/>
  <c r="A972" i="67"/>
  <c r="A973" i="67"/>
  <c r="A974" i="67"/>
  <c r="A975" i="67"/>
  <c r="A976" i="67"/>
  <c r="A977" i="67"/>
  <c r="A978" i="67"/>
  <c r="A979" i="67"/>
  <c r="A980" i="67"/>
  <c r="A981" i="67"/>
  <c r="A982" i="67"/>
  <c r="A983" i="67"/>
  <c r="A984" i="67"/>
  <c r="A985" i="67"/>
  <c r="A986" i="67"/>
  <c r="A987" i="67"/>
  <c r="A988" i="67"/>
  <c r="A989" i="67"/>
  <c r="A990" i="67"/>
  <c r="A991" i="67"/>
  <c r="A992" i="67"/>
  <c r="A993" i="67"/>
  <c r="A994" i="67"/>
  <c r="A995" i="67"/>
  <c r="A996" i="67"/>
  <c r="A997" i="67"/>
  <c r="A998" i="67"/>
  <c r="A999" i="67"/>
  <c r="A1000" i="67"/>
  <c r="A1001" i="67"/>
  <c r="A1002" i="67"/>
  <c r="A1003" i="67"/>
  <c r="A1004" i="67"/>
  <c r="A1005" i="67"/>
  <c r="A1006" i="67"/>
  <c r="A1007" i="67"/>
  <c r="A1008" i="67"/>
  <c r="A1009" i="67"/>
  <c r="A1010" i="67"/>
  <c r="A1011" i="67"/>
  <c r="A1012" i="67"/>
  <c r="A1013" i="67"/>
  <c r="A1014" i="67"/>
  <c r="A1015" i="67"/>
  <c r="A1016" i="67"/>
  <c r="A1017" i="67"/>
  <c r="A1018" i="67"/>
  <c r="A1019" i="67"/>
  <c r="A1020" i="67"/>
  <c r="A1021" i="67"/>
  <c r="A1022" i="67"/>
  <c r="A1023" i="67"/>
  <c r="A1024" i="67"/>
  <c r="A1025" i="67"/>
  <c r="A1026" i="67"/>
  <c r="A1027" i="67"/>
  <c r="A1028" i="67"/>
  <c r="A1029" i="67"/>
  <c r="A1030" i="67"/>
  <c r="A1031" i="67"/>
  <c r="A1032" i="67"/>
  <c r="A1033" i="67"/>
  <c r="A1034" i="67"/>
  <c r="A1035" i="67"/>
  <c r="A1036" i="67"/>
  <c r="A1037" i="67"/>
  <c r="A1038" i="67"/>
  <c r="A1039" i="67"/>
  <c r="A1040" i="67"/>
  <c r="A1041" i="67"/>
  <c r="A1042" i="67"/>
  <c r="A1043" i="67"/>
  <c r="A1044" i="67"/>
  <c r="A1045" i="67"/>
  <c r="A1046" i="67"/>
  <c r="A1047" i="67"/>
  <c r="A1048" i="67"/>
  <c r="A1049" i="67"/>
  <c r="A1050" i="67"/>
  <c r="A1051" i="67"/>
  <c r="A1052" i="67"/>
  <c r="A1053" i="67"/>
  <c r="A1054" i="67"/>
  <c r="A1055" i="67"/>
  <c r="A1056" i="67"/>
  <c r="A1057" i="67"/>
  <c r="A1058" i="67"/>
  <c r="A1059" i="67"/>
  <c r="A1060" i="67"/>
  <c r="A1061" i="67"/>
  <c r="A1062" i="67"/>
  <c r="A1063" i="67"/>
  <c r="A1064" i="67"/>
  <c r="A1065" i="67"/>
  <c r="A1066" i="67"/>
  <c r="A1067" i="67"/>
  <c r="A1068" i="67"/>
  <c r="A1069" i="67"/>
  <c r="A1070" i="67"/>
  <c r="A1071" i="67"/>
  <c r="A1072" i="67"/>
  <c r="A1073" i="67"/>
  <c r="A1074" i="67"/>
  <c r="A1075" i="67"/>
  <c r="A1076" i="67"/>
  <c r="A1077" i="67"/>
  <c r="A1078" i="67"/>
  <c r="A1079" i="67"/>
  <c r="A1080" i="67"/>
  <c r="A1081" i="67"/>
  <c r="A1082" i="67"/>
  <c r="A1083" i="67"/>
  <c r="A1084" i="67"/>
  <c r="A1085" i="67"/>
  <c r="A1086" i="67"/>
  <c r="A1087" i="67"/>
  <c r="A1088" i="67"/>
  <c r="A1089" i="67"/>
  <c r="A1090" i="67"/>
  <c r="A1091" i="67"/>
  <c r="A1092" i="67"/>
  <c r="A1093" i="67"/>
  <c r="A1094" i="67"/>
  <c r="A1095" i="67"/>
  <c r="A1096" i="67"/>
  <c r="A1097" i="67"/>
  <c r="A1098" i="67"/>
  <c r="A1099" i="67"/>
  <c r="A1100" i="67"/>
  <c r="A1101" i="67"/>
  <c r="A1102" i="67"/>
  <c r="A1103" i="67"/>
  <c r="A1104" i="67"/>
  <c r="A1105" i="67"/>
  <c r="A1106" i="67"/>
  <c r="A1107" i="67"/>
  <c r="A1108" i="67"/>
  <c r="A1109" i="67"/>
  <c r="A1110" i="67"/>
  <c r="A1111" i="67"/>
  <c r="A1112" i="67"/>
  <c r="A1113" i="67"/>
  <c r="A1114" i="67"/>
  <c r="A1115" i="67"/>
  <c r="A1116" i="67"/>
  <c r="A1117" i="67"/>
  <c r="A1118" i="67"/>
  <c r="A1119" i="67"/>
  <c r="A1120" i="67"/>
  <c r="A1121" i="67"/>
  <c r="A1122" i="67"/>
  <c r="A1123" i="67"/>
  <c r="A1124" i="67"/>
  <c r="A1125" i="67"/>
  <c r="A1126" i="67"/>
  <c r="A1127" i="67"/>
  <c r="A1128" i="67"/>
  <c r="A1129" i="67"/>
  <c r="A1130" i="67"/>
  <c r="A1131" i="67"/>
  <c r="A1132" i="67"/>
  <c r="A1133" i="67"/>
  <c r="A1134" i="67"/>
  <c r="A1135" i="67"/>
  <c r="A1136" i="67"/>
  <c r="A1137" i="67"/>
  <c r="A1138" i="67"/>
  <c r="A1139" i="67"/>
  <c r="A1140" i="67"/>
  <c r="A1141" i="67"/>
  <c r="A1142" i="67"/>
  <c r="A1143" i="67"/>
  <c r="A1144" i="67"/>
  <c r="A1145" i="67"/>
  <c r="A1146" i="67"/>
  <c r="A1147" i="67"/>
  <c r="A1148" i="67"/>
  <c r="A1149" i="67"/>
  <c r="A1150" i="67"/>
  <c r="A1151" i="67"/>
  <c r="A1152" i="67"/>
  <c r="A1153" i="67"/>
  <c r="A1154" i="67"/>
  <c r="A1155" i="67"/>
  <c r="A1156" i="67"/>
  <c r="A1157" i="67"/>
  <c r="A1158" i="67"/>
  <c r="A1159" i="67"/>
  <c r="A1160" i="67"/>
  <c r="A1161" i="67"/>
  <c r="A1162" i="67"/>
  <c r="A1163" i="67"/>
  <c r="A1164" i="67"/>
  <c r="A1165" i="67"/>
  <c r="A1166" i="67"/>
  <c r="A1167" i="67"/>
  <c r="A1168" i="67"/>
  <c r="A1169" i="67"/>
  <c r="A1170" i="67"/>
  <c r="A1171" i="67"/>
  <c r="A1172" i="67"/>
  <c r="A1173" i="67"/>
  <c r="A1174" i="67"/>
  <c r="A1175" i="67"/>
  <c r="A1176" i="67"/>
  <c r="A1177" i="67"/>
  <c r="A1178" i="67"/>
  <c r="A1179" i="67"/>
  <c r="A1180" i="67"/>
  <c r="A1181" i="67"/>
  <c r="A1182" i="67"/>
  <c r="A1183" i="67"/>
  <c r="A1184" i="67"/>
  <c r="A1185" i="67"/>
  <c r="A1186" i="67"/>
  <c r="A1187" i="67"/>
  <c r="A1188" i="67"/>
  <c r="A1189" i="67"/>
  <c r="A1190" i="67"/>
  <c r="A1191" i="67"/>
  <c r="A1192" i="67"/>
  <c r="A1193" i="67"/>
  <c r="A1194" i="67"/>
  <c r="A1195" i="67"/>
  <c r="A1196" i="67"/>
  <c r="A1197" i="67"/>
  <c r="A1198" i="67"/>
  <c r="A1199" i="67"/>
  <c r="A1200" i="67"/>
  <c r="A1201" i="67"/>
  <c r="A1202" i="67"/>
  <c r="A1203" i="67"/>
  <c r="A1204" i="67"/>
  <c r="A1205" i="67"/>
  <c r="A1206" i="67"/>
  <c r="A1207" i="67"/>
  <c r="A1208" i="67"/>
  <c r="A1209" i="67"/>
  <c r="A1210" i="67"/>
  <c r="A1211" i="67"/>
  <c r="A1212" i="67"/>
  <c r="A1213" i="67"/>
  <c r="A1214" i="67"/>
  <c r="A1215" i="67"/>
  <c r="A1216" i="67"/>
  <c r="A1217" i="67"/>
  <c r="A1218" i="67"/>
  <c r="A1219" i="67"/>
  <c r="A1220" i="67"/>
  <c r="A1221" i="67"/>
  <c r="A1222" i="67"/>
  <c r="A1223" i="67"/>
  <c r="A1224" i="67"/>
  <c r="A1225" i="67"/>
  <c r="A1226" i="67"/>
  <c r="A1227" i="67"/>
  <c r="A1228" i="67"/>
  <c r="A1229" i="67"/>
  <c r="A1230" i="67"/>
  <c r="A1231" i="67"/>
  <c r="A1232" i="67"/>
  <c r="A1233" i="67"/>
  <c r="A1234" i="67"/>
  <c r="A1235" i="67"/>
  <c r="A1236" i="67"/>
  <c r="A1237" i="67"/>
  <c r="A1238" i="67"/>
  <c r="A1239" i="67"/>
  <c r="A1240" i="67"/>
  <c r="A1241" i="67"/>
  <c r="A1242" i="67"/>
  <c r="A1243" i="67"/>
  <c r="A1244" i="67"/>
  <c r="A1245" i="67"/>
  <c r="A1246" i="67"/>
  <c r="A1247" i="67"/>
  <c r="A1248" i="67"/>
  <c r="A1249" i="67"/>
  <c r="A1250" i="67"/>
  <c r="A1251" i="67"/>
  <c r="A1252" i="67"/>
  <c r="A1253" i="67"/>
  <c r="A1254" i="67"/>
  <c r="A1255" i="67"/>
  <c r="A1256" i="67"/>
  <c r="A1257" i="67"/>
  <c r="A1258" i="67"/>
  <c r="A1259" i="67"/>
  <c r="A1260" i="67"/>
  <c r="A1261" i="67"/>
  <c r="A1262" i="67"/>
  <c r="A1263" i="67"/>
  <c r="A1264" i="67"/>
  <c r="A1265" i="67"/>
  <c r="A1266" i="67"/>
  <c r="A1267" i="67"/>
  <c r="A1268" i="67"/>
  <c r="A1269" i="67"/>
  <c r="A1270" i="67"/>
  <c r="A1271" i="67"/>
  <c r="A1272" i="67"/>
  <c r="A1273" i="67"/>
  <c r="A1274" i="67"/>
  <c r="A1275" i="67"/>
  <c r="A1276" i="67"/>
  <c r="A1277" i="67"/>
  <c r="A1278" i="67"/>
  <c r="A1279" i="67"/>
  <c r="A1280" i="67"/>
  <c r="A1281" i="67"/>
  <c r="A1282" i="67"/>
  <c r="A1283" i="67"/>
  <c r="A1284" i="67"/>
  <c r="A1285" i="67"/>
  <c r="A1286" i="67"/>
  <c r="A1287" i="67"/>
  <c r="A1288" i="67"/>
  <c r="A1289" i="67"/>
  <c r="A1290" i="67"/>
  <c r="A1291" i="67"/>
  <c r="A1292" i="67"/>
  <c r="A1293" i="67"/>
  <c r="A1294" i="67"/>
  <c r="A1295" i="67"/>
  <c r="A1296" i="67"/>
  <c r="A1297" i="67"/>
  <c r="A1298" i="67"/>
  <c r="A1299" i="67"/>
  <c r="A1300" i="67"/>
  <c r="A1301" i="67"/>
  <c r="A1302" i="67"/>
  <c r="A1303" i="67"/>
  <c r="A1304" i="67"/>
  <c r="A1305" i="67"/>
  <c r="A1306" i="67"/>
  <c r="A1307" i="67"/>
  <c r="A1308" i="67"/>
  <c r="A1309" i="67"/>
  <c r="A1310" i="67"/>
  <c r="A1311" i="67"/>
  <c r="A1312" i="67"/>
  <c r="A1313" i="67"/>
  <c r="A1314" i="67"/>
  <c r="A1315" i="67"/>
  <c r="A1316" i="67"/>
  <c r="A1317" i="67"/>
  <c r="A1318" i="67"/>
  <c r="A1319" i="67"/>
  <c r="A1320" i="67"/>
  <c r="A1321" i="67"/>
  <c r="A1322" i="67"/>
  <c r="A1323" i="67"/>
  <c r="A1324" i="67"/>
  <c r="A1325" i="67"/>
  <c r="A1326" i="67"/>
  <c r="A1327" i="67"/>
  <c r="A1328" i="67"/>
  <c r="A1329" i="67"/>
  <c r="A1330" i="67"/>
  <c r="A1331" i="67"/>
  <c r="A1332" i="67"/>
  <c r="A1333" i="67"/>
  <c r="A1334" i="67"/>
  <c r="A1335" i="67"/>
  <c r="A1336" i="67"/>
  <c r="A1337" i="67"/>
  <c r="A1338" i="67"/>
  <c r="A1339" i="67"/>
  <c r="A1340" i="67"/>
  <c r="A1341" i="67"/>
  <c r="A1342" i="67"/>
  <c r="A1343" i="67"/>
  <c r="A1344" i="67"/>
  <c r="A1345" i="67"/>
  <c r="A1346" i="67"/>
  <c r="A1347" i="67"/>
  <c r="A1348" i="67"/>
  <c r="A1349" i="67"/>
  <c r="A1350" i="67"/>
  <c r="A1351" i="67"/>
  <c r="A1352" i="67"/>
  <c r="A1353" i="67"/>
  <c r="A1354" i="67"/>
  <c r="A1355" i="67"/>
  <c r="A1356" i="67"/>
  <c r="A1357" i="67"/>
  <c r="A1358" i="67"/>
  <c r="A1359" i="67"/>
  <c r="A1360" i="67"/>
  <c r="A1361" i="67"/>
  <c r="A1362" i="67"/>
  <c r="A1363" i="67"/>
  <c r="A1364" i="67"/>
  <c r="A1365" i="67"/>
  <c r="A1366" i="67"/>
  <c r="A1367" i="67"/>
  <c r="A1368" i="67"/>
  <c r="A1369" i="67"/>
  <c r="A1370" i="67"/>
  <c r="A1371" i="67"/>
  <c r="A1372" i="67"/>
  <c r="A1373" i="67"/>
  <c r="A1374" i="67"/>
  <c r="A1375" i="67"/>
  <c r="A1376" i="67"/>
  <c r="A1377" i="67"/>
  <c r="A1378" i="67"/>
  <c r="A1379" i="67"/>
  <c r="A1380" i="67"/>
  <c r="A1381" i="67"/>
  <c r="A1382" i="67"/>
  <c r="A1383" i="67"/>
  <c r="A1384" i="67"/>
  <c r="A1385" i="67"/>
  <c r="A1386" i="67"/>
  <c r="A1387" i="67"/>
  <c r="A1388" i="67"/>
  <c r="A1389" i="67"/>
  <c r="A1390" i="67"/>
  <c r="A1391" i="67"/>
  <c r="A1392" i="67"/>
  <c r="A1393" i="67"/>
  <c r="A1394" i="67"/>
  <c r="A1395" i="67"/>
  <c r="A1396" i="67"/>
  <c r="A1397" i="67"/>
  <c r="A1398" i="67"/>
  <c r="A1399" i="67"/>
  <c r="A1400" i="67"/>
  <c r="A1401" i="67"/>
  <c r="A1402" i="67"/>
  <c r="A1403" i="67"/>
  <c r="A1404" i="67"/>
  <c r="A1405" i="67"/>
  <c r="A1406" i="67"/>
  <c r="A1407" i="67"/>
  <c r="A1408" i="67"/>
  <c r="A1409" i="67"/>
  <c r="A1410" i="67"/>
  <c r="A1411" i="67"/>
  <c r="A1412" i="67"/>
  <c r="A1413" i="67"/>
  <c r="A1414" i="67"/>
  <c r="A1415" i="67"/>
  <c r="A1416" i="67"/>
  <c r="A1417" i="67"/>
  <c r="A1418" i="67"/>
  <c r="A1419" i="67"/>
  <c r="A1420" i="67"/>
  <c r="A1421" i="67"/>
  <c r="A1422" i="67"/>
  <c r="A1423" i="67"/>
  <c r="A1424" i="67"/>
  <c r="A1425" i="67"/>
  <c r="A1426" i="67"/>
  <c r="A1427" i="67"/>
  <c r="A1428" i="67"/>
  <c r="A1429" i="67"/>
  <c r="A1430" i="67"/>
  <c r="A1431" i="67"/>
  <c r="A1432" i="67"/>
  <c r="A1433" i="67"/>
  <c r="A1434" i="67"/>
  <c r="A1435" i="67"/>
  <c r="A1436" i="67"/>
  <c r="A1437" i="67"/>
  <c r="A1438" i="67"/>
  <c r="A1439" i="67"/>
  <c r="A1440" i="67"/>
  <c r="A1441" i="67"/>
  <c r="A1442" i="67"/>
  <c r="A1443" i="67"/>
  <c r="A1444" i="67"/>
  <c r="A1445" i="67"/>
  <c r="A1446" i="67"/>
  <c r="A1447" i="67"/>
  <c r="A1448" i="67"/>
  <c r="A1449" i="67"/>
  <c r="A1450" i="67"/>
  <c r="A1451" i="67"/>
  <c r="A1452" i="67"/>
  <c r="A1453" i="67"/>
  <c r="A1454" i="67"/>
  <c r="A1455" i="67"/>
  <c r="A1456" i="67"/>
  <c r="A1457" i="67"/>
  <c r="A1458" i="67"/>
  <c r="A1459" i="67"/>
  <c r="A1460" i="67"/>
  <c r="A1461" i="67"/>
  <c r="A1462" i="67"/>
  <c r="A1463" i="67"/>
  <c r="A1464" i="67"/>
  <c r="A1465" i="67"/>
  <c r="A1466" i="67"/>
  <c r="A1467" i="67"/>
  <c r="A1468" i="67"/>
  <c r="A1469" i="67"/>
  <c r="A1470" i="67"/>
  <c r="A1471" i="67"/>
  <c r="A1472" i="67"/>
  <c r="A1473" i="67"/>
  <c r="A1474" i="67"/>
  <c r="A1475" i="67"/>
  <c r="A1476" i="67"/>
  <c r="A1477" i="67"/>
  <c r="A1478" i="67"/>
  <c r="A1479" i="67"/>
  <c r="A1480" i="67"/>
  <c r="A1481" i="67"/>
  <c r="A1482" i="67"/>
  <c r="A1483" i="67"/>
  <c r="A1484" i="67"/>
  <c r="A1485" i="67"/>
  <c r="A1486" i="67"/>
  <c r="A1487" i="67"/>
  <c r="A1488" i="67"/>
  <c r="A1489" i="67"/>
  <c r="A1490" i="67"/>
  <c r="A1491" i="67"/>
  <c r="A1492" i="67"/>
  <c r="A1493" i="67"/>
  <c r="A1494" i="67"/>
  <c r="A1495" i="67"/>
  <c r="A1496" i="67"/>
  <c r="A1497" i="67"/>
  <c r="A1498" i="67"/>
  <c r="A1499" i="67"/>
  <c r="A1500" i="67"/>
  <c r="A1501" i="67"/>
  <c r="A1502" i="67"/>
  <c r="A1503" i="67"/>
  <c r="A1504" i="67"/>
  <c r="A1505" i="67"/>
  <c r="A1506" i="67"/>
  <c r="A1507" i="67"/>
  <c r="A1508" i="67"/>
  <c r="A1509" i="67"/>
  <c r="A1510" i="67"/>
  <c r="A1511" i="67"/>
  <c r="A1512" i="67"/>
  <c r="A1513" i="67"/>
  <c r="A1514" i="67"/>
  <c r="A1515" i="67"/>
  <c r="A1516" i="67"/>
  <c r="A1517" i="67"/>
  <c r="A1518" i="67"/>
  <c r="A1519" i="67"/>
  <c r="A1520" i="67"/>
  <c r="A1521" i="67"/>
  <c r="A1522" i="67"/>
  <c r="A1523" i="67"/>
  <c r="A1524" i="67"/>
  <c r="A1525" i="67"/>
  <c r="A1526" i="67"/>
  <c r="A1527" i="67"/>
  <c r="A1528" i="67"/>
  <c r="A1529" i="67"/>
  <c r="A1530" i="67"/>
  <c r="A1531" i="67"/>
  <c r="A1532" i="67"/>
  <c r="A1533" i="67"/>
  <c r="A1534" i="67"/>
  <c r="A1535" i="67"/>
  <c r="A1536" i="67"/>
  <c r="A1537" i="67"/>
  <c r="A1538" i="67"/>
  <c r="A1539" i="67"/>
  <c r="A1540" i="67"/>
  <c r="A1541" i="67"/>
  <c r="A2" i="67"/>
  <c r="A3" i="65"/>
  <c r="A4" i="65"/>
  <c r="A5" i="65"/>
  <c r="A6" i="65"/>
  <c r="A7" i="65"/>
  <c r="A8" i="65"/>
  <c r="A9" i="65"/>
  <c r="A10" i="65"/>
  <c r="A11" i="65"/>
  <c r="A12" i="65"/>
  <c r="A13" i="65"/>
  <c r="A14" i="65"/>
  <c r="A15" i="65"/>
  <c r="A16" i="65"/>
  <c r="A17" i="65"/>
  <c r="A18" i="65"/>
  <c r="A19" i="65"/>
  <c r="A20" i="65"/>
  <c r="A21" i="65"/>
  <c r="A22" i="65"/>
  <c r="A23" i="65"/>
  <c r="A24" i="65"/>
  <c r="A25" i="65"/>
  <c r="A26" i="65"/>
  <c r="A27" i="65"/>
  <c r="A28" i="65"/>
  <c r="A29" i="65"/>
  <c r="A30" i="65"/>
  <c r="A31" i="65"/>
  <c r="A32" i="65"/>
  <c r="A33" i="65"/>
  <c r="A34" i="65"/>
  <c r="A35" i="65"/>
  <c r="A36" i="65"/>
  <c r="A37" i="65"/>
  <c r="A38" i="65"/>
  <c r="A39" i="65"/>
  <c r="A40" i="65"/>
  <c r="A41" i="65"/>
  <c r="A42" i="65"/>
  <c r="A43" i="65"/>
  <c r="A44" i="65"/>
  <c r="A45" i="65"/>
  <c r="A46" i="65"/>
  <c r="A47" i="65"/>
  <c r="A48" i="65"/>
  <c r="A49" i="65"/>
  <c r="A50" i="65"/>
  <c r="A51" i="65"/>
  <c r="A52" i="65"/>
  <c r="A53" i="65"/>
  <c r="A54" i="65"/>
  <c r="A55" i="65"/>
  <c r="A56" i="65"/>
  <c r="A57" i="65"/>
  <c r="A58" i="65"/>
  <c r="A59" i="65"/>
  <c r="A60" i="65"/>
  <c r="A61" i="65"/>
  <c r="A62" i="65"/>
  <c r="A63" i="65"/>
  <c r="A64" i="65"/>
  <c r="A65" i="65"/>
  <c r="A66" i="65"/>
  <c r="A67" i="65"/>
  <c r="A68" i="65"/>
  <c r="A69" i="65"/>
  <c r="A70" i="65"/>
  <c r="A71" i="65"/>
  <c r="A72" i="65"/>
  <c r="A73" i="65"/>
  <c r="A74" i="65"/>
  <c r="A75" i="65"/>
  <c r="A76" i="65"/>
  <c r="A77" i="65"/>
  <c r="A78" i="65"/>
  <c r="A79" i="65"/>
  <c r="A80" i="65"/>
  <c r="A81" i="65"/>
  <c r="A82" i="65"/>
  <c r="A83" i="65"/>
  <c r="A84" i="65"/>
  <c r="A85" i="65"/>
  <c r="A86" i="65"/>
  <c r="A87" i="65"/>
  <c r="A88" i="65"/>
  <c r="A89" i="65"/>
  <c r="A90" i="65"/>
  <c r="A91" i="65"/>
  <c r="A92" i="65"/>
  <c r="A93" i="65"/>
  <c r="A94" i="65"/>
  <c r="A95" i="65"/>
  <c r="A96" i="65"/>
  <c r="A97" i="65"/>
  <c r="A98" i="65"/>
  <c r="A99" i="65"/>
  <c r="A100" i="65"/>
  <c r="A101" i="65"/>
  <c r="A102" i="65"/>
  <c r="A103" i="65"/>
  <c r="A104" i="65"/>
  <c r="A105" i="65"/>
  <c r="A106" i="65"/>
  <c r="A107" i="65"/>
  <c r="A108" i="65"/>
  <c r="A109" i="65"/>
  <c r="A110" i="65"/>
  <c r="A111" i="65"/>
  <c r="A112" i="65"/>
  <c r="A113" i="65"/>
  <c r="A114" i="65"/>
  <c r="A115" i="65"/>
  <c r="A116" i="65"/>
  <c r="A117" i="65"/>
  <c r="A118" i="65"/>
  <c r="A119" i="65"/>
  <c r="A120" i="65"/>
  <c r="A121" i="65"/>
  <c r="A122" i="65"/>
  <c r="A123" i="65"/>
  <c r="A124" i="65"/>
  <c r="A125" i="65"/>
  <c r="A126" i="65"/>
  <c r="A127" i="65"/>
  <c r="A128" i="65"/>
  <c r="A129" i="65"/>
  <c r="A130" i="65"/>
  <c r="A131" i="65"/>
  <c r="A132" i="65"/>
  <c r="A133" i="65"/>
  <c r="A134" i="65"/>
  <c r="A135" i="65"/>
  <c r="A136" i="65"/>
  <c r="A137" i="65"/>
  <c r="A138" i="65"/>
  <c r="A139" i="65"/>
  <c r="A140" i="65"/>
  <c r="A141" i="65"/>
  <c r="A142" i="65"/>
  <c r="A143" i="65"/>
  <c r="A144" i="65"/>
  <c r="A145" i="65"/>
  <c r="A146" i="65"/>
  <c r="A147" i="65"/>
  <c r="A148" i="65"/>
  <c r="A149" i="65"/>
  <c r="A150" i="65"/>
  <c r="A151" i="65"/>
  <c r="A152" i="65"/>
  <c r="A153" i="65"/>
  <c r="A154" i="65"/>
  <c r="A155" i="65"/>
  <c r="A156" i="65"/>
  <c r="A157" i="65"/>
  <c r="A158" i="65"/>
  <c r="A159" i="65"/>
  <c r="A160" i="65"/>
  <c r="A161" i="65"/>
  <c r="A162" i="65"/>
  <c r="A163" i="65"/>
  <c r="A164" i="65"/>
  <c r="A165" i="65"/>
  <c r="A166" i="65"/>
  <c r="A167" i="65"/>
  <c r="A168" i="65"/>
  <c r="A169" i="65"/>
  <c r="A170" i="65"/>
  <c r="A171" i="65"/>
  <c r="A172" i="65"/>
  <c r="A173" i="65"/>
  <c r="A174" i="65"/>
  <c r="A175" i="65"/>
  <c r="A176" i="65"/>
  <c r="A177" i="65"/>
  <c r="A178" i="65"/>
  <c r="A179" i="65"/>
  <c r="A180" i="65"/>
  <c r="A181" i="65"/>
  <c r="A182" i="65"/>
  <c r="A183" i="65"/>
  <c r="A184" i="65"/>
  <c r="A185" i="65"/>
  <c r="A186" i="65"/>
  <c r="A187" i="65"/>
  <c r="A188" i="65"/>
  <c r="A189" i="65"/>
  <c r="A190" i="65"/>
  <c r="A191" i="65"/>
  <c r="A192" i="65"/>
  <c r="A193" i="65"/>
  <c r="A194" i="65"/>
  <c r="A195" i="65"/>
  <c r="A196" i="65"/>
  <c r="A197" i="65"/>
  <c r="A198" i="65"/>
  <c r="A199" i="65"/>
  <c r="A200" i="65"/>
  <c r="A201" i="65"/>
  <c r="A202" i="65"/>
  <c r="A203" i="65"/>
  <c r="A204" i="65"/>
  <c r="A205" i="65"/>
  <c r="A206" i="65"/>
  <c r="A207" i="65"/>
  <c r="A208" i="65"/>
  <c r="A209" i="65"/>
  <c r="A210" i="65"/>
  <c r="A211" i="65"/>
  <c r="A212" i="65"/>
  <c r="A213" i="65"/>
  <c r="A214" i="65"/>
  <c r="A215" i="65"/>
  <c r="A216" i="65"/>
  <c r="A217" i="65"/>
  <c r="A218" i="65"/>
  <c r="A219" i="65"/>
  <c r="A220" i="65"/>
  <c r="A221" i="65"/>
  <c r="A222" i="65"/>
  <c r="A223" i="65"/>
  <c r="A224" i="65"/>
  <c r="A225" i="65"/>
  <c r="A226" i="65"/>
  <c r="A227" i="65"/>
  <c r="A228" i="65"/>
  <c r="A229" i="65"/>
  <c r="A230" i="65"/>
  <c r="A231" i="65"/>
  <c r="A232" i="65"/>
  <c r="A233" i="65"/>
  <c r="A234" i="65"/>
  <c r="A235" i="65"/>
  <c r="A236" i="65"/>
  <c r="A237" i="65"/>
  <c r="A238" i="65"/>
  <c r="A239" i="65"/>
  <c r="A240" i="65"/>
  <c r="A241" i="65"/>
  <c r="A242" i="65"/>
  <c r="A243" i="65"/>
  <c r="A244" i="65"/>
  <c r="A245" i="65"/>
  <c r="A246" i="65"/>
  <c r="A247" i="65"/>
  <c r="A248" i="65"/>
  <c r="A249" i="65"/>
  <c r="A250" i="65"/>
  <c r="A251" i="65"/>
  <c r="A252" i="65"/>
  <c r="A253" i="65"/>
  <c r="A254" i="65"/>
  <c r="A255" i="65"/>
  <c r="A256" i="65"/>
  <c r="A257" i="65"/>
  <c r="A258" i="65"/>
  <c r="A259" i="65"/>
  <c r="A260" i="65"/>
  <c r="A261" i="65"/>
  <c r="A262" i="65"/>
  <c r="A263" i="65"/>
  <c r="A264" i="65"/>
  <c r="A265" i="65"/>
  <c r="A266" i="65"/>
  <c r="A267" i="65"/>
  <c r="A268" i="65"/>
  <c r="A269" i="65"/>
  <c r="A270" i="65"/>
  <c r="A271" i="65"/>
  <c r="A272" i="65"/>
  <c r="A273" i="65"/>
  <c r="A274" i="65"/>
  <c r="A275" i="65"/>
  <c r="A276" i="65"/>
  <c r="A277" i="65"/>
  <c r="A278" i="65"/>
  <c r="A279" i="65"/>
  <c r="A280" i="65"/>
  <c r="A281" i="65"/>
  <c r="A282" i="65"/>
  <c r="A283" i="65"/>
  <c r="A284" i="65"/>
  <c r="A285" i="65"/>
  <c r="A286" i="65"/>
  <c r="A287" i="65"/>
  <c r="A288" i="65"/>
  <c r="A289" i="65"/>
  <c r="A290" i="65"/>
  <c r="A291" i="65"/>
  <c r="A292" i="65"/>
  <c r="A293" i="65"/>
  <c r="A294" i="65"/>
  <c r="A295" i="65"/>
  <c r="A296" i="65"/>
  <c r="A297" i="65"/>
  <c r="A298" i="65"/>
  <c r="A299" i="65"/>
  <c r="A300" i="65"/>
  <c r="A301" i="65"/>
  <c r="A302" i="65"/>
  <c r="A303" i="65"/>
  <c r="A304" i="65"/>
  <c r="A305" i="65"/>
  <c r="A306" i="65"/>
  <c r="A307" i="65"/>
  <c r="A308" i="65"/>
  <c r="A309" i="65"/>
  <c r="A310" i="65"/>
  <c r="A311" i="65"/>
  <c r="A312" i="65"/>
  <c r="A313" i="65"/>
  <c r="A314" i="65"/>
  <c r="A315" i="65"/>
  <c r="A316" i="65"/>
  <c r="A317" i="65"/>
  <c r="A318" i="65"/>
  <c r="A319" i="65"/>
  <c r="A320" i="65"/>
  <c r="A321" i="65"/>
  <c r="A322" i="65"/>
  <c r="A323" i="65"/>
  <c r="A324" i="65"/>
  <c r="A325" i="65"/>
  <c r="A326" i="65"/>
  <c r="A327" i="65"/>
  <c r="A328" i="65"/>
  <c r="A329" i="65"/>
  <c r="A330" i="65"/>
  <c r="A331" i="65"/>
  <c r="A332" i="65"/>
  <c r="A333" i="65"/>
  <c r="A334" i="65"/>
  <c r="A335" i="65"/>
  <c r="A336" i="65"/>
  <c r="A337" i="65"/>
  <c r="A338" i="65"/>
  <c r="A339" i="65"/>
  <c r="A340" i="65"/>
  <c r="A341" i="65"/>
  <c r="A342" i="65"/>
  <c r="A343" i="65"/>
  <c r="A344" i="65"/>
  <c r="A345" i="65"/>
  <c r="A346" i="65"/>
  <c r="A347" i="65"/>
  <c r="A348" i="65"/>
  <c r="A349" i="65"/>
  <c r="A350" i="65"/>
  <c r="A351" i="65"/>
  <c r="A352" i="65"/>
  <c r="A353" i="65"/>
  <c r="A354" i="65"/>
  <c r="A355" i="65"/>
  <c r="A356" i="65"/>
  <c r="A357" i="65"/>
  <c r="A358" i="65"/>
  <c r="A359" i="65"/>
  <c r="A360" i="65"/>
  <c r="A361" i="65"/>
  <c r="A362" i="65"/>
  <c r="A363" i="65"/>
  <c r="A364" i="65"/>
  <c r="A365" i="65"/>
  <c r="A366" i="65"/>
  <c r="A367" i="65"/>
  <c r="A368" i="65"/>
  <c r="A369" i="65"/>
  <c r="A370" i="65"/>
  <c r="A371" i="65"/>
  <c r="A372" i="65"/>
  <c r="A373" i="65"/>
  <c r="A374" i="65"/>
  <c r="A375" i="65"/>
  <c r="A376" i="65"/>
  <c r="A377" i="65"/>
  <c r="A378" i="65"/>
  <c r="A379" i="65"/>
  <c r="A380" i="65"/>
  <c r="A381" i="65"/>
  <c r="A382" i="65"/>
  <c r="A383" i="65"/>
  <c r="A384" i="65"/>
  <c r="A385" i="65"/>
  <c r="A386" i="65"/>
  <c r="A387" i="65"/>
  <c r="A388" i="65"/>
  <c r="A389" i="65"/>
  <c r="A390" i="65"/>
  <c r="A391" i="65"/>
  <c r="A392" i="65"/>
  <c r="A393" i="65"/>
  <c r="A394" i="65"/>
  <c r="A395" i="65"/>
  <c r="A396" i="65"/>
  <c r="A397" i="65"/>
  <c r="A398" i="65"/>
  <c r="A399" i="65"/>
  <c r="A400" i="65"/>
  <c r="A401" i="65"/>
  <c r="A402" i="65"/>
  <c r="A403" i="65"/>
  <c r="A404" i="65"/>
  <c r="A405" i="65"/>
  <c r="A406" i="65"/>
  <c r="A407" i="65"/>
  <c r="A408" i="65"/>
  <c r="A409" i="65"/>
  <c r="A410" i="65"/>
  <c r="A411" i="65"/>
  <c r="A412" i="65"/>
  <c r="A413" i="65"/>
  <c r="A414" i="65"/>
  <c r="A415" i="65"/>
  <c r="A416" i="65"/>
  <c r="A417" i="65"/>
  <c r="A418" i="65"/>
  <c r="A419" i="65"/>
  <c r="A420" i="65"/>
  <c r="A421" i="65"/>
  <c r="A422" i="65"/>
  <c r="A423" i="65"/>
  <c r="A424" i="65"/>
  <c r="A425" i="65"/>
  <c r="A426" i="65"/>
  <c r="A427" i="65"/>
  <c r="A428" i="65"/>
  <c r="A429" i="65"/>
  <c r="A430" i="65"/>
  <c r="A431" i="65"/>
  <c r="A432" i="65"/>
  <c r="A433" i="65"/>
  <c r="A434" i="65"/>
  <c r="A435" i="65"/>
  <c r="A436" i="65"/>
  <c r="A437" i="65"/>
  <c r="A438" i="65"/>
  <c r="A439" i="65"/>
  <c r="A440" i="65"/>
  <c r="A441" i="65"/>
  <c r="A442" i="65"/>
  <c r="A443" i="65"/>
  <c r="A444" i="65"/>
  <c r="A445" i="65"/>
  <c r="A446" i="65"/>
  <c r="A447" i="65"/>
  <c r="A448" i="65"/>
  <c r="A449" i="65"/>
  <c r="A450" i="65"/>
  <c r="A451" i="65"/>
  <c r="A452" i="65"/>
  <c r="A453" i="65"/>
  <c r="A454" i="65"/>
  <c r="A455" i="65"/>
  <c r="A456" i="65"/>
  <c r="A457" i="65"/>
  <c r="A458" i="65"/>
  <c r="A459" i="65"/>
  <c r="A460" i="65"/>
  <c r="A461" i="65"/>
  <c r="A462" i="65"/>
  <c r="A463" i="65"/>
  <c r="A464" i="65"/>
  <c r="A465" i="65"/>
  <c r="A466" i="65"/>
  <c r="A467" i="65"/>
  <c r="A468" i="65"/>
  <c r="A469" i="65"/>
  <c r="A470" i="65"/>
  <c r="A471" i="65"/>
  <c r="A472" i="65"/>
  <c r="A473" i="65"/>
  <c r="A474" i="65"/>
  <c r="A475" i="65"/>
  <c r="A476" i="65"/>
  <c r="A477" i="65"/>
  <c r="A478" i="65"/>
  <c r="A479" i="65"/>
  <c r="A480" i="65"/>
  <c r="A481" i="65"/>
  <c r="A482" i="65"/>
  <c r="A483" i="65"/>
  <c r="A484" i="65"/>
  <c r="A485" i="65"/>
  <c r="A486" i="65"/>
  <c r="A487" i="65"/>
  <c r="A488" i="65"/>
  <c r="A489" i="65"/>
  <c r="A490" i="65"/>
  <c r="A491" i="65"/>
  <c r="A492" i="65"/>
  <c r="A493" i="65"/>
  <c r="A494" i="65"/>
  <c r="A495" i="65"/>
  <c r="A496" i="65"/>
  <c r="A497" i="65"/>
  <c r="A498" i="65"/>
  <c r="A499" i="65"/>
  <c r="A500" i="65"/>
  <c r="A501" i="65"/>
  <c r="A502" i="65"/>
  <c r="A503" i="65"/>
  <c r="A504" i="65"/>
  <c r="A505" i="65"/>
  <c r="A506" i="65"/>
  <c r="A507" i="65"/>
  <c r="A508" i="65"/>
  <c r="A509" i="65"/>
  <c r="A510" i="65"/>
  <c r="A511" i="65"/>
  <c r="A512" i="65"/>
  <c r="A513" i="65"/>
  <c r="A514" i="65"/>
  <c r="A515" i="65"/>
  <c r="A516" i="65"/>
  <c r="A517" i="65"/>
  <c r="A518" i="65"/>
  <c r="A519" i="65"/>
  <c r="A520" i="65"/>
  <c r="A521" i="65"/>
  <c r="A522" i="65"/>
  <c r="A523" i="65"/>
  <c r="A524" i="65"/>
  <c r="A525" i="65"/>
  <c r="A526" i="65"/>
  <c r="A527" i="65"/>
  <c r="A528" i="65"/>
  <c r="A529" i="65"/>
  <c r="A530" i="65"/>
  <c r="A531" i="65"/>
  <c r="A532" i="65"/>
  <c r="A533" i="65"/>
  <c r="A534" i="65"/>
  <c r="A535" i="65"/>
  <c r="A536" i="65"/>
  <c r="A537" i="65"/>
  <c r="A538" i="65"/>
  <c r="A539" i="65"/>
  <c r="A540" i="65"/>
  <c r="A541" i="65"/>
  <c r="A542" i="65"/>
  <c r="A543" i="65"/>
  <c r="A544" i="65"/>
  <c r="A545" i="65"/>
  <c r="A546" i="65"/>
  <c r="A547" i="65"/>
  <c r="A548" i="65"/>
  <c r="A549" i="65"/>
  <c r="A550" i="65"/>
  <c r="A551" i="65"/>
  <c r="A552" i="65"/>
  <c r="A553" i="65"/>
  <c r="A554" i="65"/>
  <c r="A555" i="65"/>
  <c r="A556" i="65"/>
  <c r="A557" i="65"/>
  <c r="A558" i="65"/>
  <c r="A559" i="65"/>
  <c r="A560" i="65"/>
  <c r="A561" i="65"/>
  <c r="A562" i="65"/>
  <c r="A563" i="65"/>
  <c r="A564" i="65"/>
  <c r="A565" i="65"/>
  <c r="A566" i="65"/>
  <c r="A567" i="65"/>
  <c r="A568" i="65"/>
  <c r="A569" i="65"/>
  <c r="A570" i="65"/>
  <c r="A571" i="65"/>
  <c r="A572" i="65"/>
  <c r="A573" i="65"/>
  <c r="A574" i="65"/>
  <c r="A575" i="65"/>
  <c r="A576" i="65"/>
  <c r="A577" i="65"/>
  <c r="A578" i="65"/>
  <c r="A579" i="65"/>
  <c r="A580" i="65"/>
  <c r="A581" i="65"/>
  <c r="A582" i="65"/>
  <c r="A583" i="65"/>
  <c r="A584" i="65"/>
  <c r="A585" i="65"/>
  <c r="A586" i="65"/>
  <c r="A587" i="65"/>
  <c r="A588" i="65"/>
  <c r="A589" i="65"/>
  <c r="A590" i="65"/>
  <c r="A591" i="65"/>
  <c r="A592" i="65"/>
  <c r="A593" i="65"/>
  <c r="A594" i="65"/>
  <c r="A595" i="65"/>
  <c r="A596" i="65"/>
  <c r="A597" i="65"/>
  <c r="A598" i="65"/>
  <c r="A599" i="65"/>
  <c r="A600" i="65"/>
  <c r="A601" i="65"/>
  <c r="A602" i="65"/>
  <c r="A603" i="65"/>
  <c r="A604" i="65"/>
  <c r="A605" i="65"/>
  <c r="A606" i="65"/>
  <c r="A607" i="65"/>
  <c r="A608" i="65"/>
  <c r="A609" i="65"/>
  <c r="A610" i="65"/>
  <c r="A611" i="65"/>
  <c r="A612" i="65"/>
  <c r="A613" i="65"/>
  <c r="A614" i="65"/>
  <c r="A615" i="65"/>
  <c r="A616" i="65"/>
  <c r="A617" i="65"/>
  <c r="A618" i="65"/>
  <c r="A619" i="65"/>
  <c r="A620" i="65"/>
  <c r="A621" i="65"/>
  <c r="A622" i="65"/>
  <c r="A623" i="65"/>
  <c r="A624" i="65"/>
  <c r="A625" i="65"/>
  <c r="A626" i="65"/>
  <c r="A627" i="65"/>
  <c r="A628" i="65"/>
  <c r="A629" i="65"/>
  <c r="A630" i="65"/>
  <c r="A631" i="65"/>
  <c r="A632" i="65"/>
  <c r="A633" i="65"/>
  <c r="A634" i="65"/>
  <c r="A635" i="65"/>
  <c r="A636" i="65"/>
  <c r="A637" i="65"/>
  <c r="A638" i="65"/>
  <c r="A639" i="65"/>
  <c r="A640" i="65"/>
  <c r="A641" i="65"/>
  <c r="A642" i="65"/>
  <c r="A643" i="65"/>
  <c r="A644" i="65"/>
  <c r="A645" i="65"/>
  <c r="A646" i="65"/>
  <c r="A647" i="65"/>
  <c r="A648" i="65"/>
  <c r="A649" i="65"/>
  <c r="A650" i="65"/>
  <c r="A651" i="65"/>
  <c r="A652" i="65"/>
  <c r="A653" i="65"/>
  <c r="A654" i="65"/>
  <c r="A655" i="65"/>
  <c r="A656" i="65"/>
  <c r="A657" i="65"/>
  <c r="A658" i="65"/>
  <c r="A659" i="65"/>
  <c r="A660" i="65"/>
  <c r="A661" i="65"/>
  <c r="A662" i="65"/>
  <c r="A663" i="65"/>
  <c r="A664" i="65"/>
  <c r="A665" i="65"/>
  <c r="A666" i="65"/>
  <c r="A667" i="65"/>
  <c r="A668" i="65"/>
  <c r="A669" i="65"/>
  <c r="A670" i="65"/>
  <c r="A671" i="65"/>
  <c r="A672" i="65"/>
  <c r="A673" i="65"/>
  <c r="A674" i="65"/>
  <c r="A675" i="65"/>
  <c r="A676" i="65"/>
  <c r="A677" i="65"/>
  <c r="A678" i="65"/>
  <c r="A679" i="65"/>
  <c r="A680" i="65"/>
  <c r="A681" i="65"/>
  <c r="A682" i="65"/>
  <c r="A683" i="65"/>
  <c r="A684" i="65"/>
  <c r="A685" i="65"/>
  <c r="A686" i="65"/>
  <c r="A687" i="65"/>
  <c r="A688" i="65"/>
  <c r="A689" i="65"/>
  <c r="A690" i="65"/>
  <c r="A691" i="65"/>
  <c r="A692" i="65"/>
  <c r="A693" i="65"/>
  <c r="A694" i="65"/>
  <c r="A695" i="65"/>
  <c r="A696" i="65"/>
  <c r="A697" i="65"/>
  <c r="A698" i="65"/>
  <c r="A699" i="65"/>
  <c r="A700" i="65"/>
  <c r="A701" i="65"/>
  <c r="A702" i="65"/>
  <c r="A703" i="65"/>
  <c r="A704" i="65"/>
  <c r="A705" i="65"/>
  <c r="A706" i="65"/>
  <c r="A707" i="65"/>
  <c r="A708" i="65"/>
  <c r="A709" i="65"/>
  <c r="A710" i="65"/>
  <c r="A711" i="65"/>
  <c r="A712" i="65"/>
  <c r="A713" i="65"/>
  <c r="A714" i="65"/>
  <c r="A715" i="65"/>
  <c r="A716" i="65"/>
  <c r="A717" i="65"/>
  <c r="A718" i="65"/>
  <c r="A719" i="65"/>
  <c r="A720" i="65"/>
  <c r="A721" i="65"/>
  <c r="A722" i="65"/>
  <c r="A723" i="65"/>
  <c r="A724" i="65"/>
  <c r="A725" i="65"/>
  <c r="A726" i="65"/>
  <c r="A727" i="65"/>
  <c r="A728" i="65"/>
  <c r="A729" i="65"/>
  <c r="A730" i="65"/>
  <c r="A731" i="65"/>
  <c r="A732" i="65"/>
  <c r="A733" i="65"/>
  <c r="A734" i="65"/>
  <c r="A735" i="65"/>
  <c r="A736" i="65"/>
  <c r="A737" i="65"/>
  <c r="A738" i="65"/>
  <c r="A739" i="65"/>
  <c r="A740" i="65"/>
  <c r="A741" i="65"/>
  <c r="A742" i="65"/>
  <c r="A743" i="65"/>
  <c r="A744" i="65"/>
  <c r="A745" i="65"/>
  <c r="A746" i="65"/>
  <c r="A747" i="65"/>
  <c r="A748" i="65"/>
  <c r="A749" i="65"/>
  <c r="A750" i="65"/>
  <c r="A751" i="65"/>
  <c r="A752" i="65"/>
  <c r="A753" i="65"/>
  <c r="A754" i="65"/>
  <c r="A755" i="65"/>
  <c r="A756" i="65"/>
  <c r="A757" i="65"/>
  <c r="A758" i="65"/>
  <c r="A759" i="65"/>
  <c r="A760" i="65"/>
  <c r="A761" i="65"/>
  <c r="A762" i="65"/>
  <c r="A763" i="65"/>
  <c r="A764" i="65"/>
  <c r="A765" i="65"/>
  <c r="A766" i="65"/>
  <c r="A767" i="65"/>
  <c r="A768" i="65"/>
  <c r="A769" i="65"/>
  <c r="A770" i="65"/>
  <c r="A771" i="65"/>
  <c r="A772" i="65"/>
  <c r="A773" i="65"/>
  <c r="A774" i="65"/>
  <c r="A775" i="65"/>
  <c r="A776" i="65"/>
  <c r="A777" i="65"/>
  <c r="A778" i="65"/>
  <c r="A779" i="65"/>
  <c r="A780" i="65"/>
  <c r="A781" i="65"/>
  <c r="A782" i="65"/>
  <c r="A783" i="65"/>
  <c r="A784" i="65"/>
  <c r="A785" i="65"/>
  <c r="A786" i="65"/>
  <c r="A787" i="65"/>
  <c r="A788" i="65"/>
  <c r="A789" i="65"/>
  <c r="A790" i="65"/>
  <c r="A791" i="65"/>
  <c r="A792" i="65"/>
  <c r="A793" i="65"/>
  <c r="A794" i="65"/>
  <c r="A795" i="65"/>
  <c r="A796" i="65"/>
  <c r="A797" i="65"/>
  <c r="A798" i="65"/>
  <c r="A799" i="65"/>
  <c r="A800" i="65"/>
  <c r="A801" i="65"/>
  <c r="A802" i="65"/>
  <c r="A803" i="65"/>
  <c r="A804" i="65"/>
  <c r="A805" i="65"/>
  <c r="A806" i="65"/>
  <c r="A807" i="65"/>
  <c r="A808" i="65"/>
  <c r="A809" i="65"/>
  <c r="A810" i="65"/>
  <c r="A811" i="65"/>
  <c r="A812" i="65"/>
  <c r="A813" i="65"/>
  <c r="A814" i="65"/>
  <c r="A815" i="65"/>
  <c r="A816" i="65"/>
  <c r="A817" i="65"/>
  <c r="A818" i="65"/>
  <c r="A819" i="65"/>
  <c r="A820" i="65"/>
  <c r="A821" i="65"/>
  <c r="A822" i="65"/>
  <c r="A823" i="65"/>
  <c r="A824" i="65"/>
  <c r="A825" i="65"/>
  <c r="A826" i="65"/>
  <c r="A827" i="65"/>
  <c r="A828" i="65"/>
  <c r="A829" i="65"/>
  <c r="A830" i="65"/>
  <c r="A831" i="65"/>
  <c r="A832" i="65"/>
  <c r="A833" i="65"/>
  <c r="A834" i="65"/>
  <c r="A835" i="65"/>
  <c r="A836" i="65"/>
  <c r="A837" i="65"/>
  <c r="A838" i="65"/>
  <c r="A839" i="65"/>
  <c r="A840" i="65"/>
  <c r="A841" i="65"/>
  <c r="A842" i="65"/>
  <c r="A843" i="65"/>
  <c r="A844" i="65"/>
  <c r="A845" i="65"/>
  <c r="A846" i="65"/>
  <c r="A847" i="65"/>
  <c r="A848" i="65"/>
  <c r="A849" i="65"/>
  <c r="A850" i="65"/>
  <c r="A851" i="65"/>
  <c r="A852" i="65"/>
  <c r="A853" i="65"/>
  <c r="A854" i="65"/>
  <c r="A855" i="65"/>
  <c r="A856" i="65"/>
  <c r="A857" i="65"/>
  <c r="A858" i="65"/>
  <c r="A859" i="65"/>
  <c r="A860" i="65"/>
  <c r="A861" i="65"/>
  <c r="A862" i="65"/>
  <c r="A863" i="65"/>
  <c r="A864" i="65"/>
  <c r="A865" i="65"/>
  <c r="A866" i="65"/>
  <c r="A867" i="65"/>
  <c r="A868" i="65"/>
  <c r="A869" i="65"/>
  <c r="A870" i="65"/>
  <c r="A871" i="65"/>
  <c r="A872" i="65"/>
  <c r="A873" i="65"/>
  <c r="A874" i="65"/>
  <c r="A875" i="65"/>
  <c r="A876" i="65"/>
  <c r="A877" i="65"/>
  <c r="A878" i="65"/>
  <c r="A879" i="65"/>
  <c r="A880" i="65"/>
  <c r="A881" i="65"/>
  <c r="A882" i="65"/>
  <c r="A883" i="65"/>
  <c r="A884" i="65"/>
  <c r="A885" i="65"/>
  <c r="A886" i="65"/>
  <c r="A887" i="65"/>
  <c r="A888" i="65"/>
  <c r="A889" i="65"/>
  <c r="A890" i="65"/>
  <c r="A891" i="65"/>
  <c r="A892" i="65"/>
  <c r="A893" i="65"/>
  <c r="A894" i="65"/>
  <c r="A895" i="65"/>
  <c r="A896" i="65"/>
  <c r="A897" i="65"/>
  <c r="A898" i="65"/>
  <c r="A899" i="65"/>
  <c r="A900" i="65"/>
  <c r="A901" i="65"/>
  <c r="A902" i="65"/>
  <c r="A903" i="65"/>
  <c r="A904" i="65"/>
  <c r="A905" i="65"/>
  <c r="A906" i="65"/>
  <c r="A907" i="65"/>
  <c r="A908" i="65"/>
  <c r="A909" i="65"/>
  <c r="A910" i="65"/>
  <c r="A911" i="65"/>
  <c r="A912" i="65"/>
  <c r="A913" i="65"/>
  <c r="A914" i="65"/>
  <c r="A915" i="65"/>
  <c r="A916" i="65"/>
  <c r="A917" i="65"/>
  <c r="A918" i="65"/>
  <c r="A919" i="65"/>
  <c r="A920" i="65"/>
  <c r="A921" i="65"/>
  <c r="A922" i="65"/>
  <c r="A923" i="65"/>
  <c r="A924" i="65"/>
  <c r="A925" i="65"/>
  <c r="A926" i="65"/>
  <c r="A927" i="65"/>
  <c r="A928" i="65"/>
  <c r="A929" i="65"/>
  <c r="A930" i="65"/>
  <c r="A931" i="65"/>
  <c r="A932" i="65"/>
  <c r="A933" i="65"/>
  <c r="A934" i="65"/>
  <c r="A935" i="65"/>
  <c r="A936" i="65"/>
  <c r="A937" i="65"/>
  <c r="A938" i="65"/>
  <c r="A939" i="65"/>
  <c r="A940" i="65"/>
  <c r="A941" i="65"/>
  <c r="A942" i="65"/>
  <c r="A943" i="65"/>
  <c r="A944" i="65"/>
  <c r="A945" i="65"/>
  <c r="A946" i="65"/>
  <c r="A947" i="65"/>
  <c r="A948" i="65"/>
  <c r="A949" i="65"/>
  <c r="A950" i="65"/>
  <c r="A951" i="65"/>
  <c r="A952" i="65"/>
  <c r="A953" i="65"/>
  <c r="A954" i="65"/>
  <c r="A955" i="65"/>
  <c r="A956" i="65"/>
  <c r="A957" i="65"/>
  <c r="A958" i="65"/>
  <c r="A959" i="65"/>
  <c r="A960" i="65"/>
  <c r="A961" i="65"/>
  <c r="A962" i="65"/>
  <c r="A963" i="65"/>
  <c r="A964" i="65"/>
  <c r="A965" i="65"/>
  <c r="A966" i="65"/>
  <c r="A967" i="65"/>
  <c r="A968" i="65"/>
  <c r="A969" i="65"/>
  <c r="A970" i="65"/>
  <c r="A971" i="65"/>
  <c r="A972" i="65"/>
  <c r="A973" i="65"/>
  <c r="A974" i="65"/>
  <c r="A975" i="65"/>
  <c r="A976" i="65"/>
  <c r="A977" i="65"/>
  <c r="A978" i="65"/>
  <c r="A979" i="65"/>
  <c r="A980" i="65"/>
  <c r="A981" i="65"/>
  <c r="A982" i="65"/>
  <c r="A983" i="65"/>
  <c r="A984" i="65"/>
  <c r="A985" i="65"/>
  <c r="A986" i="65"/>
  <c r="A987" i="65"/>
  <c r="A988" i="65"/>
  <c r="A989" i="65"/>
  <c r="A990" i="65"/>
  <c r="A991" i="65"/>
  <c r="A992" i="65"/>
  <c r="A993" i="65"/>
  <c r="A994" i="65"/>
  <c r="A995" i="65"/>
  <c r="A996" i="65"/>
  <c r="A997" i="65"/>
  <c r="A998" i="65"/>
  <c r="A999" i="65"/>
  <c r="A1000" i="65"/>
  <c r="A1001" i="65"/>
  <c r="A1002" i="65"/>
  <c r="A1003" i="65"/>
  <c r="A1004" i="65"/>
  <c r="A1005" i="65"/>
  <c r="A1006" i="65"/>
  <c r="A1007" i="65"/>
  <c r="A1008" i="65"/>
  <c r="A1009" i="65"/>
  <c r="A1010" i="65"/>
  <c r="A1011" i="65"/>
  <c r="A1012" i="65"/>
  <c r="A1013" i="65"/>
  <c r="A1014" i="65"/>
  <c r="A1015" i="65"/>
  <c r="A1016" i="65"/>
  <c r="A1017" i="65"/>
  <c r="A1018" i="65"/>
  <c r="A1019" i="65"/>
  <c r="A1020" i="65"/>
  <c r="A1021" i="65"/>
  <c r="A1022" i="65"/>
  <c r="A1023" i="65"/>
  <c r="A1024" i="65"/>
  <c r="A1025" i="65"/>
  <c r="A1026" i="65"/>
  <c r="A1027" i="65"/>
  <c r="A1028" i="65"/>
  <c r="A1029" i="65"/>
  <c r="A1030" i="65"/>
  <c r="A1031" i="65"/>
  <c r="A1032" i="65"/>
  <c r="A1033" i="65"/>
  <c r="A1034" i="65"/>
  <c r="A1035" i="65"/>
  <c r="A1036" i="65"/>
  <c r="A1037" i="65"/>
  <c r="A1038" i="65"/>
  <c r="A1039" i="65"/>
  <c r="A1040" i="65"/>
  <c r="A1041" i="65"/>
  <c r="A1042" i="65"/>
  <c r="A1043" i="65"/>
  <c r="A1044" i="65"/>
  <c r="A1045" i="65"/>
  <c r="A1046" i="65"/>
  <c r="A1047" i="65"/>
  <c r="A1048" i="65"/>
  <c r="A1049" i="65"/>
  <c r="A1050" i="65"/>
  <c r="A1051" i="65"/>
  <c r="A1052" i="65"/>
  <c r="A1053" i="65"/>
  <c r="A1054" i="65"/>
  <c r="A1055" i="65"/>
  <c r="A1056" i="65"/>
  <c r="A1057" i="65"/>
  <c r="A1058" i="65"/>
  <c r="A1059" i="65"/>
  <c r="A1060" i="65"/>
  <c r="A1061" i="65"/>
  <c r="A1062" i="65"/>
  <c r="A1063" i="65"/>
  <c r="A1064" i="65"/>
  <c r="A1065" i="65"/>
  <c r="A1066" i="65"/>
  <c r="A1067" i="65"/>
  <c r="A1068" i="65"/>
  <c r="A1069" i="65"/>
  <c r="A1070" i="65"/>
  <c r="A1071" i="65"/>
  <c r="A1072" i="65"/>
  <c r="A1073" i="65"/>
  <c r="A1074" i="65"/>
  <c r="A1075" i="65"/>
  <c r="A1076" i="65"/>
  <c r="A1077" i="65"/>
  <c r="A1078" i="65"/>
  <c r="A1079" i="65"/>
  <c r="A1080" i="65"/>
  <c r="A1081" i="65"/>
  <c r="A1082" i="65"/>
  <c r="A1083" i="65"/>
  <c r="A1084" i="65"/>
  <c r="A1085" i="65"/>
  <c r="A1086" i="65"/>
  <c r="A1087" i="65"/>
  <c r="A1088" i="65"/>
  <c r="A1089" i="65"/>
  <c r="A1090" i="65"/>
  <c r="A1091" i="65"/>
  <c r="A1092" i="65"/>
  <c r="A1093" i="65"/>
  <c r="A1094" i="65"/>
  <c r="A1095" i="65"/>
  <c r="A1096" i="65"/>
  <c r="A1097" i="65"/>
  <c r="A1098" i="65"/>
  <c r="A1099" i="65"/>
  <c r="A1100" i="65"/>
  <c r="A1101" i="65"/>
  <c r="A1102" i="65"/>
  <c r="A1103" i="65"/>
  <c r="A1104" i="65"/>
  <c r="A1105" i="65"/>
  <c r="A1106" i="65"/>
  <c r="A1107" i="65"/>
  <c r="A1108" i="65"/>
  <c r="A1109" i="65"/>
  <c r="A1110" i="65"/>
  <c r="A1111" i="65"/>
  <c r="A1112" i="65"/>
  <c r="A1113" i="65"/>
  <c r="A1114" i="65"/>
  <c r="A1115" i="65"/>
  <c r="A1116" i="65"/>
  <c r="A1117" i="65"/>
  <c r="A1118" i="65"/>
  <c r="A1119" i="65"/>
  <c r="A1120" i="65"/>
  <c r="A1121" i="65"/>
  <c r="A1122" i="65"/>
  <c r="A1123" i="65"/>
  <c r="A1124" i="65"/>
  <c r="A1125" i="65"/>
  <c r="A1126" i="65"/>
  <c r="A1127" i="65"/>
  <c r="A1128" i="65"/>
  <c r="A1129" i="65"/>
  <c r="A1130" i="65"/>
  <c r="A1131" i="65"/>
  <c r="A1132" i="65"/>
  <c r="A1133" i="65"/>
  <c r="A1134" i="65"/>
  <c r="A1135" i="65"/>
  <c r="A1136" i="65"/>
  <c r="A1137" i="65"/>
  <c r="A1138" i="65"/>
  <c r="A1139" i="65"/>
  <c r="A1140" i="65"/>
  <c r="A1141" i="65"/>
  <c r="A1142" i="65"/>
  <c r="A1143" i="65"/>
  <c r="A1144" i="65"/>
  <c r="A1145" i="65"/>
  <c r="A1146" i="65"/>
  <c r="A1147" i="65"/>
  <c r="A1148" i="65"/>
  <c r="A1149" i="65"/>
  <c r="A1150" i="65"/>
  <c r="A1151" i="65"/>
  <c r="A1152" i="65"/>
  <c r="A1153" i="65"/>
  <c r="A1154" i="65"/>
  <c r="A1155" i="65"/>
  <c r="A1156" i="65"/>
  <c r="A1157" i="65"/>
  <c r="A1158" i="65"/>
  <c r="A1159" i="65"/>
  <c r="A1160" i="65"/>
  <c r="A1161" i="65"/>
  <c r="A1162" i="65"/>
  <c r="A1163" i="65"/>
  <c r="A1164" i="65"/>
  <c r="A1165" i="65"/>
  <c r="A1166" i="65"/>
  <c r="A1167" i="65"/>
  <c r="A1168" i="65"/>
  <c r="A1169" i="65"/>
  <c r="A1170" i="65"/>
  <c r="A1171" i="65"/>
  <c r="A1172" i="65"/>
  <c r="A1173" i="65"/>
  <c r="A1174" i="65"/>
  <c r="A1175" i="65"/>
  <c r="A1176" i="65"/>
  <c r="A1177" i="65"/>
  <c r="A1178" i="65"/>
  <c r="A1179" i="65"/>
  <c r="A1180" i="65"/>
  <c r="A1181" i="65"/>
  <c r="A1182" i="65"/>
  <c r="A1183" i="65"/>
  <c r="A1184" i="65"/>
  <c r="A1185" i="65"/>
  <c r="A1186" i="65"/>
  <c r="A1187" i="65"/>
  <c r="A1188" i="65"/>
  <c r="A1189" i="65"/>
  <c r="A1190" i="65"/>
  <c r="A1191" i="65"/>
  <c r="A1192" i="65"/>
  <c r="A1193" i="65"/>
  <c r="A1194" i="65"/>
  <c r="A1195" i="65"/>
  <c r="A1196" i="65"/>
  <c r="A1197" i="65"/>
  <c r="A1198" i="65"/>
  <c r="A1199" i="65"/>
  <c r="A1200" i="65"/>
  <c r="A1201" i="65"/>
  <c r="A1202" i="65"/>
  <c r="A1203" i="65"/>
  <c r="A1204" i="65"/>
  <c r="A1205" i="65"/>
  <c r="A1206" i="65"/>
  <c r="A1207" i="65"/>
  <c r="A1208" i="65"/>
  <c r="A1209" i="65"/>
  <c r="A1210" i="65"/>
  <c r="A1211" i="65"/>
  <c r="A1212" i="65"/>
  <c r="A1213" i="65"/>
  <c r="A1214" i="65"/>
  <c r="A1215" i="65"/>
  <c r="A1216" i="65"/>
  <c r="A1217" i="65"/>
  <c r="A1218" i="65"/>
  <c r="A1219" i="65"/>
  <c r="A1220" i="65"/>
  <c r="A1221" i="65"/>
  <c r="A1222" i="65"/>
  <c r="A1223" i="65"/>
  <c r="A1224" i="65"/>
  <c r="A1225" i="65"/>
  <c r="A1226" i="65"/>
  <c r="A1227" i="65"/>
  <c r="A1228" i="65"/>
  <c r="A1229" i="65"/>
  <c r="A1230" i="65"/>
  <c r="A1231" i="65"/>
  <c r="A1232" i="65"/>
  <c r="A1233" i="65"/>
  <c r="A1234" i="65"/>
  <c r="A1235" i="65"/>
  <c r="A1236" i="65"/>
  <c r="A1237" i="65"/>
  <c r="A1238" i="65"/>
  <c r="A1239" i="65"/>
  <c r="A1240" i="65"/>
  <c r="A1241" i="65"/>
  <c r="A1242" i="65"/>
  <c r="A1243" i="65"/>
  <c r="A1244" i="65"/>
  <c r="A1245" i="65"/>
  <c r="A1246" i="65"/>
  <c r="A1247" i="65"/>
  <c r="A1248" i="65"/>
  <c r="A1249" i="65"/>
  <c r="A1250" i="65"/>
  <c r="A1251" i="65"/>
  <c r="A1252" i="65"/>
  <c r="A1253" i="65"/>
  <c r="A1254" i="65"/>
  <c r="A1255" i="65"/>
  <c r="A1256" i="65"/>
  <c r="A1257" i="65"/>
  <c r="A1258" i="65"/>
  <c r="A1259" i="65"/>
  <c r="A1260" i="65"/>
  <c r="A1261" i="65"/>
  <c r="A1262" i="65"/>
  <c r="A1263" i="65"/>
  <c r="A1264" i="65"/>
  <c r="A1265" i="65"/>
  <c r="A1266" i="65"/>
  <c r="A1267" i="65"/>
  <c r="A1268" i="65"/>
  <c r="A1269" i="65"/>
  <c r="A1270" i="65"/>
  <c r="A1271" i="65"/>
  <c r="A1272" i="65"/>
  <c r="A1273" i="65"/>
  <c r="A1274" i="65"/>
  <c r="A1275" i="65"/>
  <c r="A1276" i="65"/>
  <c r="A1277" i="65"/>
  <c r="A1278" i="65"/>
  <c r="A1279" i="65"/>
  <c r="A1280" i="65"/>
  <c r="A1281" i="65"/>
  <c r="A1282" i="65"/>
  <c r="A1283" i="65"/>
  <c r="A1284" i="65"/>
  <c r="A1285" i="65"/>
  <c r="A1286" i="65"/>
  <c r="A1287" i="65"/>
  <c r="A1288" i="65"/>
  <c r="A1289" i="65"/>
  <c r="A1290" i="65"/>
  <c r="A1291" i="65"/>
  <c r="A1292" i="65"/>
  <c r="A1293" i="65"/>
  <c r="A1294" i="65"/>
  <c r="A1295" i="65"/>
  <c r="A1296" i="65"/>
  <c r="A1297" i="65"/>
  <c r="A1298" i="65"/>
  <c r="A1299" i="65"/>
  <c r="A1300" i="65"/>
  <c r="A1301" i="65"/>
  <c r="A1302" i="65"/>
  <c r="A1303" i="65"/>
  <c r="A1304" i="65"/>
  <c r="A1305" i="65"/>
  <c r="A1306" i="65"/>
  <c r="A1307" i="65"/>
  <c r="A1308" i="65"/>
  <c r="A1309" i="65"/>
  <c r="A1310" i="65"/>
  <c r="A1311" i="65"/>
  <c r="A1312" i="65"/>
  <c r="A1313" i="65"/>
  <c r="A1314" i="65"/>
  <c r="A1315" i="65"/>
  <c r="A1316" i="65"/>
  <c r="A1317" i="65"/>
  <c r="A1318" i="65"/>
  <c r="A1319" i="65"/>
  <c r="A1320" i="65"/>
  <c r="A1321" i="65"/>
  <c r="A1322" i="65"/>
  <c r="A1323" i="65"/>
  <c r="A1324" i="65"/>
  <c r="A1325" i="65"/>
  <c r="A1326" i="65"/>
  <c r="A1327" i="65"/>
  <c r="A1328" i="65"/>
  <c r="A1329" i="65"/>
  <c r="A1330" i="65"/>
  <c r="A1331" i="65"/>
  <c r="A1332" i="65"/>
  <c r="A1333" i="65"/>
  <c r="A1334" i="65"/>
  <c r="A1335" i="65"/>
  <c r="A1336" i="65"/>
  <c r="A1337" i="65"/>
  <c r="A1338" i="65"/>
  <c r="A1339" i="65"/>
  <c r="A1340" i="65"/>
  <c r="A1341" i="65"/>
  <c r="A1342" i="65"/>
  <c r="A1343" i="65"/>
  <c r="A1344" i="65"/>
  <c r="A1345" i="65"/>
  <c r="A1346" i="65"/>
  <c r="A1347" i="65"/>
  <c r="A1348" i="65"/>
  <c r="A1349" i="65"/>
  <c r="A1350" i="65"/>
  <c r="A1351" i="65"/>
  <c r="A1352" i="65"/>
  <c r="A1353" i="65"/>
  <c r="A1354" i="65"/>
  <c r="A1355" i="65"/>
  <c r="A1356" i="65"/>
  <c r="A1357" i="65"/>
  <c r="A1358" i="65"/>
  <c r="A1359" i="65"/>
  <c r="A1360" i="65"/>
  <c r="A1361" i="65"/>
  <c r="A1362" i="65"/>
  <c r="A1363" i="65"/>
  <c r="A1364" i="65"/>
  <c r="A1365" i="65"/>
  <c r="A1366" i="65"/>
  <c r="A1367" i="65"/>
  <c r="A1368" i="65"/>
  <c r="A1369" i="65"/>
  <c r="A1370" i="65"/>
  <c r="A1371" i="65"/>
  <c r="A1372" i="65"/>
  <c r="A1373" i="65"/>
  <c r="A1374" i="65"/>
  <c r="A1375" i="65"/>
  <c r="A1376" i="65"/>
  <c r="A1377" i="65"/>
  <c r="A1378" i="65"/>
  <c r="A1379" i="65"/>
  <c r="A1380" i="65"/>
  <c r="A1381" i="65"/>
  <c r="A1382" i="65"/>
  <c r="A1383" i="65"/>
  <c r="A1384" i="65"/>
  <c r="A1385" i="65"/>
  <c r="A1386" i="65"/>
  <c r="A1387" i="65"/>
  <c r="A1388" i="65"/>
  <c r="A1389" i="65"/>
  <c r="A1390" i="65"/>
  <c r="A1391" i="65"/>
  <c r="A1392" i="65"/>
  <c r="A1393" i="65"/>
  <c r="A1394" i="65"/>
  <c r="A1395" i="65"/>
  <c r="A1396" i="65"/>
  <c r="A1397" i="65"/>
  <c r="A1398" i="65"/>
  <c r="A1399" i="65"/>
  <c r="A1400" i="65"/>
  <c r="A1401" i="65"/>
  <c r="A1402" i="65"/>
  <c r="A1403" i="65"/>
  <c r="A1404" i="65"/>
  <c r="A1405" i="65"/>
  <c r="A1406" i="65"/>
  <c r="A1407" i="65"/>
  <c r="A1408" i="65"/>
  <c r="A1409" i="65"/>
  <c r="A1410" i="65"/>
  <c r="A1411" i="65"/>
  <c r="A1412" i="65"/>
  <c r="A1413" i="65"/>
  <c r="A1414" i="65"/>
  <c r="A1415" i="65"/>
  <c r="A1416" i="65"/>
  <c r="A1417" i="65"/>
  <c r="A1418" i="65"/>
  <c r="A1419" i="65"/>
  <c r="A1420" i="65"/>
  <c r="A1421" i="65"/>
  <c r="A1422" i="65"/>
  <c r="A1423" i="65"/>
  <c r="A1424" i="65"/>
  <c r="A1425" i="65"/>
  <c r="A1426" i="65"/>
  <c r="A1427" i="65"/>
  <c r="A1428" i="65"/>
  <c r="A1429" i="65"/>
  <c r="A1430" i="65"/>
  <c r="A1431" i="65"/>
  <c r="A1432" i="65"/>
  <c r="A1433" i="65"/>
  <c r="A1434" i="65"/>
  <c r="A1435" i="65"/>
  <c r="A1436" i="65"/>
  <c r="A1437" i="65"/>
  <c r="A1438" i="65"/>
  <c r="A1439" i="65"/>
  <c r="A1440" i="65"/>
  <c r="A1441" i="65"/>
  <c r="A1442" i="65"/>
  <c r="A1443" i="65"/>
  <c r="A1444" i="65"/>
  <c r="A1445" i="65"/>
  <c r="A1446" i="65"/>
  <c r="A1447" i="65"/>
  <c r="A1448" i="65"/>
  <c r="A1449" i="65"/>
  <c r="A1450" i="65"/>
  <c r="A1451" i="65"/>
  <c r="A1452" i="65"/>
  <c r="A1453" i="65"/>
  <c r="A1454" i="65"/>
  <c r="A1455" i="65"/>
  <c r="A1456" i="65"/>
  <c r="A1457" i="65"/>
  <c r="A1458" i="65"/>
  <c r="A1459" i="65"/>
  <c r="A1460" i="65"/>
  <c r="A1461" i="65"/>
  <c r="A1462" i="65"/>
  <c r="A1463" i="65"/>
  <c r="A1464" i="65"/>
  <c r="A1465" i="65"/>
  <c r="A1466" i="65"/>
  <c r="A1467" i="65"/>
  <c r="A1468" i="65"/>
  <c r="A1469" i="65"/>
  <c r="A1470" i="65"/>
  <c r="A1471" i="65"/>
  <c r="A1472" i="65"/>
  <c r="A1473" i="65"/>
  <c r="A1474" i="65"/>
  <c r="A1475" i="65"/>
  <c r="A1476" i="65"/>
  <c r="A1477" i="65"/>
  <c r="A1478" i="65"/>
  <c r="A1479" i="65"/>
  <c r="A1480" i="65"/>
  <c r="A1481" i="65"/>
  <c r="A1482" i="65"/>
  <c r="A1483" i="65"/>
  <c r="A1484" i="65"/>
  <c r="A1485" i="65"/>
  <c r="A1486" i="65"/>
  <c r="A1487" i="65"/>
  <c r="A1488" i="65"/>
  <c r="A1489" i="65"/>
  <c r="A1490" i="65"/>
  <c r="A1491" i="65"/>
  <c r="A1492" i="65"/>
  <c r="A1493" i="65"/>
  <c r="A1494" i="65"/>
  <c r="A1495" i="65"/>
  <c r="A1496" i="65"/>
  <c r="A1497" i="65"/>
  <c r="A1498" i="65"/>
  <c r="A1499" i="65"/>
  <c r="A1500" i="65"/>
  <c r="A1501" i="65"/>
  <c r="A1502" i="65"/>
  <c r="A1503" i="65"/>
  <c r="A1504" i="65"/>
  <c r="A1505" i="65"/>
  <c r="A1506" i="65"/>
  <c r="A1507" i="65"/>
  <c r="A1508" i="65"/>
  <c r="A1509" i="65"/>
  <c r="A1510" i="65"/>
  <c r="A1511" i="65"/>
  <c r="A1512" i="65"/>
  <c r="A1513" i="65"/>
  <c r="A1514" i="65"/>
  <c r="A1515" i="65"/>
  <c r="A1516" i="65"/>
  <c r="A1517" i="65"/>
  <c r="A1518" i="65"/>
  <c r="A1519" i="65"/>
  <c r="A1520" i="65"/>
  <c r="A1521" i="65"/>
  <c r="A1522" i="65"/>
  <c r="A1523" i="65"/>
  <c r="A1524" i="65"/>
  <c r="A1525" i="65"/>
  <c r="A1526" i="65"/>
  <c r="A1527" i="65"/>
  <c r="A1528" i="65"/>
  <c r="A1529" i="65"/>
  <c r="A1530" i="65"/>
  <c r="A1531" i="65"/>
  <c r="A1532" i="65"/>
  <c r="A1533" i="65"/>
  <c r="A1534" i="65"/>
  <c r="A1535" i="65"/>
  <c r="A1536" i="65"/>
  <c r="A1537" i="65"/>
  <c r="A1538" i="65"/>
  <c r="A1539" i="65"/>
  <c r="A1540" i="65"/>
  <c r="A1541" i="65"/>
  <c r="A2" i="65"/>
  <c r="A3" i="66"/>
  <c r="A4" i="66"/>
  <c r="A5" i="66"/>
  <c r="A6" i="66"/>
  <c r="A7" i="66"/>
  <c r="A8" i="66"/>
  <c r="A9" i="66"/>
  <c r="A10" i="66"/>
  <c r="A11" i="66"/>
  <c r="A12" i="66"/>
  <c r="A13" i="66"/>
  <c r="A14" i="66"/>
  <c r="A15" i="66"/>
  <c r="A16" i="66"/>
  <c r="A17" i="66"/>
  <c r="A18" i="66"/>
  <c r="A19" i="66"/>
  <c r="A20" i="66"/>
  <c r="A21" i="66"/>
  <c r="A22" i="66"/>
  <c r="A23" i="66"/>
  <c r="A24" i="66"/>
  <c r="A25" i="66"/>
  <c r="A26" i="66"/>
  <c r="A27" i="66"/>
  <c r="A28" i="66"/>
  <c r="A29" i="66"/>
  <c r="A30" i="66"/>
  <c r="A31" i="66"/>
  <c r="A32" i="66"/>
  <c r="A33" i="66"/>
  <c r="A34" i="66"/>
  <c r="A35" i="66"/>
  <c r="A36" i="66"/>
  <c r="A37" i="66"/>
  <c r="A38" i="66"/>
  <c r="A39" i="66"/>
  <c r="A40" i="66"/>
  <c r="A41" i="66"/>
  <c r="A42" i="66"/>
  <c r="A43" i="66"/>
  <c r="A44" i="66"/>
  <c r="A45" i="66"/>
  <c r="A46" i="66"/>
  <c r="A47" i="66"/>
  <c r="A48" i="66"/>
  <c r="A49" i="66"/>
  <c r="A50" i="66"/>
  <c r="A51" i="66"/>
  <c r="A52" i="66"/>
  <c r="A53" i="66"/>
  <c r="A54" i="66"/>
  <c r="A55" i="66"/>
  <c r="A56" i="66"/>
  <c r="A57" i="66"/>
  <c r="A58" i="66"/>
  <c r="A59" i="66"/>
  <c r="A60" i="66"/>
  <c r="A61" i="66"/>
  <c r="A62" i="66"/>
  <c r="A63" i="66"/>
  <c r="A64" i="66"/>
  <c r="A65" i="66"/>
  <c r="A66" i="66"/>
  <c r="A67" i="66"/>
  <c r="A68" i="66"/>
  <c r="A69" i="66"/>
  <c r="A70" i="66"/>
  <c r="A71" i="66"/>
  <c r="A72" i="66"/>
  <c r="A73" i="66"/>
  <c r="A74" i="66"/>
  <c r="A75" i="66"/>
  <c r="A76" i="66"/>
  <c r="A77" i="66"/>
  <c r="A78" i="66"/>
  <c r="A79" i="66"/>
  <c r="A80" i="66"/>
  <c r="A81" i="66"/>
  <c r="A82" i="66"/>
  <c r="A83" i="66"/>
  <c r="A84" i="66"/>
  <c r="A85" i="66"/>
  <c r="A86" i="66"/>
  <c r="A87" i="66"/>
  <c r="A88" i="66"/>
  <c r="A89" i="66"/>
  <c r="A90" i="66"/>
  <c r="A91" i="66"/>
  <c r="A92" i="66"/>
  <c r="A93" i="66"/>
  <c r="A94" i="66"/>
  <c r="A95" i="66"/>
  <c r="A96" i="66"/>
  <c r="A97" i="66"/>
  <c r="A98" i="66"/>
  <c r="A99" i="66"/>
  <c r="A100" i="66"/>
  <c r="A101" i="66"/>
  <c r="A102" i="66"/>
  <c r="A103" i="66"/>
  <c r="A104" i="66"/>
  <c r="A105" i="66"/>
  <c r="A106" i="66"/>
  <c r="A107" i="66"/>
  <c r="A108" i="66"/>
  <c r="A109" i="66"/>
  <c r="A110" i="66"/>
  <c r="A111" i="66"/>
  <c r="A112" i="66"/>
  <c r="A113" i="66"/>
  <c r="A114" i="66"/>
  <c r="A115" i="66"/>
  <c r="A116" i="66"/>
  <c r="A117" i="66"/>
  <c r="A118" i="66"/>
  <c r="A119" i="66"/>
  <c r="A120" i="66"/>
  <c r="A121" i="66"/>
  <c r="A122" i="66"/>
  <c r="A123" i="66"/>
  <c r="A124" i="66"/>
  <c r="A125" i="66"/>
  <c r="A126" i="66"/>
  <c r="A127" i="66"/>
  <c r="A128" i="66"/>
  <c r="A129" i="66"/>
  <c r="A130" i="66"/>
  <c r="A131" i="66"/>
  <c r="A132" i="66"/>
  <c r="A133" i="66"/>
  <c r="A134" i="66"/>
  <c r="A135" i="66"/>
  <c r="A136" i="66"/>
  <c r="A137" i="66"/>
  <c r="A138" i="66"/>
  <c r="A139" i="66"/>
  <c r="A140" i="66"/>
  <c r="A141" i="66"/>
  <c r="A142" i="66"/>
  <c r="A143" i="66"/>
  <c r="A144" i="66"/>
  <c r="A145" i="66"/>
  <c r="A146" i="66"/>
  <c r="A147" i="66"/>
  <c r="A148" i="66"/>
  <c r="A149" i="66"/>
  <c r="A150" i="66"/>
  <c r="A151" i="66"/>
  <c r="A152" i="66"/>
  <c r="A153" i="66"/>
  <c r="A154" i="66"/>
  <c r="A155" i="66"/>
  <c r="A156" i="66"/>
  <c r="A157" i="66"/>
  <c r="A158" i="66"/>
  <c r="A159" i="66"/>
  <c r="A160" i="66"/>
  <c r="A161" i="66"/>
  <c r="A162" i="66"/>
  <c r="A163" i="66"/>
  <c r="A164" i="66"/>
  <c r="A165" i="66"/>
  <c r="A166" i="66"/>
  <c r="A167" i="66"/>
  <c r="A168" i="66"/>
  <c r="A169" i="66"/>
  <c r="A170" i="66"/>
  <c r="A171" i="66"/>
  <c r="A172" i="66"/>
  <c r="A173" i="66"/>
  <c r="A174" i="66"/>
  <c r="A175" i="66"/>
  <c r="A176" i="66"/>
  <c r="A177" i="66"/>
  <c r="A178" i="66"/>
  <c r="A179" i="66"/>
  <c r="A180" i="66"/>
  <c r="A181" i="66"/>
  <c r="A182" i="66"/>
  <c r="A183" i="66"/>
  <c r="A184" i="66"/>
  <c r="A185" i="66"/>
  <c r="A186" i="66"/>
  <c r="A187" i="66"/>
  <c r="A188" i="66"/>
  <c r="A189" i="66"/>
  <c r="A190" i="66"/>
  <c r="A191" i="66"/>
  <c r="A192" i="66"/>
  <c r="A193" i="66"/>
  <c r="A194" i="66"/>
  <c r="A195" i="66"/>
  <c r="A196" i="66"/>
  <c r="A197" i="66"/>
  <c r="A198" i="66"/>
  <c r="A199" i="66"/>
  <c r="A200" i="66"/>
  <c r="A201" i="66"/>
  <c r="A202" i="66"/>
  <c r="A203" i="66"/>
  <c r="A204" i="66"/>
  <c r="A205" i="66"/>
  <c r="A206" i="66"/>
  <c r="A207" i="66"/>
  <c r="A208" i="66"/>
  <c r="A209" i="66"/>
  <c r="A210" i="66"/>
  <c r="A211" i="66"/>
  <c r="A212" i="66"/>
  <c r="A213" i="66"/>
  <c r="A214" i="66"/>
  <c r="A215" i="66"/>
  <c r="A216" i="66"/>
  <c r="A217" i="66"/>
  <c r="A218" i="66"/>
  <c r="A219" i="66"/>
  <c r="A220" i="66"/>
  <c r="A221" i="66"/>
  <c r="A222" i="66"/>
  <c r="A223" i="66"/>
  <c r="A224" i="66"/>
  <c r="A225" i="66"/>
  <c r="A226" i="66"/>
  <c r="A227" i="66"/>
  <c r="A228" i="66"/>
  <c r="A229" i="66"/>
  <c r="A230" i="66"/>
  <c r="A231" i="66"/>
  <c r="A232" i="66"/>
  <c r="A233" i="66"/>
  <c r="A234" i="66"/>
  <c r="A235" i="66"/>
  <c r="A236" i="66"/>
  <c r="A237" i="66"/>
  <c r="A238" i="66"/>
  <c r="A239" i="66"/>
  <c r="A240" i="66"/>
  <c r="A241" i="66"/>
  <c r="A242" i="66"/>
  <c r="A243" i="66"/>
  <c r="A244" i="66"/>
  <c r="A245" i="66"/>
  <c r="A246" i="66"/>
  <c r="A247" i="66"/>
  <c r="A248" i="66"/>
  <c r="A249" i="66"/>
  <c r="A250" i="66"/>
  <c r="A251" i="66"/>
  <c r="A252" i="66"/>
  <c r="A253" i="66"/>
  <c r="A254" i="66"/>
  <c r="A255" i="66"/>
  <c r="A256" i="66"/>
  <c r="A257" i="66"/>
  <c r="A258" i="66"/>
  <c r="A259" i="66"/>
  <c r="A260" i="66"/>
  <c r="A261" i="66"/>
  <c r="A262" i="66"/>
  <c r="A263" i="66"/>
  <c r="A264" i="66"/>
  <c r="A265" i="66"/>
  <c r="A266" i="66"/>
  <c r="A267" i="66"/>
  <c r="A268" i="66"/>
  <c r="A269" i="66"/>
  <c r="A270" i="66"/>
  <c r="A271" i="66"/>
  <c r="A272" i="66"/>
  <c r="A273" i="66"/>
  <c r="A274" i="66"/>
  <c r="A275" i="66"/>
  <c r="A276" i="66"/>
  <c r="A277" i="66"/>
  <c r="A278" i="66"/>
  <c r="A279" i="66"/>
  <c r="A280" i="66"/>
  <c r="A281" i="66"/>
  <c r="A282" i="66"/>
  <c r="A283" i="66"/>
  <c r="A284" i="66"/>
  <c r="A285" i="66"/>
  <c r="A286" i="66"/>
  <c r="A287" i="66"/>
  <c r="A288" i="66"/>
  <c r="A289" i="66"/>
  <c r="A290" i="66"/>
  <c r="A291" i="66"/>
  <c r="A292" i="66"/>
  <c r="A293" i="66"/>
  <c r="A294" i="66"/>
  <c r="A295" i="66"/>
  <c r="A296" i="66"/>
  <c r="A297" i="66"/>
  <c r="A298" i="66"/>
  <c r="A299" i="66"/>
  <c r="A300" i="66"/>
  <c r="A301" i="66"/>
  <c r="A302" i="66"/>
  <c r="A303" i="66"/>
  <c r="A304" i="66"/>
  <c r="A305" i="66"/>
  <c r="A306" i="66"/>
  <c r="A307" i="66"/>
  <c r="A308" i="66"/>
  <c r="A309" i="66"/>
  <c r="A310" i="66"/>
  <c r="A311" i="66"/>
  <c r="A312" i="66"/>
  <c r="A313" i="66"/>
  <c r="A314" i="66"/>
  <c r="A315" i="66"/>
  <c r="A316" i="66"/>
  <c r="A317" i="66"/>
  <c r="A318" i="66"/>
  <c r="A319" i="66"/>
  <c r="A320" i="66"/>
  <c r="A321" i="66"/>
  <c r="A322" i="66"/>
  <c r="A323" i="66"/>
  <c r="A324" i="66"/>
  <c r="A325" i="66"/>
  <c r="A326" i="66"/>
  <c r="A327" i="66"/>
  <c r="A328" i="66"/>
  <c r="A329" i="66"/>
  <c r="A330" i="66"/>
  <c r="A331" i="66"/>
  <c r="A332" i="66"/>
  <c r="A333" i="66"/>
  <c r="A334" i="66"/>
  <c r="A335" i="66"/>
  <c r="A336" i="66"/>
  <c r="A337" i="66"/>
  <c r="A338" i="66"/>
  <c r="A339" i="66"/>
  <c r="A340" i="66"/>
  <c r="A341" i="66"/>
  <c r="A342" i="66"/>
  <c r="A343" i="66"/>
  <c r="A344" i="66"/>
  <c r="A345" i="66"/>
  <c r="A346" i="66"/>
  <c r="A347" i="66"/>
  <c r="A348" i="66"/>
  <c r="A349" i="66"/>
  <c r="A350" i="66"/>
  <c r="A351" i="66"/>
  <c r="A352" i="66"/>
  <c r="A353" i="66"/>
  <c r="A354" i="66"/>
  <c r="A355" i="66"/>
  <c r="A356" i="66"/>
  <c r="A357" i="66"/>
  <c r="A358" i="66"/>
  <c r="A359" i="66"/>
  <c r="A360" i="66"/>
  <c r="A361" i="66"/>
  <c r="A362" i="66"/>
  <c r="A363" i="66"/>
  <c r="A364" i="66"/>
  <c r="A365" i="66"/>
  <c r="A366" i="66"/>
  <c r="A367" i="66"/>
  <c r="A368" i="66"/>
  <c r="A369" i="66"/>
  <c r="A370" i="66"/>
  <c r="A371" i="66"/>
  <c r="A372" i="66"/>
  <c r="A373" i="66"/>
  <c r="A374" i="66"/>
  <c r="A375" i="66"/>
  <c r="A376" i="66"/>
  <c r="A377" i="66"/>
  <c r="A378" i="66"/>
  <c r="A379" i="66"/>
  <c r="A380" i="66"/>
  <c r="A381" i="66"/>
  <c r="A382" i="66"/>
  <c r="A383" i="66"/>
  <c r="A384" i="66"/>
  <c r="A385" i="66"/>
  <c r="A386" i="66"/>
  <c r="A387" i="66"/>
  <c r="A388" i="66"/>
  <c r="A389" i="66"/>
  <c r="A390" i="66"/>
  <c r="A391" i="66"/>
  <c r="A392" i="66"/>
  <c r="A393" i="66"/>
  <c r="A394" i="66"/>
  <c r="A395" i="66"/>
  <c r="A396" i="66"/>
  <c r="A397" i="66"/>
  <c r="A398" i="66"/>
  <c r="A399" i="66"/>
  <c r="A400" i="66"/>
  <c r="A401" i="66"/>
  <c r="A402" i="66"/>
  <c r="A403" i="66"/>
  <c r="A404" i="66"/>
  <c r="A405" i="66"/>
  <c r="A406" i="66"/>
  <c r="A407" i="66"/>
  <c r="A408" i="66"/>
  <c r="A409" i="66"/>
  <c r="A410" i="66"/>
  <c r="A411" i="66"/>
  <c r="A412" i="66"/>
  <c r="A413" i="66"/>
  <c r="A414" i="66"/>
  <c r="A415" i="66"/>
  <c r="A416" i="66"/>
  <c r="A417" i="66"/>
  <c r="A418" i="66"/>
  <c r="A419" i="66"/>
  <c r="A420" i="66"/>
  <c r="A421" i="66"/>
  <c r="A422" i="66"/>
  <c r="A423" i="66"/>
  <c r="A424" i="66"/>
  <c r="A425" i="66"/>
  <c r="A426" i="66"/>
  <c r="A427" i="66"/>
  <c r="A428" i="66"/>
  <c r="A429" i="66"/>
  <c r="A430" i="66"/>
  <c r="A431" i="66"/>
  <c r="A432" i="66"/>
  <c r="A433" i="66"/>
  <c r="A434" i="66"/>
  <c r="A435" i="66"/>
  <c r="A436" i="66"/>
  <c r="A437" i="66"/>
  <c r="A438" i="66"/>
  <c r="A439" i="66"/>
  <c r="A440" i="66"/>
  <c r="A441" i="66"/>
  <c r="A442" i="66"/>
  <c r="A443" i="66"/>
  <c r="A444" i="66"/>
  <c r="A445" i="66"/>
  <c r="A446" i="66"/>
  <c r="A447" i="66"/>
  <c r="A448" i="66"/>
  <c r="A449" i="66"/>
  <c r="A450" i="66"/>
  <c r="A451" i="66"/>
  <c r="A452" i="66"/>
  <c r="A453" i="66"/>
  <c r="A454" i="66"/>
  <c r="A455" i="66"/>
  <c r="A456" i="66"/>
  <c r="A457" i="66"/>
  <c r="A458" i="66"/>
  <c r="A459" i="66"/>
  <c r="A460" i="66"/>
  <c r="A461" i="66"/>
  <c r="A462" i="66"/>
  <c r="A463" i="66"/>
  <c r="A464" i="66"/>
  <c r="A465" i="66"/>
  <c r="A466" i="66"/>
  <c r="A467" i="66"/>
  <c r="A468" i="66"/>
  <c r="A469" i="66"/>
  <c r="A470" i="66"/>
  <c r="A471" i="66"/>
  <c r="A472" i="66"/>
  <c r="A473" i="66"/>
  <c r="A474" i="66"/>
  <c r="A475" i="66"/>
  <c r="A476" i="66"/>
  <c r="A477" i="66"/>
  <c r="A478" i="66"/>
  <c r="A479" i="66"/>
  <c r="A480" i="66"/>
  <c r="A481" i="66"/>
  <c r="A482" i="66"/>
  <c r="A483" i="66"/>
  <c r="A484" i="66"/>
  <c r="A485" i="66"/>
  <c r="A486" i="66"/>
  <c r="A487" i="66"/>
  <c r="A488" i="66"/>
  <c r="A489" i="66"/>
  <c r="A490" i="66"/>
  <c r="A491" i="66"/>
  <c r="A492" i="66"/>
  <c r="A493" i="66"/>
  <c r="A494" i="66"/>
  <c r="A495" i="66"/>
  <c r="A496" i="66"/>
  <c r="A497" i="66"/>
  <c r="A498" i="66"/>
  <c r="A499" i="66"/>
  <c r="A500" i="66"/>
  <c r="A501" i="66"/>
  <c r="A502" i="66"/>
  <c r="A503" i="66"/>
  <c r="A504" i="66"/>
  <c r="A505" i="66"/>
  <c r="A506" i="66"/>
  <c r="A507" i="66"/>
  <c r="A508" i="66"/>
  <c r="A509" i="66"/>
  <c r="A510" i="66"/>
  <c r="A511" i="66"/>
  <c r="A512" i="66"/>
  <c r="A513" i="66"/>
  <c r="A514" i="66"/>
  <c r="A515" i="66"/>
  <c r="A516" i="66"/>
  <c r="A517" i="66"/>
  <c r="A518" i="66"/>
  <c r="A519" i="66"/>
  <c r="A520" i="66"/>
  <c r="A521" i="66"/>
  <c r="A522" i="66"/>
  <c r="A523" i="66"/>
  <c r="A524" i="66"/>
  <c r="A525" i="66"/>
  <c r="A526" i="66"/>
  <c r="A527" i="66"/>
  <c r="A528" i="66"/>
  <c r="A529" i="66"/>
  <c r="A530" i="66"/>
  <c r="A531" i="66"/>
  <c r="A532" i="66"/>
  <c r="A533" i="66"/>
  <c r="A534" i="66"/>
  <c r="A535" i="66"/>
  <c r="A536" i="66"/>
  <c r="A537" i="66"/>
  <c r="A538" i="66"/>
  <c r="A539" i="66"/>
  <c r="A540" i="66"/>
  <c r="A541" i="66"/>
  <c r="A542" i="66"/>
  <c r="A543" i="66"/>
  <c r="A544" i="66"/>
  <c r="A545" i="66"/>
  <c r="A546" i="66"/>
  <c r="A547" i="66"/>
  <c r="A548" i="66"/>
  <c r="A549" i="66"/>
  <c r="A550" i="66"/>
  <c r="A551" i="66"/>
  <c r="A552" i="66"/>
  <c r="A553" i="66"/>
  <c r="A554" i="66"/>
  <c r="A555" i="66"/>
  <c r="A556" i="66"/>
  <c r="A557" i="66"/>
  <c r="A558" i="66"/>
  <c r="A559" i="66"/>
  <c r="A560" i="66"/>
  <c r="A561" i="66"/>
  <c r="A562" i="66"/>
  <c r="A563" i="66"/>
  <c r="A564" i="66"/>
  <c r="A565" i="66"/>
  <c r="A566" i="66"/>
  <c r="A567" i="66"/>
  <c r="A568" i="66"/>
  <c r="A569" i="66"/>
  <c r="A570" i="66"/>
  <c r="A571" i="66"/>
  <c r="A572" i="66"/>
  <c r="A573" i="66"/>
  <c r="A574" i="66"/>
  <c r="A575" i="66"/>
  <c r="A576" i="66"/>
  <c r="A577" i="66"/>
  <c r="A578" i="66"/>
  <c r="A579" i="66"/>
  <c r="A580" i="66"/>
  <c r="A581" i="66"/>
  <c r="A582" i="66"/>
  <c r="A583" i="66"/>
  <c r="A584" i="66"/>
  <c r="A585" i="66"/>
  <c r="A586" i="66"/>
  <c r="A587" i="66"/>
  <c r="A588" i="66"/>
  <c r="A589" i="66"/>
  <c r="A590" i="66"/>
  <c r="A591" i="66"/>
  <c r="A592" i="66"/>
  <c r="A593" i="66"/>
  <c r="A594" i="66"/>
  <c r="A595" i="66"/>
  <c r="A596" i="66"/>
  <c r="A597" i="66"/>
  <c r="A598" i="66"/>
  <c r="A599" i="66"/>
  <c r="A600" i="66"/>
  <c r="A601" i="66"/>
  <c r="A602" i="66"/>
  <c r="A603" i="66"/>
  <c r="A604" i="66"/>
  <c r="A605" i="66"/>
  <c r="A606" i="66"/>
  <c r="A607" i="66"/>
  <c r="A608" i="66"/>
  <c r="A609" i="66"/>
  <c r="A610" i="66"/>
  <c r="A611" i="66"/>
  <c r="A612" i="66"/>
  <c r="A613" i="66"/>
  <c r="A614" i="66"/>
  <c r="A615" i="66"/>
  <c r="A616" i="66"/>
  <c r="A617" i="66"/>
  <c r="A618" i="66"/>
  <c r="A619" i="66"/>
  <c r="A620" i="66"/>
  <c r="A621" i="66"/>
  <c r="A622" i="66"/>
  <c r="A623" i="66"/>
  <c r="A624" i="66"/>
  <c r="A625" i="66"/>
  <c r="A626" i="66"/>
  <c r="A627" i="66"/>
  <c r="A628" i="66"/>
  <c r="A629" i="66"/>
  <c r="A630" i="66"/>
  <c r="A631" i="66"/>
  <c r="A632" i="66"/>
  <c r="A633" i="66"/>
  <c r="A634" i="66"/>
  <c r="A635" i="66"/>
  <c r="A636" i="66"/>
  <c r="A637" i="66"/>
  <c r="A638" i="66"/>
  <c r="A639" i="66"/>
  <c r="A640" i="66"/>
  <c r="A641" i="66"/>
  <c r="A642" i="66"/>
  <c r="A643" i="66"/>
  <c r="A644" i="66"/>
  <c r="A645" i="66"/>
  <c r="A646" i="66"/>
  <c r="A647" i="66"/>
  <c r="A648" i="66"/>
  <c r="A649" i="66"/>
  <c r="A650" i="66"/>
  <c r="A651" i="66"/>
  <c r="A652" i="66"/>
  <c r="A653" i="66"/>
  <c r="A654" i="66"/>
  <c r="A655" i="66"/>
  <c r="A656" i="66"/>
  <c r="A657" i="66"/>
  <c r="A658" i="66"/>
  <c r="A659" i="66"/>
  <c r="A660" i="66"/>
  <c r="A661" i="66"/>
  <c r="A662" i="66"/>
  <c r="A663" i="66"/>
  <c r="A664" i="66"/>
  <c r="A665" i="66"/>
  <c r="A666" i="66"/>
  <c r="A667" i="66"/>
  <c r="A668" i="66"/>
  <c r="A669" i="66"/>
  <c r="A670" i="66"/>
  <c r="A671" i="66"/>
  <c r="A672" i="66"/>
  <c r="A673" i="66"/>
  <c r="A674" i="66"/>
  <c r="A675" i="66"/>
  <c r="A676" i="66"/>
  <c r="A677" i="66"/>
  <c r="A678" i="66"/>
  <c r="A679" i="66"/>
  <c r="A680" i="66"/>
  <c r="A681" i="66"/>
  <c r="A682" i="66"/>
  <c r="A683" i="66"/>
  <c r="A684" i="66"/>
  <c r="A685" i="66"/>
  <c r="A686" i="66"/>
  <c r="A687" i="66"/>
  <c r="A688" i="66"/>
  <c r="A689" i="66"/>
  <c r="A690" i="66"/>
  <c r="A691" i="66"/>
  <c r="A692" i="66"/>
  <c r="A693" i="66"/>
  <c r="A694" i="66"/>
  <c r="A695" i="66"/>
  <c r="A696" i="66"/>
  <c r="A697" i="66"/>
  <c r="A698" i="66"/>
  <c r="A699" i="66"/>
  <c r="A700" i="66"/>
  <c r="A701" i="66"/>
  <c r="A702" i="66"/>
  <c r="A703" i="66"/>
  <c r="A704" i="66"/>
  <c r="A705" i="66"/>
  <c r="A706" i="66"/>
  <c r="A707" i="66"/>
  <c r="A708" i="66"/>
  <c r="A709" i="66"/>
  <c r="A710" i="66"/>
  <c r="A711" i="66"/>
  <c r="A712" i="66"/>
  <c r="A713" i="66"/>
  <c r="A714" i="66"/>
  <c r="A715" i="66"/>
  <c r="A716" i="66"/>
  <c r="A717" i="66"/>
  <c r="A718" i="66"/>
  <c r="A719" i="66"/>
  <c r="A720" i="66"/>
  <c r="A721" i="66"/>
  <c r="A722" i="66"/>
  <c r="A723" i="66"/>
  <c r="A724" i="66"/>
  <c r="A725" i="66"/>
  <c r="A726" i="66"/>
  <c r="A727" i="66"/>
  <c r="A728" i="66"/>
  <c r="A729" i="66"/>
  <c r="A730" i="66"/>
  <c r="A731" i="66"/>
  <c r="A732" i="66"/>
  <c r="A733" i="66"/>
  <c r="A734" i="66"/>
  <c r="A735" i="66"/>
  <c r="A736" i="66"/>
  <c r="A737" i="66"/>
  <c r="A738" i="66"/>
  <c r="A739" i="66"/>
  <c r="A740" i="66"/>
  <c r="A741" i="66"/>
  <c r="A742" i="66"/>
  <c r="A743" i="66"/>
  <c r="A744" i="66"/>
  <c r="A745" i="66"/>
  <c r="A746" i="66"/>
  <c r="A747" i="66"/>
  <c r="A748" i="66"/>
  <c r="A749" i="66"/>
  <c r="A750" i="66"/>
  <c r="A751" i="66"/>
  <c r="A752" i="66"/>
  <c r="A753" i="66"/>
  <c r="A754" i="66"/>
  <c r="A755" i="66"/>
  <c r="A756" i="66"/>
  <c r="A757" i="66"/>
  <c r="A758" i="66"/>
  <c r="A759" i="66"/>
  <c r="A760" i="66"/>
  <c r="A761" i="66"/>
  <c r="A762" i="66"/>
  <c r="A763" i="66"/>
  <c r="A764" i="66"/>
  <c r="A765" i="66"/>
  <c r="A766" i="66"/>
  <c r="A767" i="66"/>
  <c r="A768" i="66"/>
  <c r="A769" i="66"/>
  <c r="A770" i="66"/>
  <c r="A771" i="66"/>
  <c r="A772" i="66"/>
  <c r="A773" i="66"/>
  <c r="A774" i="66"/>
  <c r="A775" i="66"/>
  <c r="A776" i="66"/>
  <c r="A777" i="66"/>
  <c r="A778" i="66"/>
  <c r="A779" i="66"/>
  <c r="A780" i="66"/>
  <c r="A781" i="66"/>
  <c r="A782" i="66"/>
  <c r="A783" i="66"/>
  <c r="A784" i="66"/>
  <c r="A785" i="66"/>
  <c r="A786" i="66"/>
  <c r="A787" i="66"/>
  <c r="A788" i="66"/>
  <c r="A789" i="66"/>
  <c r="A790" i="66"/>
  <c r="A791" i="66"/>
  <c r="A792" i="66"/>
  <c r="A793" i="66"/>
  <c r="A794" i="66"/>
  <c r="A795" i="66"/>
  <c r="A796" i="66"/>
  <c r="A797" i="66"/>
  <c r="A798" i="66"/>
  <c r="A799" i="66"/>
  <c r="A800" i="66"/>
  <c r="A801" i="66"/>
  <c r="A802" i="66"/>
  <c r="A803" i="66"/>
  <c r="A804" i="66"/>
  <c r="A805" i="66"/>
  <c r="A806" i="66"/>
  <c r="A807" i="66"/>
  <c r="A808" i="66"/>
  <c r="A809" i="66"/>
  <c r="A810" i="66"/>
  <c r="A811" i="66"/>
  <c r="A812" i="66"/>
  <c r="A813" i="66"/>
  <c r="A814" i="66"/>
  <c r="A815" i="66"/>
  <c r="A816" i="66"/>
  <c r="A817" i="66"/>
  <c r="A818" i="66"/>
  <c r="A819" i="66"/>
  <c r="A820" i="66"/>
  <c r="A821" i="66"/>
  <c r="A822" i="66"/>
  <c r="A823" i="66"/>
  <c r="A824" i="66"/>
  <c r="A825" i="66"/>
  <c r="A826" i="66"/>
  <c r="A827" i="66"/>
  <c r="A828" i="66"/>
  <c r="A829" i="66"/>
  <c r="A830" i="66"/>
  <c r="A831" i="66"/>
  <c r="A832" i="66"/>
  <c r="A833" i="66"/>
  <c r="A834" i="66"/>
  <c r="A835" i="66"/>
  <c r="A836" i="66"/>
  <c r="A837" i="66"/>
  <c r="A838" i="66"/>
  <c r="A839" i="66"/>
  <c r="A840" i="66"/>
  <c r="A841" i="66"/>
  <c r="A842" i="66"/>
  <c r="A843" i="66"/>
  <c r="A844" i="66"/>
  <c r="A845" i="66"/>
  <c r="A846" i="66"/>
  <c r="A847" i="66"/>
  <c r="A848" i="66"/>
  <c r="A849" i="66"/>
  <c r="A850" i="66"/>
  <c r="A851" i="66"/>
  <c r="A852" i="66"/>
  <c r="A853" i="66"/>
  <c r="A854" i="66"/>
  <c r="A855" i="66"/>
  <c r="A856" i="66"/>
  <c r="A857" i="66"/>
  <c r="A858" i="66"/>
  <c r="A859" i="66"/>
  <c r="A860" i="66"/>
  <c r="A861" i="66"/>
  <c r="A862" i="66"/>
  <c r="A863" i="66"/>
  <c r="A864" i="66"/>
  <c r="A865" i="66"/>
  <c r="A866" i="66"/>
  <c r="A867" i="66"/>
  <c r="A868" i="66"/>
  <c r="A869" i="66"/>
  <c r="A870" i="66"/>
  <c r="A871" i="66"/>
  <c r="A872" i="66"/>
  <c r="A873" i="66"/>
  <c r="A874" i="66"/>
  <c r="A875" i="66"/>
  <c r="A876" i="66"/>
  <c r="A877" i="66"/>
  <c r="A878" i="66"/>
  <c r="A879" i="66"/>
  <c r="A880" i="66"/>
  <c r="A881" i="66"/>
  <c r="A882" i="66"/>
  <c r="A883" i="66"/>
  <c r="A884" i="66"/>
  <c r="A885" i="66"/>
  <c r="A886" i="66"/>
  <c r="A887" i="66"/>
  <c r="A888" i="66"/>
  <c r="A889" i="66"/>
  <c r="A890" i="66"/>
  <c r="A891" i="66"/>
  <c r="A892" i="66"/>
  <c r="A893" i="66"/>
  <c r="A894" i="66"/>
  <c r="A895" i="66"/>
  <c r="A896" i="66"/>
  <c r="A897" i="66"/>
  <c r="A898" i="66"/>
  <c r="A899" i="66"/>
  <c r="A900" i="66"/>
  <c r="A901" i="66"/>
  <c r="A902" i="66"/>
  <c r="A903" i="66"/>
  <c r="A904" i="66"/>
  <c r="A905" i="66"/>
  <c r="A906" i="66"/>
  <c r="A907" i="66"/>
  <c r="A908" i="66"/>
  <c r="A909" i="66"/>
  <c r="A910" i="66"/>
  <c r="A911" i="66"/>
  <c r="A912" i="66"/>
  <c r="A913" i="66"/>
  <c r="A914" i="66"/>
  <c r="A915" i="66"/>
  <c r="A916" i="66"/>
  <c r="A917" i="66"/>
  <c r="A918" i="66"/>
  <c r="A919" i="66"/>
  <c r="A920" i="66"/>
  <c r="A921" i="66"/>
  <c r="A922" i="66"/>
  <c r="A923" i="66"/>
  <c r="A924" i="66"/>
  <c r="A925" i="66"/>
  <c r="A926" i="66"/>
  <c r="A927" i="66"/>
  <c r="A928" i="66"/>
  <c r="A929" i="66"/>
  <c r="A930" i="66"/>
  <c r="A931" i="66"/>
  <c r="A932" i="66"/>
  <c r="A933" i="66"/>
  <c r="A934" i="66"/>
  <c r="A935" i="66"/>
  <c r="A936" i="66"/>
  <c r="A937" i="66"/>
  <c r="A938" i="66"/>
  <c r="A939" i="66"/>
  <c r="A940" i="66"/>
  <c r="A941" i="66"/>
  <c r="A942" i="66"/>
  <c r="A943" i="66"/>
  <c r="A944" i="66"/>
  <c r="A945" i="66"/>
  <c r="A946" i="66"/>
  <c r="A947" i="66"/>
  <c r="A948" i="66"/>
  <c r="A949" i="66"/>
  <c r="A950" i="66"/>
  <c r="A951" i="66"/>
  <c r="A952" i="66"/>
  <c r="A953" i="66"/>
  <c r="A954" i="66"/>
  <c r="A955" i="66"/>
  <c r="A956" i="66"/>
  <c r="A957" i="66"/>
  <c r="A958" i="66"/>
  <c r="A959" i="66"/>
  <c r="A960" i="66"/>
  <c r="A961" i="66"/>
  <c r="A962" i="66"/>
  <c r="A963" i="66"/>
  <c r="A964" i="66"/>
  <c r="A965" i="66"/>
  <c r="A966" i="66"/>
  <c r="A967" i="66"/>
  <c r="A968" i="66"/>
  <c r="A969" i="66"/>
  <c r="A970" i="66"/>
  <c r="A971" i="66"/>
  <c r="A972" i="66"/>
  <c r="A973" i="66"/>
  <c r="A974" i="66"/>
  <c r="A975" i="66"/>
  <c r="A976" i="66"/>
  <c r="A977" i="66"/>
  <c r="A978" i="66"/>
  <c r="A979" i="66"/>
  <c r="A980" i="66"/>
  <c r="A981" i="66"/>
  <c r="A982" i="66"/>
  <c r="A983" i="66"/>
  <c r="A984" i="66"/>
  <c r="A985" i="66"/>
  <c r="A986" i="66"/>
  <c r="A987" i="66"/>
  <c r="A988" i="66"/>
  <c r="A989" i="66"/>
  <c r="A990" i="66"/>
  <c r="A991" i="66"/>
  <c r="A992" i="66"/>
  <c r="A993" i="66"/>
  <c r="A994" i="66"/>
  <c r="A995" i="66"/>
  <c r="A996" i="66"/>
  <c r="A997" i="66"/>
  <c r="A998" i="66"/>
  <c r="A999" i="66"/>
  <c r="A1000" i="66"/>
  <c r="A1001" i="66"/>
  <c r="A1002" i="66"/>
  <c r="A1003" i="66"/>
  <c r="A1004" i="66"/>
  <c r="A1005" i="66"/>
  <c r="A1006" i="66"/>
  <c r="A1007" i="66"/>
  <c r="A1008" i="66"/>
  <c r="A1009" i="66"/>
  <c r="A1010" i="66"/>
  <c r="A1011" i="66"/>
  <c r="A1012" i="66"/>
  <c r="A1013" i="66"/>
  <c r="A1014" i="66"/>
  <c r="A1015" i="66"/>
  <c r="A1016" i="66"/>
  <c r="A1017" i="66"/>
  <c r="A1018" i="66"/>
  <c r="A1019" i="66"/>
  <c r="A1020" i="66"/>
  <c r="A1021" i="66"/>
  <c r="A1022" i="66"/>
  <c r="A1023" i="66"/>
  <c r="A1024" i="66"/>
  <c r="A1025" i="66"/>
  <c r="A1026" i="66"/>
  <c r="A1027" i="66"/>
  <c r="A1028" i="66"/>
  <c r="A1029" i="66"/>
  <c r="A1030" i="66"/>
  <c r="A1031" i="66"/>
  <c r="A1032" i="66"/>
  <c r="A1033" i="66"/>
  <c r="A1034" i="66"/>
  <c r="A1035" i="66"/>
  <c r="A1036" i="66"/>
  <c r="A1037" i="66"/>
  <c r="A1038" i="66"/>
  <c r="A1039" i="66"/>
  <c r="A1040" i="66"/>
  <c r="A1041" i="66"/>
  <c r="A1042" i="66"/>
  <c r="A1043" i="66"/>
  <c r="A1044" i="66"/>
  <c r="A1045" i="66"/>
  <c r="A1046" i="66"/>
  <c r="A1047" i="66"/>
  <c r="A1048" i="66"/>
  <c r="A1049" i="66"/>
  <c r="A1050" i="66"/>
  <c r="A1051" i="66"/>
  <c r="A1052" i="66"/>
  <c r="A1053" i="66"/>
  <c r="A1054" i="66"/>
  <c r="A1055" i="66"/>
  <c r="A1056" i="66"/>
  <c r="A1057" i="66"/>
  <c r="A1058" i="66"/>
  <c r="A1059" i="66"/>
  <c r="A1060" i="66"/>
  <c r="A1061" i="66"/>
  <c r="A1062" i="66"/>
  <c r="A1063" i="66"/>
  <c r="A1064" i="66"/>
  <c r="A1065" i="66"/>
  <c r="A1066" i="66"/>
  <c r="A1067" i="66"/>
  <c r="A1068" i="66"/>
  <c r="A1069" i="66"/>
  <c r="A1070" i="66"/>
  <c r="A1071" i="66"/>
  <c r="A1072" i="66"/>
  <c r="A1073" i="66"/>
  <c r="A1074" i="66"/>
  <c r="A1075" i="66"/>
  <c r="A1076" i="66"/>
  <c r="A1077" i="66"/>
  <c r="A1078" i="66"/>
  <c r="A1079" i="66"/>
  <c r="A1080" i="66"/>
  <c r="A1081" i="66"/>
  <c r="A1082" i="66"/>
  <c r="A1083" i="66"/>
  <c r="A1084" i="66"/>
  <c r="A1085" i="66"/>
  <c r="A1086" i="66"/>
  <c r="A1087" i="66"/>
  <c r="A1088" i="66"/>
  <c r="A1089" i="66"/>
  <c r="A1090" i="66"/>
  <c r="A1091" i="66"/>
  <c r="A1092" i="66"/>
  <c r="A1093" i="66"/>
  <c r="A1094" i="66"/>
  <c r="A1095" i="66"/>
  <c r="A1096" i="66"/>
  <c r="A1097" i="66"/>
  <c r="A1098" i="66"/>
  <c r="A1099" i="66"/>
  <c r="A1100" i="66"/>
  <c r="A1101" i="66"/>
  <c r="A1102" i="66"/>
  <c r="A1103" i="66"/>
  <c r="A1104" i="66"/>
  <c r="A1105" i="66"/>
  <c r="A1106" i="66"/>
  <c r="A1107" i="66"/>
  <c r="A1108" i="66"/>
  <c r="A1109" i="66"/>
  <c r="A1110" i="66"/>
  <c r="A1111" i="66"/>
  <c r="A1112" i="66"/>
  <c r="A1113" i="66"/>
  <c r="A1114" i="66"/>
  <c r="A1115" i="66"/>
  <c r="A1116" i="66"/>
  <c r="A1117" i="66"/>
  <c r="A1118" i="66"/>
  <c r="A1119" i="66"/>
  <c r="A1120" i="66"/>
  <c r="A1121" i="66"/>
  <c r="A1122" i="66"/>
  <c r="A1123" i="66"/>
  <c r="A1124" i="66"/>
  <c r="A1125" i="66"/>
  <c r="A1126" i="66"/>
  <c r="A1127" i="66"/>
  <c r="A1128" i="66"/>
  <c r="A1129" i="66"/>
  <c r="A1130" i="66"/>
  <c r="A1131" i="66"/>
  <c r="A1132" i="66"/>
  <c r="A1133" i="66"/>
  <c r="A1134" i="66"/>
  <c r="A1135" i="66"/>
  <c r="A1136" i="66"/>
  <c r="A1137" i="66"/>
  <c r="A1138" i="66"/>
  <c r="A1139" i="66"/>
  <c r="A1140" i="66"/>
  <c r="A1141" i="66"/>
  <c r="A1142" i="66"/>
  <c r="A1143" i="66"/>
  <c r="A1144" i="66"/>
  <c r="A1145" i="66"/>
  <c r="A1146" i="66"/>
  <c r="A1147" i="66"/>
  <c r="A1148" i="66"/>
  <c r="A1149" i="66"/>
  <c r="A1150" i="66"/>
  <c r="A1151" i="66"/>
  <c r="A1152" i="66"/>
  <c r="A1153" i="66"/>
  <c r="A1154" i="66"/>
  <c r="A1155" i="66"/>
  <c r="A1156" i="66"/>
  <c r="A1157" i="66"/>
  <c r="A1158" i="66"/>
  <c r="A1159" i="66"/>
  <c r="A1160" i="66"/>
  <c r="A1161" i="66"/>
  <c r="A1162" i="66"/>
  <c r="A1163" i="66"/>
  <c r="A1164" i="66"/>
  <c r="A1165" i="66"/>
  <c r="A1166" i="66"/>
  <c r="A1167" i="66"/>
  <c r="A1168" i="66"/>
  <c r="A1169" i="66"/>
  <c r="A1170" i="66"/>
  <c r="A1171" i="66"/>
  <c r="A1172" i="66"/>
  <c r="A1173" i="66"/>
  <c r="A1174" i="66"/>
  <c r="A1175" i="66"/>
  <c r="A1176" i="66"/>
  <c r="A1177" i="66"/>
  <c r="A1178" i="66"/>
  <c r="A1179" i="66"/>
  <c r="A1180" i="66"/>
  <c r="A1181" i="66"/>
  <c r="A1182" i="66"/>
  <c r="A1183" i="66"/>
  <c r="A1184" i="66"/>
  <c r="A1185" i="66"/>
  <c r="A1186" i="66"/>
  <c r="A1187" i="66"/>
  <c r="A1188" i="66"/>
  <c r="A1189" i="66"/>
  <c r="A1190" i="66"/>
  <c r="A1191" i="66"/>
  <c r="A1192" i="66"/>
  <c r="A1193" i="66"/>
  <c r="A1194" i="66"/>
  <c r="A1195" i="66"/>
  <c r="A1196" i="66"/>
  <c r="A1197" i="66"/>
  <c r="A1198" i="66"/>
  <c r="A1199" i="66"/>
  <c r="A1200" i="66"/>
  <c r="A1201" i="66"/>
  <c r="A1202" i="66"/>
  <c r="A1203" i="66"/>
  <c r="A1204" i="66"/>
  <c r="A1205" i="66"/>
  <c r="A1206" i="66"/>
  <c r="A1207" i="66"/>
  <c r="A1208" i="66"/>
  <c r="A1209" i="66"/>
  <c r="A1210" i="66"/>
  <c r="A1211" i="66"/>
  <c r="A1212" i="66"/>
  <c r="A1213" i="66"/>
  <c r="A1214" i="66"/>
  <c r="A1215" i="66"/>
  <c r="A1216" i="66"/>
  <c r="A1217" i="66"/>
  <c r="A1218" i="66"/>
  <c r="A1219" i="66"/>
  <c r="A1220" i="66"/>
  <c r="A1221" i="66"/>
  <c r="A1222" i="66"/>
  <c r="A1223" i="66"/>
  <c r="A1224" i="66"/>
  <c r="A1225" i="66"/>
  <c r="A1226" i="66"/>
  <c r="A1227" i="66"/>
  <c r="A1228" i="66"/>
  <c r="A1229" i="66"/>
  <c r="A1230" i="66"/>
  <c r="A1231" i="66"/>
  <c r="A1232" i="66"/>
  <c r="A1233" i="66"/>
  <c r="A1234" i="66"/>
  <c r="A1235" i="66"/>
  <c r="A1236" i="66"/>
  <c r="A1237" i="66"/>
  <c r="A1238" i="66"/>
  <c r="A1239" i="66"/>
  <c r="A1240" i="66"/>
  <c r="A1241" i="66"/>
  <c r="A1242" i="66"/>
  <c r="A1243" i="66"/>
  <c r="A1244" i="66"/>
  <c r="A1245" i="66"/>
  <c r="A1246" i="66"/>
  <c r="A1247" i="66"/>
  <c r="A1248" i="66"/>
  <c r="A1249" i="66"/>
  <c r="A1250" i="66"/>
  <c r="A1251" i="66"/>
  <c r="A1252" i="66"/>
  <c r="A1253" i="66"/>
  <c r="A1254" i="66"/>
  <c r="A1255" i="66"/>
  <c r="A1256" i="66"/>
  <c r="A1257" i="66"/>
  <c r="A1258" i="66"/>
  <c r="A1259" i="66"/>
  <c r="A1260" i="66"/>
  <c r="A1261" i="66"/>
  <c r="A1262" i="66"/>
  <c r="A1263" i="66"/>
  <c r="A1264" i="66"/>
  <c r="A1265" i="66"/>
  <c r="A1266" i="66"/>
  <c r="A1267" i="66"/>
  <c r="A1268" i="66"/>
  <c r="A1269" i="66"/>
  <c r="A1270" i="66"/>
  <c r="A1271" i="66"/>
  <c r="A1272" i="66"/>
  <c r="A1273" i="66"/>
  <c r="A1274" i="66"/>
  <c r="A1275" i="66"/>
  <c r="A1276" i="66"/>
  <c r="A1277" i="66"/>
  <c r="A1278" i="66"/>
  <c r="A1279" i="66"/>
  <c r="A1280" i="66"/>
  <c r="A1281" i="66"/>
  <c r="A1282" i="66"/>
  <c r="A1283" i="66"/>
  <c r="A1284" i="66"/>
  <c r="A1285" i="66"/>
  <c r="A1286" i="66"/>
  <c r="A1287" i="66"/>
  <c r="A1288" i="66"/>
  <c r="A1289" i="66"/>
  <c r="A1290" i="66"/>
  <c r="A1291" i="66"/>
  <c r="A1292" i="66"/>
  <c r="A1293" i="66"/>
  <c r="A1294" i="66"/>
  <c r="A1295" i="66"/>
  <c r="A1296" i="66"/>
  <c r="A1297" i="66"/>
  <c r="A1298" i="66"/>
  <c r="A1299" i="66"/>
  <c r="A1300" i="66"/>
  <c r="A1301" i="66"/>
  <c r="A1302" i="66"/>
  <c r="A1303" i="66"/>
  <c r="A1304" i="66"/>
  <c r="A1305" i="66"/>
  <c r="A1306" i="66"/>
  <c r="A1307" i="66"/>
  <c r="A1308" i="66"/>
  <c r="A1309" i="66"/>
  <c r="A1310" i="66"/>
  <c r="A1311" i="66"/>
  <c r="A1312" i="66"/>
  <c r="A1313" i="66"/>
  <c r="A1314" i="66"/>
  <c r="A1315" i="66"/>
  <c r="A1316" i="66"/>
  <c r="A1317" i="66"/>
  <c r="A1318" i="66"/>
  <c r="A1319" i="66"/>
  <c r="A1320" i="66"/>
  <c r="A1321" i="66"/>
  <c r="A1322" i="66"/>
  <c r="A1323" i="66"/>
  <c r="A1324" i="66"/>
  <c r="A1325" i="66"/>
  <c r="A1326" i="66"/>
  <c r="A1327" i="66"/>
  <c r="A1328" i="66"/>
  <c r="A1329" i="66"/>
  <c r="A1330" i="66"/>
  <c r="A1331" i="66"/>
  <c r="A1332" i="66"/>
  <c r="A1333" i="66"/>
  <c r="A1334" i="66"/>
  <c r="A1335" i="66"/>
  <c r="A1336" i="66"/>
  <c r="A1337" i="66"/>
  <c r="A1338" i="66"/>
  <c r="A1339" i="66"/>
  <c r="A1340" i="66"/>
  <c r="A1341" i="66"/>
  <c r="A1342" i="66"/>
  <c r="A1343" i="66"/>
  <c r="A1344" i="66"/>
  <c r="A1345" i="66"/>
  <c r="A1346" i="66"/>
  <c r="A1347" i="66"/>
  <c r="A1348" i="66"/>
  <c r="A1349" i="66"/>
  <c r="A1350" i="66"/>
  <c r="A1351" i="66"/>
  <c r="A1352" i="66"/>
  <c r="A1353" i="66"/>
  <c r="A1354" i="66"/>
  <c r="A1355" i="66"/>
  <c r="A1356" i="66"/>
  <c r="A1357" i="66"/>
  <c r="A1358" i="66"/>
  <c r="A1359" i="66"/>
  <c r="A1360" i="66"/>
  <c r="A1361" i="66"/>
  <c r="A1362" i="66"/>
  <c r="A1363" i="66"/>
  <c r="A1364" i="66"/>
  <c r="A1365" i="66"/>
  <c r="A1366" i="66"/>
  <c r="A1367" i="66"/>
  <c r="A1368" i="66"/>
  <c r="A1369" i="66"/>
  <c r="A1370" i="66"/>
  <c r="A1371" i="66"/>
  <c r="A1372" i="66"/>
  <c r="A1373" i="66"/>
  <c r="A1374" i="66"/>
  <c r="A1375" i="66"/>
  <c r="A1376" i="66"/>
  <c r="A1377" i="66"/>
  <c r="A1378" i="66"/>
  <c r="A1379" i="66"/>
  <c r="A1380" i="66"/>
  <c r="A1381" i="66"/>
  <c r="A1382" i="66"/>
  <c r="A1383" i="66"/>
  <c r="A1384" i="66"/>
  <c r="A1385" i="66"/>
  <c r="A1386" i="66"/>
  <c r="A1387" i="66"/>
  <c r="A1388" i="66"/>
  <c r="A1389" i="66"/>
  <c r="A1390" i="66"/>
  <c r="A1391" i="66"/>
  <c r="A1392" i="66"/>
  <c r="A1393" i="66"/>
  <c r="A1394" i="66"/>
  <c r="A1395" i="66"/>
  <c r="A1396" i="66"/>
  <c r="A1397" i="66"/>
  <c r="A1398" i="66"/>
  <c r="A1399" i="66"/>
  <c r="A1400" i="66"/>
  <c r="A1401" i="66"/>
  <c r="A1402" i="66"/>
  <c r="A1403" i="66"/>
  <c r="A1404" i="66"/>
  <c r="A1405" i="66"/>
  <c r="A1406" i="66"/>
  <c r="A1407" i="66"/>
  <c r="A1408" i="66"/>
  <c r="A1409" i="66"/>
  <c r="A1410" i="66"/>
  <c r="A1411" i="66"/>
  <c r="A1412" i="66"/>
  <c r="A1413" i="66"/>
  <c r="A1414" i="66"/>
  <c r="A1415" i="66"/>
  <c r="A1416" i="66"/>
  <c r="A1417" i="66"/>
  <c r="A1418" i="66"/>
  <c r="A1419" i="66"/>
  <c r="A1420" i="66"/>
  <c r="A1421" i="66"/>
  <c r="A1422" i="66"/>
  <c r="A1423" i="66"/>
  <c r="A1424" i="66"/>
  <c r="A1425" i="66"/>
  <c r="A1426" i="66"/>
  <c r="A1427" i="66"/>
  <c r="A1428" i="66"/>
  <c r="A1429" i="66"/>
  <c r="A1430" i="66"/>
  <c r="A1431" i="66"/>
  <c r="A1432" i="66"/>
  <c r="A1433" i="66"/>
  <c r="A1434" i="66"/>
  <c r="A1435" i="66"/>
  <c r="A1436" i="66"/>
  <c r="A1437" i="66"/>
  <c r="A1438" i="66"/>
  <c r="A1439" i="66"/>
  <c r="A1440" i="66"/>
  <c r="A1441" i="66"/>
  <c r="A1442" i="66"/>
  <c r="A1443" i="66"/>
  <c r="A1444" i="66"/>
  <c r="A1445" i="66"/>
  <c r="A1446" i="66"/>
  <c r="A1447" i="66"/>
  <c r="A1448" i="66"/>
  <c r="A1449" i="66"/>
  <c r="A1450" i="66"/>
  <c r="A1451" i="66"/>
  <c r="A1452" i="66"/>
  <c r="A1453" i="66"/>
  <c r="A1454" i="66"/>
  <c r="A1455" i="66"/>
  <c r="A1456" i="66"/>
  <c r="A1457" i="66"/>
  <c r="A1458" i="66"/>
  <c r="A1459" i="66"/>
  <c r="A1460" i="66"/>
  <c r="A1461" i="66"/>
  <c r="A1462" i="66"/>
  <c r="A1463" i="66"/>
  <c r="A1464" i="66"/>
  <c r="A1465" i="66"/>
  <c r="A1466" i="66"/>
  <c r="A1467" i="66"/>
  <c r="A1468" i="66"/>
  <c r="A1469" i="66"/>
  <c r="A1470" i="66"/>
  <c r="A1471" i="66"/>
  <c r="A1472" i="66"/>
  <c r="A1473" i="66"/>
  <c r="A1474" i="66"/>
  <c r="A1475" i="66"/>
  <c r="A1476" i="66"/>
  <c r="A1477" i="66"/>
  <c r="A1478" i="66"/>
  <c r="A1479" i="66"/>
  <c r="A1480" i="66"/>
  <c r="A1481" i="66"/>
  <c r="A1482" i="66"/>
  <c r="A1483" i="66"/>
  <c r="A1484" i="66"/>
  <c r="A1485" i="66"/>
  <c r="A1486" i="66"/>
  <c r="A1487" i="66"/>
  <c r="A1488" i="66"/>
  <c r="A1489" i="66"/>
  <c r="A1490" i="66"/>
  <c r="A1491" i="66"/>
  <c r="A1492" i="66"/>
  <c r="A1493" i="66"/>
  <c r="A1494" i="66"/>
  <c r="A1495" i="66"/>
  <c r="A1496" i="66"/>
  <c r="A1497" i="66"/>
  <c r="A1498" i="66"/>
  <c r="A1499" i="66"/>
  <c r="A1500" i="66"/>
  <c r="A1501" i="66"/>
  <c r="A1502" i="66"/>
  <c r="A1503" i="66"/>
  <c r="A1504" i="66"/>
  <c r="A1505" i="66"/>
  <c r="A1506" i="66"/>
  <c r="A1507" i="66"/>
  <c r="A1508" i="66"/>
  <c r="A1509" i="66"/>
  <c r="A1510" i="66"/>
  <c r="A1511" i="66"/>
  <c r="A1512" i="66"/>
  <c r="A1513" i="66"/>
  <c r="A1514" i="66"/>
  <c r="A1515" i="66"/>
  <c r="A1516" i="66"/>
  <c r="A1517" i="66"/>
  <c r="A1518" i="66"/>
  <c r="A1519" i="66"/>
  <c r="A1520" i="66"/>
  <c r="A1521" i="66"/>
  <c r="A1522" i="66"/>
  <c r="A1523" i="66"/>
  <c r="A1524" i="66"/>
  <c r="A1525" i="66"/>
  <c r="A1526" i="66"/>
  <c r="A1527" i="66"/>
  <c r="A1528" i="66"/>
  <c r="A1529" i="66"/>
  <c r="A1530" i="66"/>
  <c r="A1531" i="66"/>
  <c r="A1532" i="66"/>
  <c r="A1533" i="66"/>
  <c r="A1534" i="66"/>
  <c r="A1535" i="66"/>
  <c r="A1536" i="66"/>
  <c r="A1537" i="66"/>
  <c r="A1538" i="66"/>
  <c r="A1539" i="66"/>
  <c r="A1540" i="66"/>
  <c r="A1541" i="66"/>
  <c r="A2" i="66"/>
  <c r="N2" i="65"/>
  <c r="M2" i="65"/>
  <c r="K2" i="64"/>
  <c r="J2" i="64"/>
  <c r="N3" i="66"/>
  <c r="N4" i="66"/>
  <c r="N5" i="66"/>
  <c r="N6" i="66"/>
  <c r="N7" i="66"/>
  <c r="N8" i="66"/>
  <c r="N9" i="66"/>
  <c r="N10" i="66"/>
  <c r="N11" i="66"/>
  <c r="N12" i="66"/>
  <c r="N13" i="66"/>
  <c r="N14" i="66"/>
  <c r="N15" i="66"/>
  <c r="N16" i="66"/>
  <c r="N17" i="66"/>
  <c r="N18" i="66"/>
  <c r="N19" i="66"/>
  <c r="N20" i="66"/>
  <c r="N21" i="66"/>
  <c r="N22" i="66"/>
  <c r="N23" i="66"/>
  <c r="N24" i="66"/>
  <c r="N25" i="66"/>
  <c r="N26" i="66"/>
  <c r="N27" i="66"/>
  <c r="N28" i="66"/>
  <c r="N29" i="66"/>
  <c r="N30" i="66"/>
  <c r="N31" i="66"/>
  <c r="N32" i="66"/>
  <c r="N33" i="66"/>
  <c r="N34" i="66"/>
  <c r="N35" i="66"/>
  <c r="N36" i="66"/>
  <c r="N37" i="66"/>
  <c r="N38" i="66"/>
  <c r="N39" i="66"/>
  <c r="N40" i="66"/>
  <c r="N41" i="66"/>
  <c r="N42" i="66"/>
  <c r="N43" i="66"/>
  <c r="N44" i="66"/>
  <c r="N45" i="66"/>
  <c r="N46" i="66"/>
  <c r="N47" i="66"/>
  <c r="N48" i="66"/>
  <c r="N49" i="66"/>
  <c r="N50" i="66"/>
  <c r="N51" i="66"/>
  <c r="N52" i="66"/>
  <c r="N53" i="66"/>
  <c r="N54" i="66"/>
  <c r="N55" i="66"/>
  <c r="N56" i="66"/>
  <c r="N57" i="66"/>
  <c r="N58" i="66"/>
  <c r="N59" i="66"/>
  <c r="N60" i="66"/>
  <c r="N61" i="66"/>
  <c r="N62" i="66"/>
  <c r="N63" i="66"/>
  <c r="N64" i="66"/>
  <c r="N65" i="66"/>
  <c r="N66" i="66"/>
  <c r="N67" i="66"/>
  <c r="N68" i="66"/>
  <c r="N69" i="66"/>
  <c r="N70" i="66"/>
  <c r="N71" i="66"/>
  <c r="N72" i="66"/>
  <c r="N73" i="66"/>
  <c r="N74" i="66"/>
  <c r="N75" i="66"/>
  <c r="N76" i="66"/>
  <c r="N77" i="66"/>
  <c r="N78" i="66"/>
  <c r="N79" i="66"/>
  <c r="N80" i="66"/>
  <c r="N81" i="66"/>
  <c r="N82" i="66"/>
  <c r="N83" i="66"/>
  <c r="N84" i="66"/>
  <c r="N85" i="66"/>
  <c r="N86" i="66"/>
  <c r="N87" i="66"/>
  <c r="N88" i="66"/>
  <c r="N89" i="66"/>
  <c r="N90" i="66"/>
  <c r="N91" i="66"/>
  <c r="N92" i="66"/>
  <c r="N93" i="66"/>
  <c r="N94" i="66"/>
  <c r="N95" i="66"/>
  <c r="N96" i="66"/>
  <c r="N97" i="66"/>
  <c r="N98" i="66"/>
  <c r="N99" i="66"/>
  <c r="N100" i="66"/>
  <c r="N101" i="66"/>
  <c r="N102" i="66"/>
  <c r="N103" i="66"/>
  <c r="N104" i="66"/>
  <c r="N105" i="66"/>
  <c r="N106" i="66"/>
  <c r="N107" i="66"/>
  <c r="N108" i="66"/>
  <c r="N109" i="66"/>
  <c r="N110" i="66"/>
  <c r="N111" i="66"/>
  <c r="N112" i="66"/>
  <c r="N113" i="66"/>
  <c r="N114" i="66"/>
  <c r="N115" i="66"/>
  <c r="N116" i="66"/>
  <c r="N117" i="66"/>
  <c r="N118" i="66"/>
  <c r="N119" i="66"/>
  <c r="N120" i="66"/>
  <c r="N121" i="66"/>
  <c r="N122" i="66"/>
  <c r="N123" i="66"/>
  <c r="N124" i="66"/>
  <c r="N125" i="66"/>
  <c r="N126" i="66"/>
  <c r="N127" i="66"/>
  <c r="N128" i="66"/>
  <c r="N129" i="66"/>
  <c r="N130" i="66"/>
  <c r="N131" i="66"/>
  <c r="N132" i="66"/>
  <c r="N133" i="66"/>
  <c r="N134" i="66"/>
  <c r="N135" i="66"/>
  <c r="N136" i="66"/>
  <c r="N137" i="66"/>
  <c r="N138" i="66"/>
  <c r="N139" i="66"/>
  <c r="N140" i="66"/>
  <c r="N141" i="66"/>
  <c r="N142" i="66"/>
  <c r="N143" i="66"/>
  <c r="N144" i="66"/>
  <c r="N145" i="66"/>
  <c r="N146" i="66"/>
  <c r="N147" i="66"/>
  <c r="N148" i="66"/>
  <c r="N149" i="66"/>
  <c r="N150" i="66"/>
  <c r="N151" i="66"/>
  <c r="N152" i="66"/>
  <c r="N153" i="66"/>
  <c r="N154" i="66"/>
  <c r="N155" i="66"/>
  <c r="N156" i="66"/>
  <c r="N157" i="66"/>
  <c r="N158" i="66"/>
  <c r="N159" i="66"/>
  <c r="N160" i="66"/>
  <c r="N161" i="66"/>
  <c r="N162" i="66"/>
  <c r="N163" i="66"/>
  <c r="N164" i="66"/>
  <c r="N165" i="66"/>
  <c r="N166" i="66"/>
  <c r="N167" i="66"/>
  <c r="N168" i="66"/>
  <c r="N169" i="66"/>
  <c r="N170" i="66"/>
  <c r="N171" i="66"/>
  <c r="N172" i="66"/>
  <c r="N173" i="66"/>
  <c r="N174" i="66"/>
  <c r="N175" i="66"/>
  <c r="N176" i="66"/>
  <c r="N177" i="66"/>
  <c r="N178" i="66"/>
  <c r="N179" i="66"/>
  <c r="N180" i="66"/>
  <c r="N181" i="66"/>
  <c r="N182" i="66"/>
  <c r="N183" i="66"/>
  <c r="N184" i="66"/>
  <c r="N185" i="66"/>
  <c r="N186" i="66"/>
  <c r="N187" i="66"/>
  <c r="N188" i="66"/>
  <c r="N189" i="66"/>
  <c r="N190" i="66"/>
  <c r="N191" i="66"/>
  <c r="N192" i="66"/>
  <c r="N193" i="66"/>
  <c r="N194" i="66"/>
  <c r="N195" i="66"/>
  <c r="N196" i="66"/>
  <c r="N197" i="66"/>
  <c r="N198" i="66"/>
  <c r="N199" i="66"/>
  <c r="N200" i="66"/>
  <c r="N201" i="66"/>
  <c r="N202" i="66"/>
  <c r="N203" i="66"/>
  <c r="N204" i="66"/>
  <c r="N205" i="66"/>
  <c r="N206" i="66"/>
  <c r="N207" i="66"/>
  <c r="N208" i="66"/>
  <c r="N209" i="66"/>
  <c r="N210" i="66"/>
  <c r="N211" i="66"/>
  <c r="N212" i="66"/>
  <c r="N213" i="66"/>
  <c r="N214" i="66"/>
  <c r="N215" i="66"/>
  <c r="N216" i="66"/>
  <c r="N217" i="66"/>
  <c r="N218" i="66"/>
  <c r="N219" i="66"/>
  <c r="N220" i="66"/>
  <c r="N221" i="66"/>
  <c r="N222" i="66"/>
  <c r="N223" i="66"/>
  <c r="N224" i="66"/>
  <c r="N225" i="66"/>
  <c r="N226" i="66"/>
  <c r="N227" i="66"/>
  <c r="N228" i="66"/>
  <c r="N229" i="66"/>
  <c r="N230" i="66"/>
  <c r="N231" i="66"/>
  <c r="N232" i="66"/>
  <c r="N233" i="66"/>
  <c r="N234" i="66"/>
  <c r="N235" i="66"/>
  <c r="N236" i="66"/>
  <c r="N237" i="66"/>
  <c r="N238" i="66"/>
  <c r="N239" i="66"/>
  <c r="N240" i="66"/>
  <c r="N241" i="66"/>
  <c r="N242" i="66"/>
  <c r="N243" i="66"/>
  <c r="N244" i="66"/>
  <c r="N245" i="66"/>
  <c r="N246" i="66"/>
  <c r="N247" i="66"/>
  <c r="N248" i="66"/>
  <c r="N249" i="66"/>
  <c r="N250" i="66"/>
  <c r="N251" i="66"/>
  <c r="N252" i="66"/>
  <c r="N253" i="66"/>
  <c r="N254" i="66"/>
  <c r="N255" i="66"/>
  <c r="N256" i="66"/>
  <c r="N257" i="66"/>
  <c r="N258" i="66"/>
  <c r="N259" i="66"/>
  <c r="N260" i="66"/>
  <c r="N261" i="66"/>
  <c r="N262" i="66"/>
  <c r="N263" i="66"/>
  <c r="N264" i="66"/>
  <c r="N265" i="66"/>
  <c r="N266" i="66"/>
  <c r="N267" i="66"/>
  <c r="N268" i="66"/>
  <c r="N269" i="66"/>
  <c r="N270" i="66"/>
  <c r="N271" i="66"/>
  <c r="N272" i="66"/>
  <c r="N273" i="66"/>
  <c r="N274" i="66"/>
  <c r="N275" i="66"/>
  <c r="N276" i="66"/>
  <c r="N277" i="66"/>
  <c r="N278" i="66"/>
  <c r="N279" i="66"/>
  <c r="N280" i="66"/>
  <c r="N281" i="66"/>
  <c r="N282" i="66"/>
  <c r="N283" i="66"/>
  <c r="N284" i="66"/>
  <c r="N285" i="66"/>
  <c r="N286" i="66"/>
  <c r="N287" i="66"/>
  <c r="N288" i="66"/>
  <c r="N289" i="66"/>
  <c r="N290" i="66"/>
  <c r="N291" i="66"/>
  <c r="N292" i="66"/>
  <c r="N293" i="66"/>
  <c r="N294" i="66"/>
  <c r="N295" i="66"/>
  <c r="N296" i="66"/>
  <c r="N297" i="66"/>
  <c r="N298" i="66"/>
  <c r="N299" i="66"/>
  <c r="N300" i="66"/>
  <c r="N301" i="66"/>
  <c r="N302" i="66"/>
  <c r="N303" i="66"/>
  <c r="N304" i="66"/>
  <c r="N305" i="66"/>
  <c r="N306" i="66"/>
  <c r="N307" i="66"/>
  <c r="N308" i="66"/>
  <c r="N309" i="66"/>
  <c r="N310" i="66"/>
  <c r="N311" i="66"/>
  <c r="N312" i="66"/>
  <c r="N313" i="66"/>
  <c r="N314" i="66"/>
  <c r="N315" i="66"/>
  <c r="N316" i="66"/>
  <c r="N317" i="66"/>
  <c r="N318" i="66"/>
  <c r="N319" i="66"/>
  <c r="N320" i="66"/>
  <c r="N321" i="66"/>
  <c r="N322" i="66"/>
  <c r="N323" i="66"/>
  <c r="N324" i="66"/>
  <c r="N325" i="66"/>
  <c r="N326" i="66"/>
  <c r="N327" i="66"/>
  <c r="N328" i="66"/>
  <c r="N329" i="66"/>
  <c r="N330" i="66"/>
  <c r="N331" i="66"/>
  <c r="N332" i="66"/>
  <c r="N333" i="66"/>
  <c r="N334" i="66"/>
  <c r="N335" i="66"/>
  <c r="N336" i="66"/>
  <c r="N337" i="66"/>
  <c r="N338" i="66"/>
  <c r="N339" i="66"/>
  <c r="N340" i="66"/>
  <c r="N341" i="66"/>
  <c r="N342" i="66"/>
  <c r="N343" i="66"/>
  <c r="N344" i="66"/>
  <c r="N345" i="66"/>
  <c r="N346" i="66"/>
  <c r="N347" i="66"/>
  <c r="N348" i="66"/>
  <c r="N349" i="66"/>
  <c r="N350" i="66"/>
  <c r="N351" i="66"/>
  <c r="N352" i="66"/>
  <c r="N353" i="66"/>
  <c r="N354" i="66"/>
  <c r="N355" i="66"/>
  <c r="N356" i="66"/>
  <c r="N357" i="66"/>
  <c r="N358" i="66"/>
  <c r="N359" i="66"/>
  <c r="N360" i="66"/>
  <c r="N361" i="66"/>
  <c r="N362" i="66"/>
  <c r="N363" i="66"/>
  <c r="N364" i="66"/>
  <c r="N365" i="66"/>
  <c r="N366" i="66"/>
  <c r="N367" i="66"/>
  <c r="N368" i="66"/>
  <c r="N369" i="66"/>
  <c r="N370" i="66"/>
  <c r="N371" i="66"/>
  <c r="N372" i="66"/>
  <c r="N373" i="66"/>
  <c r="N374" i="66"/>
  <c r="N375" i="66"/>
  <c r="N376" i="66"/>
  <c r="N377" i="66"/>
  <c r="N378" i="66"/>
  <c r="N379" i="66"/>
  <c r="N380" i="66"/>
  <c r="N381" i="66"/>
  <c r="N382" i="66"/>
  <c r="N383" i="66"/>
  <c r="N384" i="66"/>
  <c r="N385" i="66"/>
  <c r="N386" i="66"/>
  <c r="N387" i="66"/>
  <c r="N388" i="66"/>
  <c r="N389" i="66"/>
  <c r="N390" i="66"/>
  <c r="N391" i="66"/>
  <c r="N392" i="66"/>
  <c r="N393" i="66"/>
  <c r="N394" i="66"/>
  <c r="N395" i="66"/>
  <c r="N396" i="66"/>
  <c r="N397" i="66"/>
  <c r="N398" i="66"/>
  <c r="N399" i="66"/>
  <c r="N400" i="66"/>
  <c r="N401" i="66"/>
  <c r="N402" i="66"/>
  <c r="N403" i="66"/>
  <c r="N404" i="66"/>
  <c r="N405" i="66"/>
  <c r="N406" i="66"/>
  <c r="N407" i="66"/>
  <c r="N408" i="66"/>
  <c r="N409" i="66"/>
  <c r="N410" i="66"/>
  <c r="N411" i="66"/>
  <c r="N412" i="66"/>
  <c r="N413" i="66"/>
  <c r="N414" i="66"/>
  <c r="N415" i="66"/>
  <c r="N416" i="66"/>
  <c r="N417" i="66"/>
  <c r="N418" i="66"/>
  <c r="N419" i="66"/>
  <c r="N420" i="66"/>
  <c r="N421" i="66"/>
  <c r="N422" i="66"/>
  <c r="N423" i="66"/>
  <c r="N424" i="66"/>
  <c r="N425" i="66"/>
  <c r="N426" i="66"/>
  <c r="N427" i="66"/>
  <c r="N428" i="66"/>
  <c r="N429" i="66"/>
  <c r="N430" i="66"/>
  <c r="N431" i="66"/>
  <c r="N432" i="66"/>
  <c r="N433" i="66"/>
  <c r="N434" i="66"/>
  <c r="N435" i="66"/>
  <c r="N436" i="66"/>
  <c r="N437" i="66"/>
  <c r="N438" i="66"/>
  <c r="N439" i="66"/>
  <c r="N440" i="66"/>
  <c r="N441" i="66"/>
  <c r="N442" i="66"/>
  <c r="N443" i="66"/>
  <c r="N444" i="66"/>
  <c r="N445" i="66"/>
  <c r="N446" i="66"/>
  <c r="N447" i="66"/>
  <c r="N448" i="66"/>
  <c r="N449" i="66"/>
  <c r="N450" i="66"/>
  <c r="N451" i="66"/>
  <c r="N452" i="66"/>
  <c r="N453" i="66"/>
  <c r="N454" i="66"/>
  <c r="N455" i="66"/>
  <c r="N456" i="66"/>
  <c r="N457" i="66"/>
  <c r="N458" i="66"/>
  <c r="N459" i="66"/>
  <c r="N460" i="66"/>
  <c r="N461" i="66"/>
  <c r="N462" i="66"/>
  <c r="N463" i="66"/>
  <c r="N464" i="66"/>
  <c r="N465" i="66"/>
  <c r="N466" i="66"/>
  <c r="N467" i="66"/>
  <c r="N468" i="66"/>
  <c r="N469" i="66"/>
  <c r="N470" i="66"/>
  <c r="N471" i="66"/>
  <c r="N472" i="66"/>
  <c r="N473" i="66"/>
  <c r="N474" i="66"/>
  <c r="N475" i="66"/>
  <c r="N476" i="66"/>
  <c r="N477" i="66"/>
  <c r="N478" i="66"/>
  <c r="N479" i="66"/>
  <c r="N480" i="66"/>
  <c r="N481" i="66"/>
  <c r="N482" i="66"/>
  <c r="N483" i="66"/>
  <c r="N484" i="66"/>
  <c r="N485" i="66"/>
  <c r="N486" i="66"/>
  <c r="N487" i="66"/>
  <c r="N488" i="66"/>
  <c r="N489" i="66"/>
  <c r="N490" i="66"/>
  <c r="N491" i="66"/>
  <c r="N492" i="66"/>
  <c r="N493" i="66"/>
  <c r="N494" i="66"/>
  <c r="N495" i="66"/>
  <c r="N496" i="66"/>
  <c r="N497" i="66"/>
  <c r="N498" i="66"/>
  <c r="N499" i="66"/>
  <c r="N500" i="66"/>
  <c r="N501" i="66"/>
  <c r="N502" i="66"/>
  <c r="N503" i="66"/>
  <c r="N504" i="66"/>
  <c r="N505" i="66"/>
  <c r="N506" i="66"/>
  <c r="N507" i="66"/>
  <c r="N508" i="66"/>
  <c r="N509" i="66"/>
  <c r="N510" i="66"/>
  <c r="N511" i="66"/>
  <c r="N512" i="66"/>
  <c r="N513" i="66"/>
  <c r="N514" i="66"/>
  <c r="N515" i="66"/>
  <c r="N516" i="66"/>
  <c r="N517" i="66"/>
  <c r="N518" i="66"/>
  <c r="N519" i="66"/>
  <c r="N520" i="66"/>
  <c r="N521" i="66"/>
  <c r="N522" i="66"/>
  <c r="N523" i="66"/>
  <c r="N524" i="66"/>
  <c r="N525" i="66"/>
  <c r="N526" i="66"/>
  <c r="N527" i="66"/>
  <c r="N528" i="66"/>
  <c r="N529" i="66"/>
  <c r="N530" i="66"/>
  <c r="N531" i="66"/>
  <c r="N532" i="66"/>
  <c r="N533" i="66"/>
  <c r="N534" i="66"/>
  <c r="N535" i="66"/>
  <c r="N536" i="66"/>
  <c r="N537" i="66"/>
  <c r="N538" i="66"/>
  <c r="N539" i="66"/>
  <c r="N540" i="66"/>
  <c r="N541" i="66"/>
  <c r="N542" i="66"/>
  <c r="N543" i="66"/>
  <c r="N544" i="66"/>
  <c r="N545" i="66"/>
  <c r="N546" i="66"/>
  <c r="N547" i="66"/>
  <c r="N548" i="66"/>
  <c r="N549" i="66"/>
  <c r="N550" i="66"/>
  <c r="N551" i="66"/>
  <c r="N552" i="66"/>
  <c r="N553" i="66"/>
  <c r="N554" i="66"/>
  <c r="N555" i="66"/>
  <c r="N556" i="66"/>
  <c r="N557" i="66"/>
  <c r="N558" i="66"/>
  <c r="N559" i="66"/>
  <c r="N560" i="66"/>
  <c r="N561" i="66"/>
  <c r="N562" i="66"/>
  <c r="N563" i="66"/>
  <c r="N564" i="66"/>
  <c r="N565" i="66"/>
  <c r="N566" i="66"/>
  <c r="N567" i="66"/>
  <c r="N568" i="66"/>
  <c r="N569" i="66"/>
  <c r="N570" i="66"/>
  <c r="N571" i="66"/>
  <c r="N572" i="66"/>
  <c r="N573" i="66"/>
  <c r="N574" i="66"/>
  <c r="N575" i="66"/>
  <c r="N576" i="66"/>
  <c r="N577" i="66"/>
  <c r="N578" i="66"/>
  <c r="N579" i="66"/>
  <c r="N580" i="66"/>
  <c r="N581" i="66"/>
  <c r="N582" i="66"/>
  <c r="N583" i="66"/>
  <c r="N584" i="66"/>
  <c r="N585" i="66"/>
  <c r="N586" i="66"/>
  <c r="N587" i="66"/>
  <c r="N588" i="66"/>
  <c r="N589" i="66"/>
  <c r="N590" i="66"/>
  <c r="N591" i="66"/>
  <c r="N592" i="66"/>
  <c r="N593" i="66"/>
  <c r="N594" i="66"/>
  <c r="N595" i="66"/>
  <c r="N596" i="66"/>
  <c r="N597" i="66"/>
  <c r="N598" i="66"/>
  <c r="N599" i="66"/>
  <c r="N600" i="66"/>
  <c r="N601" i="66"/>
  <c r="N602" i="66"/>
  <c r="N603" i="66"/>
  <c r="N604" i="66"/>
  <c r="N605" i="66"/>
  <c r="N606" i="66"/>
  <c r="N607" i="66"/>
  <c r="N608" i="66"/>
  <c r="N609" i="66"/>
  <c r="N610" i="66"/>
  <c r="N611" i="66"/>
  <c r="N612" i="66"/>
  <c r="N613" i="66"/>
  <c r="N614" i="66"/>
  <c r="N615" i="66"/>
  <c r="N616" i="66"/>
  <c r="N617" i="66"/>
  <c r="N618" i="66"/>
  <c r="N619" i="66"/>
  <c r="N620" i="66"/>
  <c r="N621" i="66"/>
  <c r="N622" i="66"/>
  <c r="N623" i="66"/>
  <c r="N624" i="66"/>
  <c r="N625" i="66"/>
  <c r="N626" i="66"/>
  <c r="N627" i="66"/>
  <c r="N628" i="66"/>
  <c r="N629" i="66"/>
  <c r="N630" i="66"/>
  <c r="N631" i="66"/>
  <c r="N632" i="66"/>
  <c r="N633" i="66"/>
  <c r="N634" i="66"/>
  <c r="N635" i="66"/>
  <c r="N636" i="66"/>
  <c r="N637" i="66"/>
  <c r="N638" i="66"/>
  <c r="N639" i="66"/>
  <c r="N640" i="66"/>
  <c r="N641" i="66"/>
  <c r="N642" i="66"/>
  <c r="N643" i="66"/>
  <c r="N644" i="66"/>
  <c r="N645" i="66"/>
  <c r="N646" i="66"/>
  <c r="N647" i="66"/>
  <c r="N648" i="66"/>
  <c r="N649" i="66"/>
  <c r="N650" i="66"/>
  <c r="N651" i="66"/>
  <c r="N652" i="66"/>
  <c r="N653" i="66"/>
  <c r="N654" i="66"/>
  <c r="N655" i="66"/>
  <c r="N656" i="66"/>
  <c r="N657" i="66"/>
  <c r="N658" i="66"/>
  <c r="N659" i="66"/>
  <c r="N660" i="66"/>
  <c r="N661" i="66"/>
  <c r="N662" i="66"/>
  <c r="N663" i="66"/>
  <c r="N664" i="66"/>
  <c r="N665" i="66"/>
  <c r="N666" i="66"/>
  <c r="N667" i="66"/>
  <c r="N668" i="66"/>
  <c r="N669" i="66"/>
  <c r="N670" i="66"/>
  <c r="N671" i="66"/>
  <c r="N672" i="66"/>
  <c r="N673" i="66"/>
  <c r="N674" i="66"/>
  <c r="N675" i="66"/>
  <c r="N676" i="66"/>
  <c r="N677" i="66"/>
  <c r="N678" i="66"/>
  <c r="N679" i="66"/>
  <c r="N680" i="66"/>
  <c r="N681" i="66"/>
  <c r="N682" i="66"/>
  <c r="N683" i="66"/>
  <c r="N684" i="66"/>
  <c r="N685" i="66"/>
  <c r="N686" i="66"/>
  <c r="N687" i="66"/>
  <c r="N688" i="66"/>
  <c r="N689" i="66"/>
  <c r="N690" i="66"/>
  <c r="N691" i="66"/>
  <c r="N692" i="66"/>
  <c r="N693" i="66"/>
  <c r="N694" i="66"/>
  <c r="N695" i="66"/>
  <c r="N696" i="66"/>
  <c r="N697" i="66"/>
  <c r="N698" i="66"/>
  <c r="N699" i="66"/>
  <c r="N700" i="66"/>
  <c r="N701" i="66"/>
  <c r="N702" i="66"/>
  <c r="N703" i="66"/>
  <c r="N704" i="66"/>
  <c r="N705" i="66"/>
  <c r="N706" i="66"/>
  <c r="N707" i="66"/>
  <c r="N708" i="66"/>
  <c r="N709" i="66"/>
  <c r="N710" i="66"/>
  <c r="N711" i="66"/>
  <c r="N712" i="66"/>
  <c r="N713" i="66"/>
  <c r="N714" i="66"/>
  <c r="N715" i="66"/>
  <c r="N716" i="66"/>
  <c r="N717" i="66"/>
  <c r="N718" i="66"/>
  <c r="N719" i="66"/>
  <c r="N720" i="66"/>
  <c r="N721" i="66"/>
  <c r="N722" i="66"/>
  <c r="N723" i="66"/>
  <c r="N724" i="66"/>
  <c r="N725" i="66"/>
  <c r="N726" i="66"/>
  <c r="N727" i="66"/>
  <c r="N728" i="66"/>
  <c r="N729" i="66"/>
  <c r="N730" i="66"/>
  <c r="N731" i="66"/>
  <c r="N732" i="66"/>
  <c r="N733" i="66"/>
  <c r="N734" i="66"/>
  <c r="N735" i="66"/>
  <c r="N736" i="66"/>
  <c r="N737" i="66"/>
  <c r="N738" i="66"/>
  <c r="N739" i="66"/>
  <c r="N740" i="66"/>
  <c r="N741" i="66"/>
  <c r="N742" i="66"/>
  <c r="N743" i="66"/>
  <c r="N744" i="66"/>
  <c r="N745" i="66"/>
  <c r="N746" i="66"/>
  <c r="N747" i="66"/>
  <c r="N748" i="66"/>
  <c r="N749" i="66"/>
  <c r="N750" i="66"/>
  <c r="N751" i="66"/>
  <c r="N752" i="66"/>
  <c r="N753" i="66"/>
  <c r="N754" i="66"/>
  <c r="N755" i="66"/>
  <c r="N756" i="66"/>
  <c r="N757" i="66"/>
  <c r="N758" i="66"/>
  <c r="N759" i="66"/>
  <c r="N760" i="66"/>
  <c r="N761" i="66"/>
  <c r="N762" i="66"/>
  <c r="N763" i="66"/>
  <c r="N764" i="66"/>
  <c r="N765" i="66"/>
  <c r="N766" i="66"/>
  <c r="N767" i="66"/>
  <c r="N768" i="66"/>
  <c r="N769" i="66"/>
  <c r="N770" i="66"/>
  <c r="N771" i="66"/>
  <c r="N772" i="66"/>
  <c r="N773" i="66"/>
  <c r="N774" i="66"/>
  <c r="N775" i="66"/>
  <c r="N776" i="66"/>
  <c r="N777" i="66"/>
  <c r="N778" i="66"/>
  <c r="N779" i="66"/>
  <c r="N780" i="66"/>
  <c r="N781" i="66"/>
  <c r="N782" i="66"/>
  <c r="N783" i="66"/>
  <c r="N784" i="66"/>
  <c r="N785" i="66"/>
  <c r="N786" i="66"/>
  <c r="N787" i="66"/>
  <c r="N788" i="66"/>
  <c r="N789" i="66"/>
  <c r="N790" i="66"/>
  <c r="N791" i="66"/>
  <c r="N792" i="66"/>
  <c r="N793" i="66"/>
  <c r="N794" i="66"/>
  <c r="N795" i="66"/>
  <c r="N796" i="66"/>
  <c r="N797" i="66"/>
  <c r="N798" i="66"/>
  <c r="N799" i="66"/>
  <c r="N800" i="66"/>
  <c r="N801" i="66"/>
  <c r="N802" i="66"/>
  <c r="N803" i="66"/>
  <c r="N804" i="66"/>
  <c r="N805" i="66"/>
  <c r="N806" i="66"/>
  <c r="N807" i="66"/>
  <c r="N808" i="66"/>
  <c r="N809" i="66"/>
  <c r="N810" i="66"/>
  <c r="N811" i="66"/>
  <c r="N812" i="66"/>
  <c r="N813" i="66"/>
  <c r="N814" i="66"/>
  <c r="N815" i="66"/>
  <c r="N816" i="66"/>
  <c r="N817" i="66"/>
  <c r="N818" i="66"/>
  <c r="N819" i="66"/>
  <c r="N820" i="66"/>
  <c r="N821" i="66"/>
  <c r="N822" i="66"/>
  <c r="N823" i="66"/>
  <c r="N824" i="66"/>
  <c r="N825" i="66"/>
  <c r="N826" i="66"/>
  <c r="N827" i="66"/>
  <c r="N828" i="66"/>
  <c r="N829" i="66"/>
  <c r="N830" i="66"/>
  <c r="N831" i="66"/>
  <c r="N832" i="66"/>
  <c r="N833" i="66"/>
  <c r="N834" i="66"/>
  <c r="N835" i="66"/>
  <c r="N836" i="66"/>
  <c r="N837" i="66"/>
  <c r="N838" i="66"/>
  <c r="N839" i="66"/>
  <c r="N840" i="66"/>
  <c r="N841" i="66"/>
  <c r="N842" i="66"/>
  <c r="N843" i="66"/>
  <c r="N844" i="66"/>
  <c r="N845" i="66"/>
  <c r="N846" i="66"/>
  <c r="N847" i="66"/>
  <c r="N848" i="66"/>
  <c r="N849" i="66"/>
  <c r="N850" i="66"/>
  <c r="N851" i="66"/>
  <c r="N852" i="66"/>
  <c r="N853" i="66"/>
  <c r="N854" i="66"/>
  <c r="N855" i="66"/>
  <c r="N856" i="66"/>
  <c r="N857" i="66"/>
  <c r="N858" i="66"/>
  <c r="N859" i="66"/>
  <c r="N860" i="66"/>
  <c r="N861" i="66"/>
  <c r="N862" i="66"/>
  <c r="N863" i="66"/>
  <c r="N864" i="66"/>
  <c r="N865" i="66"/>
  <c r="N866" i="66"/>
  <c r="N867" i="66"/>
  <c r="N868" i="66"/>
  <c r="N869" i="66"/>
  <c r="N870" i="66"/>
  <c r="N871" i="66"/>
  <c r="N872" i="66"/>
  <c r="N873" i="66"/>
  <c r="N874" i="66"/>
  <c r="N875" i="66"/>
  <c r="N876" i="66"/>
  <c r="N877" i="66"/>
  <c r="N878" i="66"/>
  <c r="N879" i="66"/>
  <c r="N880" i="66"/>
  <c r="N881" i="66"/>
  <c r="N882" i="66"/>
  <c r="N883" i="66"/>
  <c r="N884" i="66"/>
  <c r="N885" i="66"/>
  <c r="N886" i="66"/>
  <c r="N887" i="66"/>
  <c r="N888" i="66"/>
  <c r="N889" i="66"/>
  <c r="N890" i="66"/>
  <c r="N891" i="66"/>
  <c r="N892" i="66"/>
  <c r="N893" i="66"/>
  <c r="N894" i="66"/>
  <c r="N895" i="66"/>
  <c r="N896" i="66"/>
  <c r="N897" i="66"/>
  <c r="N898" i="66"/>
  <c r="N899" i="66"/>
  <c r="N900" i="66"/>
  <c r="N901" i="66"/>
  <c r="N902" i="66"/>
  <c r="N903" i="66"/>
  <c r="N904" i="66"/>
  <c r="N905" i="66"/>
  <c r="N906" i="66"/>
  <c r="N907" i="66"/>
  <c r="N908" i="66"/>
  <c r="N909" i="66"/>
  <c r="N910" i="66"/>
  <c r="N911" i="66"/>
  <c r="N912" i="66"/>
  <c r="N913" i="66"/>
  <c r="N914" i="66"/>
  <c r="N915" i="66"/>
  <c r="N916" i="66"/>
  <c r="N917" i="66"/>
  <c r="N918" i="66"/>
  <c r="N919" i="66"/>
  <c r="N920" i="66"/>
  <c r="N921" i="66"/>
  <c r="N922" i="66"/>
  <c r="N923" i="66"/>
  <c r="N924" i="66"/>
  <c r="N925" i="66"/>
  <c r="N926" i="66"/>
  <c r="N927" i="66"/>
  <c r="N928" i="66"/>
  <c r="N929" i="66"/>
  <c r="N930" i="66"/>
  <c r="N931" i="66"/>
  <c r="N932" i="66"/>
  <c r="N933" i="66"/>
  <c r="N934" i="66"/>
  <c r="N935" i="66"/>
  <c r="N936" i="66"/>
  <c r="N937" i="66"/>
  <c r="N938" i="66"/>
  <c r="N939" i="66"/>
  <c r="N940" i="66"/>
  <c r="N941" i="66"/>
  <c r="N942" i="66"/>
  <c r="N943" i="66"/>
  <c r="N944" i="66"/>
  <c r="N945" i="66"/>
  <c r="N946" i="66"/>
  <c r="N947" i="66"/>
  <c r="N948" i="66"/>
  <c r="N949" i="66"/>
  <c r="N950" i="66"/>
  <c r="N951" i="66"/>
  <c r="N952" i="66"/>
  <c r="N953" i="66"/>
  <c r="N954" i="66"/>
  <c r="N955" i="66"/>
  <c r="N956" i="66"/>
  <c r="N957" i="66"/>
  <c r="N958" i="66"/>
  <c r="N959" i="66"/>
  <c r="N960" i="66"/>
  <c r="N961" i="66"/>
  <c r="N962" i="66"/>
  <c r="N963" i="66"/>
  <c r="N964" i="66"/>
  <c r="N965" i="66"/>
  <c r="N966" i="66"/>
  <c r="N967" i="66"/>
  <c r="N968" i="66"/>
  <c r="N969" i="66"/>
  <c r="N970" i="66"/>
  <c r="N971" i="66"/>
  <c r="N972" i="66"/>
  <c r="N973" i="66"/>
  <c r="N974" i="66"/>
  <c r="N975" i="66"/>
  <c r="N976" i="66"/>
  <c r="N977" i="66"/>
  <c r="N978" i="66"/>
  <c r="N979" i="66"/>
  <c r="N980" i="66"/>
  <c r="N981" i="66"/>
  <c r="N982" i="66"/>
  <c r="N983" i="66"/>
  <c r="N984" i="66"/>
  <c r="N985" i="66"/>
  <c r="N986" i="66"/>
  <c r="N987" i="66"/>
  <c r="N988" i="66"/>
  <c r="N989" i="66"/>
  <c r="N990" i="66"/>
  <c r="N991" i="66"/>
  <c r="N992" i="66"/>
  <c r="N993" i="66"/>
  <c r="N994" i="66"/>
  <c r="N995" i="66"/>
  <c r="N996" i="66"/>
  <c r="N997" i="66"/>
  <c r="N998" i="66"/>
  <c r="N999" i="66"/>
  <c r="N1000" i="66"/>
  <c r="N1001" i="66"/>
  <c r="N1002" i="66"/>
  <c r="N1003" i="66"/>
  <c r="N1004" i="66"/>
  <c r="N1005" i="66"/>
  <c r="N1006" i="66"/>
  <c r="N1007" i="66"/>
  <c r="N1008" i="66"/>
  <c r="N1009" i="66"/>
  <c r="N1010" i="66"/>
  <c r="N1011" i="66"/>
  <c r="N1012" i="66"/>
  <c r="N1013" i="66"/>
  <c r="N1014" i="66"/>
  <c r="N1015" i="66"/>
  <c r="N1016" i="66"/>
  <c r="N1017" i="66"/>
  <c r="N1018" i="66"/>
  <c r="N1019" i="66"/>
  <c r="N1020" i="66"/>
  <c r="N1021" i="66"/>
  <c r="N1022" i="66"/>
  <c r="N1023" i="66"/>
  <c r="N1024" i="66"/>
  <c r="N1025" i="66"/>
  <c r="N1026" i="66"/>
  <c r="N1027" i="66"/>
  <c r="N1028" i="66"/>
  <c r="N1029" i="66"/>
  <c r="N1030" i="66"/>
  <c r="N1031" i="66"/>
  <c r="N1032" i="66"/>
  <c r="N1033" i="66"/>
  <c r="N1034" i="66"/>
  <c r="N1035" i="66"/>
  <c r="N1036" i="66"/>
  <c r="N1037" i="66"/>
  <c r="N1038" i="66"/>
  <c r="N1039" i="66"/>
  <c r="N1040" i="66"/>
  <c r="N1041" i="66"/>
  <c r="N1042" i="66"/>
  <c r="N1043" i="66"/>
  <c r="N1044" i="66"/>
  <c r="N1045" i="66"/>
  <c r="N1046" i="66"/>
  <c r="N1047" i="66"/>
  <c r="N1048" i="66"/>
  <c r="N1049" i="66"/>
  <c r="N1050" i="66"/>
  <c r="N1051" i="66"/>
  <c r="N1052" i="66"/>
  <c r="N1053" i="66"/>
  <c r="N1054" i="66"/>
  <c r="N1055" i="66"/>
  <c r="N1056" i="66"/>
  <c r="N1057" i="66"/>
  <c r="N1058" i="66"/>
  <c r="N1059" i="66"/>
  <c r="N1060" i="66"/>
  <c r="N1061" i="66"/>
  <c r="N1062" i="66"/>
  <c r="N1063" i="66"/>
  <c r="N1064" i="66"/>
  <c r="N1065" i="66"/>
  <c r="N1066" i="66"/>
  <c r="N1067" i="66"/>
  <c r="N1068" i="66"/>
  <c r="N1069" i="66"/>
  <c r="N1070" i="66"/>
  <c r="N1071" i="66"/>
  <c r="N1072" i="66"/>
  <c r="N1073" i="66"/>
  <c r="N1074" i="66"/>
  <c r="N1075" i="66"/>
  <c r="N1076" i="66"/>
  <c r="N1077" i="66"/>
  <c r="N1078" i="66"/>
  <c r="N1079" i="66"/>
  <c r="N1080" i="66"/>
  <c r="N1081" i="66"/>
  <c r="N1082" i="66"/>
  <c r="N1083" i="66"/>
  <c r="N1084" i="66"/>
  <c r="N1085" i="66"/>
  <c r="N1086" i="66"/>
  <c r="N1087" i="66"/>
  <c r="N1088" i="66"/>
  <c r="N1089" i="66"/>
  <c r="N1090" i="66"/>
  <c r="N1091" i="66"/>
  <c r="N1092" i="66"/>
  <c r="N1093" i="66"/>
  <c r="N1094" i="66"/>
  <c r="N1095" i="66"/>
  <c r="N1096" i="66"/>
  <c r="N1097" i="66"/>
  <c r="N1098" i="66"/>
  <c r="N1099" i="66"/>
  <c r="N1100" i="66"/>
  <c r="N1101" i="66"/>
  <c r="N1102" i="66"/>
  <c r="N1103" i="66"/>
  <c r="N1104" i="66"/>
  <c r="N1105" i="66"/>
  <c r="N1106" i="66"/>
  <c r="N1107" i="66"/>
  <c r="N1108" i="66"/>
  <c r="N1109" i="66"/>
  <c r="N1110" i="66"/>
  <c r="N1111" i="66"/>
  <c r="N1112" i="66"/>
  <c r="N1113" i="66"/>
  <c r="N1114" i="66"/>
  <c r="N1115" i="66"/>
  <c r="N1116" i="66"/>
  <c r="N1117" i="66"/>
  <c r="N1118" i="66"/>
  <c r="N1119" i="66"/>
  <c r="N1120" i="66"/>
  <c r="N1121" i="66"/>
  <c r="N1122" i="66"/>
  <c r="N1123" i="66"/>
  <c r="N1124" i="66"/>
  <c r="N1125" i="66"/>
  <c r="N1126" i="66"/>
  <c r="N1127" i="66"/>
  <c r="N1128" i="66"/>
  <c r="N1129" i="66"/>
  <c r="N1130" i="66"/>
  <c r="N1131" i="66"/>
  <c r="N1132" i="66"/>
  <c r="N1133" i="66"/>
  <c r="N1134" i="66"/>
  <c r="N1135" i="66"/>
  <c r="N1136" i="66"/>
  <c r="N1137" i="66"/>
  <c r="N1138" i="66"/>
  <c r="N1139" i="66"/>
  <c r="N1140" i="66"/>
  <c r="N1141" i="66"/>
  <c r="N1142" i="66"/>
  <c r="N1143" i="66"/>
  <c r="N1144" i="66"/>
  <c r="N1145" i="66"/>
  <c r="N1146" i="66"/>
  <c r="N1147" i="66"/>
  <c r="N1148" i="66"/>
  <c r="N1149" i="66"/>
  <c r="N1150" i="66"/>
  <c r="N1151" i="66"/>
  <c r="N1152" i="66"/>
  <c r="N1153" i="66"/>
  <c r="N1154" i="66"/>
  <c r="N1155" i="66"/>
  <c r="N1156" i="66"/>
  <c r="N1157" i="66"/>
  <c r="N1158" i="66"/>
  <c r="N1159" i="66"/>
  <c r="N1160" i="66"/>
  <c r="N1161" i="66"/>
  <c r="N1162" i="66"/>
  <c r="N1163" i="66"/>
  <c r="N1164" i="66"/>
  <c r="N1165" i="66"/>
  <c r="N1166" i="66"/>
  <c r="N1167" i="66"/>
  <c r="N1168" i="66"/>
  <c r="N1169" i="66"/>
  <c r="N1170" i="66"/>
  <c r="N1171" i="66"/>
  <c r="N1172" i="66"/>
  <c r="N1173" i="66"/>
  <c r="N1174" i="66"/>
  <c r="N1175" i="66"/>
  <c r="N1176" i="66"/>
  <c r="N1177" i="66"/>
  <c r="N1178" i="66"/>
  <c r="N1179" i="66"/>
  <c r="N1180" i="66"/>
  <c r="N1181" i="66"/>
  <c r="N1182" i="66"/>
  <c r="N1183" i="66"/>
  <c r="N1184" i="66"/>
  <c r="N1185" i="66"/>
  <c r="N1186" i="66"/>
  <c r="N1187" i="66"/>
  <c r="N1188" i="66"/>
  <c r="N1189" i="66"/>
  <c r="N1190" i="66"/>
  <c r="N1191" i="66"/>
  <c r="N1192" i="66"/>
  <c r="N1193" i="66"/>
  <c r="N1194" i="66"/>
  <c r="N1195" i="66"/>
  <c r="N1196" i="66"/>
  <c r="N1197" i="66"/>
  <c r="N1198" i="66"/>
  <c r="N1199" i="66"/>
  <c r="N1200" i="66"/>
  <c r="N1201" i="66"/>
  <c r="N1202" i="66"/>
  <c r="N1203" i="66"/>
  <c r="N1204" i="66"/>
  <c r="N1205" i="66"/>
  <c r="N1206" i="66"/>
  <c r="N1207" i="66"/>
  <c r="N1208" i="66"/>
  <c r="N1209" i="66"/>
  <c r="N1210" i="66"/>
  <c r="N1211" i="66"/>
  <c r="N1212" i="66"/>
  <c r="N1213" i="66"/>
  <c r="N1214" i="66"/>
  <c r="N1215" i="66"/>
  <c r="N1216" i="66"/>
  <c r="N1217" i="66"/>
  <c r="N1218" i="66"/>
  <c r="N1219" i="66"/>
  <c r="N1220" i="66"/>
  <c r="N1221" i="66"/>
  <c r="N1222" i="66"/>
  <c r="N1223" i="66"/>
  <c r="N1224" i="66"/>
  <c r="N1225" i="66"/>
  <c r="N1226" i="66"/>
  <c r="N1227" i="66"/>
  <c r="N1228" i="66"/>
  <c r="N1229" i="66"/>
  <c r="N1230" i="66"/>
  <c r="N1231" i="66"/>
  <c r="N1232" i="66"/>
  <c r="N1233" i="66"/>
  <c r="N1234" i="66"/>
  <c r="N1235" i="66"/>
  <c r="N1236" i="66"/>
  <c r="N1237" i="66"/>
  <c r="N1238" i="66"/>
  <c r="N1239" i="66"/>
  <c r="N1240" i="66"/>
  <c r="N1241" i="66"/>
  <c r="N1242" i="66"/>
  <c r="N1243" i="66"/>
  <c r="N1244" i="66"/>
  <c r="N1245" i="66"/>
  <c r="N1246" i="66"/>
  <c r="N1247" i="66"/>
  <c r="N1248" i="66"/>
  <c r="N1249" i="66"/>
  <c r="N1250" i="66"/>
  <c r="N1251" i="66"/>
  <c r="N1252" i="66"/>
  <c r="N1253" i="66"/>
  <c r="N1254" i="66"/>
  <c r="N1255" i="66"/>
  <c r="N1256" i="66"/>
  <c r="N1257" i="66"/>
  <c r="N1258" i="66"/>
  <c r="N1259" i="66"/>
  <c r="N1260" i="66"/>
  <c r="N1261" i="66"/>
  <c r="N1262" i="66"/>
  <c r="N1263" i="66"/>
  <c r="N1264" i="66"/>
  <c r="N1265" i="66"/>
  <c r="N1266" i="66"/>
  <c r="N1267" i="66"/>
  <c r="N1268" i="66"/>
  <c r="N1269" i="66"/>
  <c r="N1270" i="66"/>
  <c r="N1271" i="66"/>
  <c r="N1272" i="66"/>
  <c r="N1273" i="66"/>
  <c r="N1274" i="66"/>
  <c r="N1275" i="66"/>
  <c r="N1276" i="66"/>
  <c r="N1277" i="66"/>
  <c r="N1278" i="66"/>
  <c r="N1279" i="66"/>
  <c r="N1280" i="66"/>
  <c r="N1281" i="66"/>
  <c r="N1282" i="66"/>
  <c r="N1283" i="66"/>
  <c r="N1284" i="66"/>
  <c r="N1285" i="66"/>
  <c r="N1286" i="66"/>
  <c r="N1287" i="66"/>
  <c r="N1288" i="66"/>
  <c r="N1289" i="66"/>
  <c r="N1290" i="66"/>
  <c r="N1291" i="66"/>
  <c r="N1292" i="66"/>
  <c r="N1293" i="66"/>
  <c r="N1294" i="66"/>
  <c r="N1295" i="66"/>
  <c r="N1296" i="66"/>
  <c r="N1297" i="66"/>
  <c r="N1298" i="66"/>
  <c r="N1299" i="66"/>
  <c r="N1300" i="66"/>
  <c r="N1301" i="66"/>
  <c r="N1302" i="66"/>
  <c r="N1303" i="66"/>
  <c r="N1304" i="66"/>
  <c r="N1305" i="66"/>
  <c r="N1306" i="66"/>
  <c r="N1307" i="66"/>
  <c r="N1308" i="66"/>
  <c r="N1309" i="66"/>
  <c r="N1310" i="66"/>
  <c r="N1311" i="66"/>
  <c r="N1312" i="66"/>
  <c r="N1313" i="66"/>
  <c r="N1314" i="66"/>
  <c r="N1315" i="66"/>
  <c r="N1316" i="66"/>
  <c r="N1317" i="66"/>
  <c r="N1318" i="66"/>
  <c r="N1319" i="66"/>
  <c r="N1320" i="66"/>
  <c r="N1321" i="66"/>
  <c r="N1322" i="66"/>
  <c r="N1323" i="66"/>
  <c r="N1324" i="66"/>
  <c r="N1325" i="66"/>
  <c r="N1326" i="66"/>
  <c r="N1327" i="66"/>
  <c r="N1328" i="66"/>
  <c r="N1329" i="66"/>
  <c r="N1330" i="66"/>
  <c r="N1331" i="66"/>
  <c r="N1332" i="66"/>
  <c r="N1333" i="66"/>
  <c r="N1334" i="66"/>
  <c r="N1335" i="66"/>
  <c r="N1336" i="66"/>
  <c r="N1337" i="66"/>
  <c r="N1338" i="66"/>
  <c r="N1339" i="66"/>
  <c r="N1340" i="66"/>
  <c r="N1341" i="66"/>
  <c r="N1342" i="66"/>
  <c r="N1343" i="66"/>
  <c r="N1344" i="66"/>
  <c r="N1345" i="66"/>
  <c r="N1346" i="66"/>
  <c r="N1347" i="66"/>
  <c r="N1348" i="66"/>
  <c r="N1349" i="66"/>
  <c r="N1350" i="66"/>
  <c r="N1351" i="66"/>
  <c r="N1352" i="66"/>
  <c r="N1353" i="66"/>
  <c r="N1354" i="66"/>
  <c r="N1355" i="66"/>
  <c r="N1356" i="66"/>
  <c r="N1357" i="66"/>
  <c r="N1358" i="66"/>
  <c r="N1359" i="66"/>
  <c r="N1360" i="66"/>
  <c r="N1361" i="66"/>
  <c r="N1362" i="66"/>
  <c r="N1363" i="66"/>
  <c r="N1364" i="66"/>
  <c r="N1365" i="66"/>
  <c r="N1366" i="66"/>
  <c r="N1367" i="66"/>
  <c r="N1368" i="66"/>
  <c r="N1369" i="66"/>
  <c r="N1370" i="66"/>
  <c r="N1371" i="66"/>
  <c r="N1372" i="66"/>
  <c r="N1373" i="66"/>
  <c r="N1374" i="66"/>
  <c r="N1375" i="66"/>
  <c r="N1376" i="66"/>
  <c r="N1377" i="66"/>
  <c r="N1378" i="66"/>
  <c r="N1379" i="66"/>
  <c r="N1380" i="66"/>
  <c r="N1381" i="66"/>
  <c r="N1382" i="66"/>
  <c r="N1383" i="66"/>
  <c r="N1384" i="66"/>
  <c r="N1385" i="66"/>
  <c r="N1386" i="66"/>
  <c r="N1387" i="66"/>
  <c r="N1388" i="66"/>
  <c r="N1389" i="66"/>
  <c r="N1390" i="66"/>
  <c r="N1391" i="66"/>
  <c r="N1392" i="66"/>
  <c r="N1393" i="66"/>
  <c r="N1394" i="66"/>
  <c r="N1395" i="66"/>
  <c r="N1396" i="66"/>
  <c r="N1397" i="66"/>
  <c r="N1398" i="66"/>
  <c r="N1399" i="66"/>
  <c r="N1400" i="66"/>
  <c r="N1401" i="66"/>
  <c r="N1402" i="66"/>
  <c r="N1403" i="66"/>
  <c r="N1404" i="66"/>
  <c r="N1405" i="66"/>
  <c r="N1406" i="66"/>
  <c r="N1407" i="66"/>
  <c r="N1408" i="66"/>
  <c r="N1409" i="66"/>
  <c r="N1410" i="66"/>
  <c r="N1411" i="66"/>
  <c r="N1412" i="66"/>
  <c r="N1413" i="66"/>
  <c r="N1414" i="66"/>
  <c r="N1415" i="66"/>
  <c r="N1416" i="66"/>
  <c r="N1417" i="66"/>
  <c r="N1418" i="66"/>
  <c r="N1419" i="66"/>
  <c r="N1420" i="66"/>
  <c r="N1421" i="66"/>
  <c r="N1422" i="66"/>
  <c r="N1423" i="66"/>
  <c r="N1424" i="66"/>
  <c r="N1425" i="66"/>
  <c r="N1426" i="66"/>
  <c r="N1427" i="66"/>
  <c r="N1428" i="66"/>
  <c r="N1429" i="66"/>
  <c r="N1430" i="66"/>
  <c r="N1431" i="66"/>
  <c r="N1432" i="66"/>
  <c r="N1433" i="66"/>
  <c r="N1434" i="66"/>
  <c r="N1435" i="66"/>
  <c r="N1436" i="66"/>
  <c r="N1437" i="66"/>
  <c r="N1438" i="66"/>
  <c r="N1439" i="66"/>
  <c r="N1440" i="66"/>
  <c r="N1441" i="66"/>
  <c r="N1442" i="66"/>
  <c r="N1443" i="66"/>
  <c r="N1444" i="66"/>
  <c r="N1445" i="66"/>
  <c r="N1446" i="66"/>
  <c r="N1447" i="66"/>
  <c r="N1448" i="66"/>
  <c r="N1449" i="66"/>
  <c r="N1450" i="66"/>
  <c r="N1451" i="66"/>
  <c r="N1452" i="66"/>
  <c r="N1453" i="66"/>
  <c r="N1454" i="66"/>
  <c r="N1455" i="66"/>
  <c r="N1456" i="66"/>
  <c r="N1457" i="66"/>
  <c r="N1458" i="66"/>
  <c r="N1459" i="66"/>
  <c r="N1460" i="66"/>
  <c r="N1461" i="66"/>
  <c r="N1462" i="66"/>
  <c r="N1463" i="66"/>
  <c r="N1464" i="66"/>
  <c r="N1465" i="66"/>
  <c r="N1466" i="66"/>
  <c r="N1467" i="66"/>
  <c r="N1468" i="66"/>
  <c r="N1469" i="66"/>
  <c r="N1470" i="66"/>
  <c r="N1471" i="66"/>
  <c r="N1472" i="66"/>
  <c r="N1473" i="66"/>
  <c r="N1474" i="66"/>
  <c r="N1475" i="66"/>
  <c r="N1476" i="66"/>
  <c r="N1477" i="66"/>
  <c r="N1478" i="66"/>
  <c r="N1479" i="66"/>
  <c r="N1480" i="66"/>
  <c r="N1481" i="66"/>
  <c r="N1482" i="66"/>
  <c r="N1483" i="66"/>
  <c r="N1484" i="66"/>
  <c r="N1485" i="66"/>
  <c r="N1486" i="66"/>
  <c r="N1487" i="66"/>
  <c r="N1488" i="66"/>
  <c r="N1489" i="66"/>
  <c r="N1490" i="66"/>
  <c r="N1491" i="66"/>
  <c r="N1492" i="66"/>
  <c r="N1493" i="66"/>
  <c r="N1494" i="66"/>
  <c r="N1495" i="66"/>
  <c r="N1496" i="66"/>
  <c r="N1497" i="66"/>
  <c r="N1498" i="66"/>
  <c r="N1499" i="66"/>
  <c r="N1500" i="66"/>
  <c r="N1501" i="66"/>
  <c r="N1502" i="66"/>
  <c r="N1503" i="66"/>
  <c r="N1504" i="66"/>
  <c r="N1505" i="66"/>
  <c r="N1506" i="66"/>
  <c r="N1507" i="66"/>
  <c r="N1508" i="66"/>
  <c r="N1509" i="66"/>
  <c r="N1510" i="66"/>
  <c r="N1511" i="66"/>
  <c r="N1512" i="66"/>
  <c r="N1513" i="66"/>
  <c r="N1514" i="66"/>
  <c r="N1515" i="66"/>
  <c r="N1516" i="66"/>
  <c r="N1517" i="66"/>
  <c r="N1518" i="66"/>
  <c r="N1519" i="66"/>
  <c r="N1520" i="66"/>
  <c r="N1521" i="66"/>
  <c r="N1522" i="66"/>
  <c r="N1523" i="66"/>
  <c r="N1524" i="66"/>
  <c r="N1525" i="66"/>
  <c r="N1526" i="66"/>
  <c r="N1527" i="66"/>
  <c r="N1528" i="66"/>
  <c r="N1529" i="66"/>
  <c r="N1530" i="66"/>
  <c r="N1531" i="66"/>
  <c r="N1532" i="66"/>
  <c r="N1533" i="66"/>
  <c r="N1534" i="66"/>
  <c r="N1535" i="66"/>
  <c r="N1536" i="66"/>
  <c r="N1537" i="66"/>
  <c r="N1538" i="66"/>
  <c r="N1539" i="66"/>
  <c r="N1540" i="66"/>
  <c r="N1541" i="66"/>
  <c r="N2" i="66"/>
  <c r="M3" i="66"/>
  <c r="M4" i="66"/>
  <c r="M5" i="66"/>
  <c r="M6" i="66"/>
  <c r="M7" i="66"/>
  <c r="M8" i="66"/>
  <c r="M9" i="66"/>
  <c r="M10" i="66"/>
  <c r="M11" i="66"/>
  <c r="M12" i="66"/>
  <c r="M13" i="66"/>
  <c r="M14" i="66"/>
  <c r="M15" i="66"/>
  <c r="M16" i="66"/>
  <c r="M17" i="66"/>
  <c r="M18" i="66"/>
  <c r="M19" i="66"/>
  <c r="M20" i="66"/>
  <c r="M21" i="66"/>
  <c r="M22" i="66"/>
  <c r="M23" i="66"/>
  <c r="M24" i="66"/>
  <c r="M25" i="66"/>
  <c r="M26" i="66"/>
  <c r="M27" i="66"/>
  <c r="M28" i="66"/>
  <c r="M29" i="66"/>
  <c r="M30" i="66"/>
  <c r="M31" i="66"/>
  <c r="M32" i="66"/>
  <c r="M33" i="66"/>
  <c r="M34" i="66"/>
  <c r="M35" i="66"/>
  <c r="M36" i="66"/>
  <c r="M37" i="66"/>
  <c r="M38" i="66"/>
  <c r="M39" i="66"/>
  <c r="M40" i="66"/>
  <c r="M41" i="66"/>
  <c r="M42" i="66"/>
  <c r="M43" i="66"/>
  <c r="M44" i="66"/>
  <c r="M45" i="66"/>
  <c r="M46" i="66"/>
  <c r="M47" i="66"/>
  <c r="M48" i="66"/>
  <c r="M49" i="66"/>
  <c r="M50" i="66"/>
  <c r="M51" i="66"/>
  <c r="M52" i="66"/>
  <c r="M53" i="66"/>
  <c r="M54" i="66"/>
  <c r="M55" i="66"/>
  <c r="M56" i="66"/>
  <c r="M57" i="66"/>
  <c r="M58" i="66"/>
  <c r="M59" i="66"/>
  <c r="M60" i="66"/>
  <c r="M61" i="66"/>
  <c r="M62" i="66"/>
  <c r="M63" i="66"/>
  <c r="M64" i="66"/>
  <c r="M65" i="66"/>
  <c r="M66" i="66"/>
  <c r="M67" i="66"/>
  <c r="M68" i="66"/>
  <c r="M69" i="66"/>
  <c r="M70" i="66"/>
  <c r="M71" i="66"/>
  <c r="M72" i="66"/>
  <c r="M73" i="66"/>
  <c r="M74" i="66"/>
  <c r="M75" i="66"/>
  <c r="M76" i="66"/>
  <c r="M77" i="66"/>
  <c r="M78" i="66"/>
  <c r="M79" i="66"/>
  <c r="M80" i="66"/>
  <c r="M81" i="66"/>
  <c r="M82" i="66"/>
  <c r="M83" i="66"/>
  <c r="M84" i="66"/>
  <c r="M85" i="66"/>
  <c r="M86" i="66"/>
  <c r="M87" i="66"/>
  <c r="M88" i="66"/>
  <c r="M89" i="66"/>
  <c r="M90" i="66"/>
  <c r="M91" i="66"/>
  <c r="M92" i="66"/>
  <c r="M93" i="66"/>
  <c r="M94" i="66"/>
  <c r="M95" i="66"/>
  <c r="M96" i="66"/>
  <c r="M97" i="66"/>
  <c r="M98" i="66"/>
  <c r="M99" i="66"/>
  <c r="M100" i="66"/>
  <c r="M101" i="66"/>
  <c r="M102" i="66"/>
  <c r="M103" i="66"/>
  <c r="M104" i="66"/>
  <c r="M105" i="66"/>
  <c r="M106" i="66"/>
  <c r="M107" i="66"/>
  <c r="M108" i="66"/>
  <c r="M109" i="66"/>
  <c r="M110" i="66"/>
  <c r="M111" i="66"/>
  <c r="M112" i="66"/>
  <c r="M113" i="66"/>
  <c r="M114" i="66"/>
  <c r="M115" i="66"/>
  <c r="M116" i="66"/>
  <c r="M117" i="66"/>
  <c r="M118" i="66"/>
  <c r="M119" i="66"/>
  <c r="M120" i="66"/>
  <c r="M121" i="66"/>
  <c r="M122" i="66"/>
  <c r="M123" i="66"/>
  <c r="M124" i="66"/>
  <c r="M125" i="66"/>
  <c r="M126" i="66"/>
  <c r="M127" i="66"/>
  <c r="M128" i="66"/>
  <c r="M129" i="66"/>
  <c r="M130" i="66"/>
  <c r="M131" i="66"/>
  <c r="M132" i="66"/>
  <c r="M133" i="66"/>
  <c r="M134" i="66"/>
  <c r="M135" i="66"/>
  <c r="M136" i="66"/>
  <c r="M137" i="66"/>
  <c r="M138" i="66"/>
  <c r="M139" i="66"/>
  <c r="M140" i="66"/>
  <c r="M141" i="66"/>
  <c r="M142" i="66"/>
  <c r="M143" i="66"/>
  <c r="M144" i="66"/>
  <c r="M145" i="66"/>
  <c r="M146" i="66"/>
  <c r="M147" i="66"/>
  <c r="M148" i="66"/>
  <c r="M149" i="66"/>
  <c r="M150" i="66"/>
  <c r="M151" i="66"/>
  <c r="M152" i="66"/>
  <c r="M153" i="66"/>
  <c r="M154" i="66"/>
  <c r="M155" i="66"/>
  <c r="M156" i="66"/>
  <c r="M157" i="66"/>
  <c r="M158" i="66"/>
  <c r="M159" i="66"/>
  <c r="M160" i="66"/>
  <c r="M161" i="66"/>
  <c r="M162" i="66"/>
  <c r="M163" i="66"/>
  <c r="M164" i="66"/>
  <c r="M165" i="66"/>
  <c r="M166" i="66"/>
  <c r="M167" i="66"/>
  <c r="M168" i="66"/>
  <c r="M169" i="66"/>
  <c r="M170" i="66"/>
  <c r="M171" i="66"/>
  <c r="M172" i="66"/>
  <c r="M173" i="66"/>
  <c r="M174" i="66"/>
  <c r="M175" i="66"/>
  <c r="M176" i="66"/>
  <c r="M177" i="66"/>
  <c r="M178" i="66"/>
  <c r="M179" i="66"/>
  <c r="M180" i="66"/>
  <c r="M181" i="66"/>
  <c r="M182" i="66"/>
  <c r="M183" i="66"/>
  <c r="M184" i="66"/>
  <c r="M185" i="66"/>
  <c r="M186" i="66"/>
  <c r="M187" i="66"/>
  <c r="M188" i="66"/>
  <c r="M189" i="66"/>
  <c r="M190" i="66"/>
  <c r="M191" i="66"/>
  <c r="M192" i="66"/>
  <c r="M193" i="66"/>
  <c r="M194" i="66"/>
  <c r="M195" i="66"/>
  <c r="M196" i="66"/>
  <c r="M197" i="66"/>
  <c r="M198" i="66"/>
  <c r="M199" i="66"/>
  <c r="M200" i="66"/>
  <c r="M201" i="66"/>
  <c r="M202" i="66"/>
  <c r="M203" i="66"/>
  <c r="M204" i="66"/>
  <c r="M205" i="66"/>
  <c r="M206" i="66"/>
  <c r="M207" i="66"/>
  <c r="M208" i="66"/>
  <c r="M209" i="66"/>
  <c r="M210" i="66"/>
  <c r="M211" i="66"/>
  <c r="M212" i="66"/>
  <c r="M213" i="66"/>
  <c r="M214" i="66"/>
  <c r="M215" i="66"/>
  <c r="M216" i="66"/>
  <c r="M217" i="66"/>
  <c r="M218" i="66"/>
  <c r="M219" i="66"/>
  <c r="M220" i="66"/>
  <c r="M221" i="66"/>
  <c r="M222" i="66"/>
  <c r="M223" i="66"/>
  <c r="M224" i="66"/>
  <c r="M225" i="66"/>
  <c r="M226" i="66"/>
  <c r="M227" i="66"/>
  <c r="M228" i="66"/>
  <c r="M229" i="66"/>
  <c r="M230" i="66"/>
  <c r="M231" i="66"/>
  <c r="M232" i="66"/>
  <c r="M233" i="66"/>
  <c r="M234" i="66"/>
  <c r="M235" i="66"/>
  <c r="M236" i="66"/>
  <c r="M237" i="66"/>
  <c r="M238" i="66"/>
  <c r="M239" i="66"/>
  <c r="M240" i="66"/>
  <c r="M241" i="66"/>
  <c r="M242" i="66"/>
  <c r="M243" i="66"/>
  <c r="M244" i="66"/>
  <c r="M245" i="66"/>
  <c r="M246" i="66"/>
  <c r="M247" i="66"/>
  <c r="M248" i="66"/>
  <c r="M249" i="66"/>
  <c r="M250" i="66"/>
  <c r="M251" i="66"/>
  <c r="M252" i="66"/>
  <c r="M253" i="66"/>
  <c r="M254" i="66"/>
  <c r="M255" i="66"/>
  <c r="M256" i="66"/>
  <c r="M257" i="66"/>
  <c r="M258" i="66"/>
  <c r="M259" i="66"/>
  <c r="M260" i="66"/>
  <c r="M261" i="66"/>
  <c r="M262" i="66"/>
  <c r="M263" i="66"/>
  <c r="M264" i="66"/>
  <c r="M265" i="66"/>
  <c r="M266" i="66"/>
  <c r="M267" i="66"/>
  <c r="M268" i="66"/>
  <c r="M269" i="66"/>
  <c r="M270" i="66"/>
  <c r="M271" i="66"/>
  <c r="M272" i="66"/>
  <c r="M273" i="66"/>
  <c r="M274" i="66"/>
  <c r="M275" i="66"/>
  <c r="M276" i="66"/>
  <c r="M277" i="66"/>
  <c r="M278" i="66"/>
  <c r="M279" i="66"/>
  <c r="M280" i="66"/>
  <c r="M281" i="66"/>
  <c r="M282" i="66"/>
  <c r="M283" i="66"/>
  <c r="M284" i="66"/>
  <c r="M285" i="66"/>
  <c r="M286" i="66"/>
  <c r="M287" i="66"/>
  <c r="M288" i="66"/>
  <c r="M289" i="66"/>
  <c r="M290" i="66"/>
  <c r="M291" i="66"/>
  <c r="M292" i="66"/>
  <c r="M293" i="66"/>
  <c r="M294" i="66"/>
  <c r="M295" i="66"/>
  <c r="M296" i="66"/>
  <c r="M297" i="66"/>
  <c r="M298" i="66"/>
  <c r="M299" i="66"/>
  <c r="M300" i="66"/>
  <c r="M301" i="66"/>
  <c r="M302" i="66"/>
  <c r="M303" i="66"/>
  <c r="M304" i="66"/>
  <c r="M305" i="66"/>
  <c r="M306" i="66"/>
  <c r="M307" i="66"/>
  <c r="M308" i="66"/>
  <c r="M309" i="66"/>
  <c r="M310" i="66"/>
  <c r="M311" i="66"/>
  <c r="M312" i="66"/>
  <c r="M313" i="66"/>
  <c r="M314" i="66"/>
  <c r="M315" i="66"/>
  <c r="M316" i="66"/>
  <c r="M317" i="66"/>
  <c r="M318" i="66"/>
  <c r="M319" i="66"/>
  <c r="M320" i="66"/>
  <c r="M321" i="66"/>
  <c r="M322" i="66"/>
  <c r="M323" i="66"/>
  <c r="M324" i="66"/>
  <c r="M325" i="66"/>
  <c r="M326" i="66"/>
  <c r="M327" i="66"/>
  <c r="M328" i="66"/>
  <c r="M329" i="66"/>
  <c r="M330" i="66"/>
  <c r="M331" i="66"/>
  <c r="M332" i="66"/>
  <c r="M333" i="66"/>
  <c r="M334" i="66"/>
  <c r="M335" i="66"/>
  <c r="M336" i="66"/>
  <c r="M337" i="66"/>
  <c r="M338" i="66"/>
  <c r="M339" i="66"/>
  <c r="M340" i="66"/>
  <c r="M341" i="66"/>
  <c r="M342" i="66"/>
  <c r="M343" i="66"/>
  <c r="M344" i="66"/>
  <c r="M345" i="66"/>
  <c r="M346" i="66"/>
  <c r="M347" i="66"/>
  <c r="M348" i="66"/>
  <c r="M349" i="66"/>
  <c r="M350" i="66"/>
  <c r="M351" i="66"/>
  <c r="M352" i="66"/>
  <c r="M353" i="66"/>
  <c r="M354" i="66"/>
  <c r="M355" i="66"/>
  <c r="M356" i="66"/>
  <c r="M357" i="66"/>
  <c r="M358" i="66"/>
  <c r="M359" i="66"/>
  <c r="M360" i="66"/>
  <c r="M361" i="66"/>
  <c r="M362" i="66"/>
  <c r="M363" i="66"/>
  <c r="M364" i="66"/>
  <c r="M365" i="66"/>
  <c r="M366" i="66"/>
  <c r="M367" i="66"/>
  <c r="M368" i="66"/>
  <c r="M369" i="66"/>
  <c r="M370" i="66"/>
  <c r="M371" i="66"/>
  <c r="M372" i="66"/>
  <c r="M373" i="66"/>
  <c r="M374" i="66"/>
  <c r="M375" i="66"/>
  <c r="M376" i="66"/>
  <c r="M377" i="66"/>
  <c r="M378" i="66"/>
  <c r="M379" i="66"/>
  <c r="M380" i="66"/>
  <c r="M381" i="66"/>
  <c r="M382" i="66"/>
  <c r="M383" i="66"/>
  <c r="M384" i="66"/>
  <c r="M385" i="66"/>
  <c r="M386" i="66"/>
  <c r="M387" i="66"/>
  <c r="M388" i="66"/>
  <c r="M389" i="66"/>
  <c r="M390" i="66"/>
  <c r="M391" i="66"/>
  <c r="M392" i="66"/>
  <c r="M393" i="66"/>
  <c r="M394" i="66"/>
  <c r="M395" i="66"/>
  <c r="M396" i="66"/>
  <c r="M397" i="66"/>
  <c r="M398" i="66"/>
  <c r="M399" i="66"/>
  <c r="M400" i="66"/>
  <c r="M401" i="66"/>
  <c r="M402" i="66"/>
  <c r="M403" i="66"/>
  <c r="M404" i="66"/>
  <c r="M405" i="66"/>
  <c r="M406" i="66"/>
  <c r="M407" i="66"/>
  <c r="M408" i="66"/>
  <c r="M409" i="66"/>
  <c r="M410" i="66"/>
  <c r="M411" i="66"/>
  <c r="M412" i="66"/>
  <c r="M413" i="66"/>
  <c r="M414" i="66"/>
  <c r="M415" i="66"/>
  <c r="M416" i="66"/>
  <c r="M417" i="66"/>
  <c r="M418" i="66"/>
  <c r="M419" i="66"/>
  <c r="M420" i="66"/>
  <c r="M421" i="66"/>
  <c r="M422" i="66"/>
  <c r="M423" i="66"/>
  <c r="M424" i="66"/>
  <c r="M425" i="66"/>
  <c r="M426" i="66"/>
  <c r="M427" i="66"/>
  <c r="M428" i="66"/>
  <c r="M429" i="66"/>
  <c r="M430" i="66"/>
  <c r="M431" i="66"/>
  <c r="M432" i="66"/>
  <c r="M433" i="66"/>
  <c r="M434" i="66"/>
  <c r="M435" i="66"/>
  <c r="M436" i="66"/>
  <c r="M437" i="66"/>
  <c r="M438" i="66"/>
  <c r="M439" i="66"/>
  <c r="M440" i="66"/>
  <c r="M441" i="66"/>
  <c r="M442" i="66"/>
  <c r="M443" i="66"/>
  <c r="M444" i="66"/>
  <c r="M445" i="66"/>
  <c r="M446" i="66"/>
  <c r="M447" i="66"/>
  <c r="M448" i="66"/>
  <c r="M449" i="66"/>
  <c r="M450" i="66"/>
  <c r="M451" i="66"/>
  <c r="M452" i="66"/>
  <c r="M453" i="66"/>
  <c r="M454" i="66"/>
  <c r="M455" i="66"/>
  <c r="M456" i="66"/>
  <c r="M457" i="66"/>
  <c r="M458" i="66"/>
  <c r="M459" i="66"/>
  <c r="M460" i="66"/>
  <c r="M461" i="66"/>
  <c r="M462" i="66"/>
  <c r="M463" i="66"/>
  <c r="M464" i="66"/>
  <c r="M465" i="66"/>
  <c r="M466" i="66"/>
  <c r="M467" i="66"/>
  <c r="M468" i="66"/>
  <c r="M469" i="66"/>
  <c r="M470" i="66"/>
  <c r="M471" i="66"/>
  <c r="M472" i="66"/>
  <c r="M473" i="66"/>
  <c r="M474" i="66"/>
  <c r="M475" i="66"/>
  <c r="M476" i="66"/>
  <c r="M477" i="66"/>
  <c r="M478" i="66"/>
  <c r="M479" i="66"/>
  <c r="M480" i="66"/>
  <c r="M481" i="66"/>
  <c r="M482" i="66"/>
  <c r="M483" i="66"/>
  <c r="M484" i="66"/>
  <c r="M485" i="66"/>
  <c r="M486" i="66"/>
  <c r="M487" i="66"/>
  <c r="M488" i="66"/>
  <c r="M489" i="66"/>
  <c r="M490" i="66"/>
  <c r="M491" i="66"/>
  <c r="M492" i="66"/>
  <c r="M493" i="66"/>
  <c r="M494" i="66"/>
  <c r="M495" i="66"/>
  <c r="M496" i="66"/>
  <c r="M497" i="66"/>
  <c r="M498" i="66"/>
  <c r="M499" i="66"/>
  <c r="M500" i="66"/>
  <c r="M501" i="66"/>
  <c r="M502" i="66"/>
  <c r="M503" i="66"/>
  <c r="M504" i="66"/>
  <c r="M505" i="66"/>
  <c r="M506" i="66"/>
  <c r="M507" i="66"/>
  <c r="M508" i="66"/>
  <c r="M509" i="66"/>
  <c r="M510" i="66"/>
  <c r="M511" i="66"/>
  <c r="M512" i="66"/>
  <c r="M513" i="66"/>
  <c r="M514" i="66"/>
  <c r="M515" i="66"/>
  <c r="M516" i="66"/>
  <c r="M517" i="66"/>
  <c r="M518" i="66"/>
  <c r="M519" i="66"/>
  <c r="M520" i="66"/>
  <c r="M521" i="66"/>
  <c r="M522" i="66"/>
  <c r="M523" i="66"/>
  <c r="M524" i="66"/>
  <c r="M525" i="66"/>
  <c r="M526" i="66"/>
  <c r="M527" i="66"/>
  <c r="M528" i="66"/>
  <c r="M529" i="66"/>
  <c r="M530" i="66"/>
  <c r="M531" i="66"/>
  <c r="M532" i="66"/>
  <c r="M533" i="66"/>
  <c r="M534" i="66"/>
  <c r="M535" i="66"/>
  <c r="M536" i="66"/>
  <c r="M537" i="66"/>
  <c r="M538" i="66"/>
  <c r="M539" i="66"/>
  <c r="M540" i="66"/>
  <c r="M541" i="66"/>
  <c r="M542" i="66"/>
  <c r="M543" i="66"/>
  <c r="M544" i="66"/>
  <c r="M545" i="66"/>
  <c r="M546" i="66"/>
  <c r="M547" i="66"/>
  <c r="M548" i="66"/>
  <c r="M549" i="66"/>
  <c r="M550" i="66"/>
  <c r="M551" i="66"/>
  <c r="M552" i="66"/>
  <c r="M553" i="66"/>
  <c r="M554" i="66"/>
  <c r="M555" i="66"/>
  <c r="M556" i="66"/>
  <c r="M557" i="66"/>
  <c r="M558" i="66"/>
  <c r="M559" i="66"/>
  <c r="M560" i="66"/>
  <c r="M561" i="66"/>
  <c r="M562" i="66"/>
  <c r="M563" i="66"/>
  <c r="M564" i="66"/>
  <c r="M565" i="66"/>
  <c r="M566" i="66"/>
  <c r="M567" i="66"/>
  <c r="M568" i="66"/>
  <c r="M569" i="66"/>
  <c r="M570" i="66"/>
  <c r="M571" i="66"/>
  <c r="M572" i="66"/>
  <c r="M573" i="66"/>
  <c r="M574" i="66"/>
  <c r="M575" i="66"/>
  <c r="M576" i="66"/>
  <c r="M577" i="66"/>
  <c r="M578" i="66"/>
  <c r="M579" i="66"/>
  <c r="M580" i="66"/>
  <c r="M581" i="66"/>
  <c r="M582" i="66"/>
  <c r="M583" i="66"/>
  <c r="M584" i="66"/>
  <c r="M585" i="66"/>
  <c r="M586" i="66"/>
  <c r="M587" i="66"/>
  <c r="M588" i="66"/>
  <c r="M589" i="66"/>
  <c r="M590" i="66"/>
  <c r="M591" i="66"/>
  <c r="M592" i="66"/>
  <c r="M593" i="66"/>
  <c r="M594" i="66"/>
  <c r="M595" i="66"/>
  <c r="M596" i="66"/>
  <c r="M597" i="66"/>
  <c r="M598" i="66"/>
  <c r="M599" i="66"/>
  <c r="M600" i="66"/>
  <c r="M601" i="66"/>
  <c r="M602" i="66"/>
  <c r="M603" i="66"/>
  <c r="M604" i="66"/>
  <c r="M605" i="66"/>
  <c r="M606" i="66"/>
  <c r="M607" i="66"/>
  <c r="M608" i="66"/>
  <c r="M609" i="66"/>
  <c r="M610" i="66"/>
  <c r="M611" i="66"/>
  <c r="M612" i="66"/>
  <c r="M613" i="66"/>
  <c r="M614" i="66"/>
  <c r="M615" i="66"/>
  <c r="M616" i="66"/>
  <c r="M617" i="66"/>
  <c r="M618" i="66"/>
  <c r="M619" i="66"/>
  <c r="M620" i="66"/>
  <c r="M621" i="66"/>
  <c r="M622" i="66"/>
  <c r="M623" i="66"/>
  <c r="M624" i="66"/>
  <c r="M625" i="66"/>
  <c r="M626" i="66"/>
  <c r="M627" i="66"/>
  <c r="M628" i="66"/>
  <c r="M629" i="66"/>
  <c r="M630" i="66"/>
  <c r="M631" i="66"/>
  <c r="M632" i="66"/>
  <c r="M633" i="66"/>
  <c r="M634" i="66"/>
  <c r="M635" i="66"/>
  <c r="M636" i="66"/>
  <c r="M637" i="66"/>
  <c r="M638" i="66"/>
  <c r="M639" i="66"/>
  <c r="M640" i="66"/>
  <c r="M641" i="66"/>
  <c r="M642" i="66"/>
  <c r="M643" i="66"/>
  <c r="M644" i="66"/>
  <c r="M645" i="66"/>
  <c r="M646" i="66"/>
  <c r="M647" i="66"/>
  <c r="M648" i="66"/>
  <c r="M649" i="66"/>
  <c r="M650" i="66"/>
  <c r="M651" i="66"/>
  <c r="M652" i="66"/>
  <c r="M653" i="66"/>
  <c r="M654" i="66"/>
  <c r="M655" i="66"/>
  <c r="M656" i="66"/>
  <c r="M657" i="66"/>
  <c r="M658" i="66"/>
  <c r="M659" i="66"/>
  <c r="M660" i="66"/>
  <c r="M661" i="66"/>
  <c r="M662" i="66"/>
  <c r="M663" i="66"/>
  <c r="M664" i="66"/>
  <c r="M665" i="66"/>
  <c r="M666" i="66"/>
  <c r="M667" i="66"/>
  <c r="M668" i="66"/>
  <c r="M669" i="66"/>
  <c r="M670" i="66"/>
  <c r="M671" i="66"/>
  <c r="M672" i="66"/>
  <c r="M673" i="66"/>
  <c r="M674" i="66"/>
  <c r="M675" i="66"/>
  <c r="M676" i="66"/>
  <c r="M677" i="66"/>
  <c r="M678" i="66"/>
  <c r="M679" i="66"/>
  <c r="M680" i="66"/>
  <c r="M681" i="66"/>
  <c r="M682" i="66"/>
  <c r="M683" i="66"/>
  <c r="M684" i="66"/>
  <c r="M685" i="66"/>
  <c r="M686" i="66"/>
  <c r="M687" i="66"/>
  <c r="M688" i="66"/>
  <c r="M689" i="66"/>
  <c r="M690" i="66"/>
  <c r="M691" i="66"/>
  <c r="M692" i="66"/>
  <c r="M693" i="66"/>
  <c r="M694" i="66"/>
  <c r="M695" i="66"/>
  <c r="M696" i="66"/>
  <c r="M697" i="66"/>
  <c r="M698" i="66"/>
  <c r="M699" i="66"/>
  <c r="M700" i="66"/>
  <c r="M701" i="66"/>
  <c r="M702" i="66"/>
  <c r="M703" i="66"/>
  <c r="M704" i="66"/>
  <c r="M705" i="66"/>
  <c r="M706" i="66"/>
  <c r="M707" i="66"/>
  <c r="M708" i="66"/>
  <c r="M709" i="66"/>
  <c r="M710" i="66"/>
  <c r="M711" i="66"/>
  <c r="M712" i="66"/>
  <c r="M713" i="66"/>
  <c r="M714" i="66"/>
  <c r="M715" i="66"/>
  <c r="M716" i="66"/>
  <c r="M717" i="66"/>
  <c r="M718" i="66"/>
  <c r="M719" i="66"/>
  <c r="M720" i="66"/>
  <c r="M721" i="66"/>
  <c r="M722" i="66"/>
  <c r="M723" i="66"/>
  <c r="M724" i="66"/>
  <c r="M725" i="66"/>
  <c r="M726" i="66"/>
  <c r="M727" i="66"/>
  <c r="M728" i="66"/>
  <c r="M729" i="66"/>
  <c r="M730" i="66"/>
  <c r="M731" i="66"/>
  <c r="M732" i="66"/>
  <c r="M733" i="66"/>
  <c r="M734" i="66"/>
  <c r="M735" i="66"/>
  <c r="M736" i="66"/>
  <c r="M737" i="66"/>
  <c r="M738" i="66"/>
  <c r="M739" i="66"/>
  <c r="M740" i="66"/>
  <c r="M741" i="66"/>
  <c r="M742" i="66"/>
  <c r="M743" i="66"/>
  <c r="M744" i="66"/>
  <c r="M745" i="66"/>
  <c r="M746" i="66"/>
  <c r="M747" i="66"/>
  <c r="M748" i="66"/>
  <c r="M749" i="66"/>
  <c r="M750" i="66"/>
  <c r="M751" i="66"/>
  <c r="M752" i="66"/>
  <c r="M753" i="66"/>
  <c r="M754" i="66"/>
  <c r="M755" i="66"/>
  <c r="M756" i="66"/>
  <c r="M757" i="66"/>
  <c r="M758" i="66"/>
  <c r="M759" i="66"/>
  <c r="M760" i="66"/>
  <c r="M761" i="66"/>
  <c r="M762" i="66"/>
  <c r="M763" i="66"/>
  <c r="M764" i="66"/>
  <c r="M765" i="66"/>
  <c r="M766" i="66"/>
  <c r="M767" i="66"/>
  <c r="M768" i="66"/>
  <c r="M769" i="66"/>
  <c r="M770" i="66"/>
  <c r="M771" i="66"/>
  <c r="M772" i="66"/>
  <c r="M773" i="66"/>
  <c r="M774" i="66"/>
  <c r="M775" i="66"/>
  <c r="M776" i="66"/>
  <c r="M777" i="66"/>
  <c r="M778" i="66"/>
  <c r="M779" i="66"/>
  <c r="M780" i="66"/>
  <c r="M781" i="66"/>
  <c r="M782" i="66"/>
  <c r="M783" i="66"/>
  <c r="M784" i="66"/>
  <c r="M785" i="66"/>
  <c r="M786" i="66"/>
  <c r="M787" i="66"/>
  <c r="M788" i="66"/>
  <c r="M789" i="66"/>
  <c r="M790" i="66"/>
  <c r="M791" i="66"/>
  <c r="M792" i="66"/>
  <c r="M793" i="66"/>
  <c r="M794" i="66"/>
  <c r="M795" i="66"/>
  <c r="M796" i="66"/>
  <c r="M797" i="66"/>
  <c r="M798" i="66"/>
  <c r="M799" i="66"/>
  <c r="M800" i="66"/>
  <c r="M801" i="66"/>
  <c r="M802" i="66"/>
  <c r="M803" i="66"/>
  <c r="M804" i="66"/>
  <c r="M805" i="66"/>
  <c r="M806" i="66"/>
  <c r="M807" i="66"/>
  <c r="M808" i="66"/>
  <c r="M809" i="66"/>
  <c r="M810" i="66"/>
  <c r="M811" i="66"/>
  <c r="M812" i="66"/>
  <c r="M813" i="66"/>
  <c r="M814" i="66"/>
  <c r="M815" i="66"/>
  <c r="M816" i="66"/>
  <c r="M817" i="66"/>
  <c r="M818" i="66"/>
  <c r="M819" i="66"/>
  <c r="M820" i="66"/>
  <c r="M821" i="66"/>
  <c r="M822" i="66"/>
  <c r="M823" i="66"/>
  <c r="M824" i="66"/>
  <c r="M825" i="66"/>
  <c r="M826" i="66"/>
  <c r="M827" i="66"/>
  <c r="M828" i="66"/>
  <c r="M829" i="66"/>
  <c r="M830" i="66"/>
  <c r="M831" i="66"/>
  <c r="M832" i="66"/>
  <c r="M833" i="66"/>
  <c r="M834" i="66"/>
  <c r="M835" i="66"/>
  <c r="M836" i="66"/>
  <c r="M837" i="66"/>
  <c r="M838" i="66"/>
  <c r="M839" i="66"/>
  <c r="M840" i="66"/>
  <c r="M841" i="66"/>
  <c r="M842" i="66"/>
  <c r="M843" i="66"/>
  <c r="M844" i="66"/>
  <c r="M845" i="66"/>
  <c r="M846" i="66"/>
  <c r="M847" i="66"/>
  <c r="M848" i="66"/>
  <c r="M849" i="66"/>
  <c r="M850" i="66"/>
  <c r="M851" i="66"/>
  <c r="M852" i="66"/>
  <c r="M853" i="66"/>
  <c r="M854" i="66"/>
  <c r="M855" i="66"/>
  <c r="M856" i="66"/>
  <c r="M857" i="66"/>
  <c r="M858" i="66"/>
  <c r="M859" i="66"/>
  <c r="M860" i="66"/>
  <c r="M861" i="66"/>
  <c r="M862" i="66"/>
  <c r="M863" i="66"/>
  <c r="M864" i="66"/>
  <c r="M865" i="66"/>
  <c r="M866" i="66"/>
  <c r="M867" i="66"/>
  <c r="M868" i="66"/>
  <c r="M869" i="66"/>
  <c r="M870" i="66"/>
  <c r="M871" i="66"/>
  <c r="M872" i="66"/>
  <c r="M873" i="66"/>
  <c r="M874" i="66"/>
  <c r="M875" i="66"/>
  <c r="M876" i="66"/>
  <c r="M877" i="66"/>
  <c r="M878" i="66"/>
  <c r="M879" i="66"/>
  <c r="M880" i="66"/>
  <c r="M881" i="66"/>
  <c r="M882" i="66"/>
  <c r="M883" i="66"/>
  <c r="M884" i="66"/>
  <c r="M885" i="66"/>
  <c r="M886" i="66"/>
  <c r="M887" i="66"/>
  <c r="M888" i="66"/>
  <c r="M889" i="66"/>
  <c r="M890" i="66"/>
  <c r="M891" i="66"/>
  <c r="M892" i="66"/>
  <c r="M893" i="66"/>
  <c r="M894" i="66"/>
  <c r="M895" i="66"/>
  <c r="M896" i="66"/>
  <c r="M897" i="66"/>
  <c r="M898" i="66"/>
  <c r="M899" i="66"/>
  <c r="M900" i="66"/>
  <c r="M901" i="66"/>
  <c r="M902" i="66"/>
  <c r="M903" i="66"/>
  <c r="M904" i="66"/>
  <c r="M905" i="66"/>
  <c r="M906" i="66"/>
  <c r="M907" i="66"/>
  <c r="M908" i="66"/>
  <c r="M909" i="66"/>
  <c r="M910" i="66"/>
  <c r="M911" i="66"/>
  <c r="M912" i="66"/>
  <c r="M913" i="66"/>
  <c r="M914" i="66"/>
  <c r="M915" i="66"/>
  <c r="M916" i="66"/>
  <c r="M917" i="66"/>
  <c r="M918" i="66"/>
  <c r="M919" i="66"/>
  <c r="M920" i="66"/>
  <c r="M921" i="66"/>
  <c r="M922" i="66"/>
  <c r="M923" i="66"/>
  <c r="M924" i="66"/>
  <c r="M925" i="66"/>
  <c r="M926" i="66"/>
  <c r="M927" i="66"/>
  <c r="M928" i="66"/>
  <c r="M929" i="66"/>
  <c r="M930" i="66"/>
  <c r="M931" i="66"/>
  <c r="M932" i="66"/>
  <c r="M933" i="66"/>
  <c r="M934" i="66"/>
  <c r="M935" i="66"/>
  <c r="M936" i="66"/>
  <c r="M937" i="66"/>
  <c r="M938" i="66"/>
  <c r="M939" i="66"/>
  <c r="M940" i="66"/>
  <c r="M941" i="66"/>
  <c r="M942" i="66"/>
  <c r="M943" i="66"/>
  <c r="M944" i="66"/>
  <c r="M945" i="66"/>
  <c r="M946" i="66"/>
  <c r="M947" i="66"/>
  <c r="M948" i="66"/>
  <c r="M949" i="66"/>
  <c r="M950" i="66"/>
  <c r="M951" i="66"/>
  <c r="M952" i="66"/>
  <c r="M953" i="66"/>
  <c r="M954" i="66"/>
  <c r="M955" i="66"/>
  <c r="M956" i="66"/>
  <c r="M957" i="66"/>
  <c r="M958" i="66"/>
  <c r="M959" i="66"/>
  <c r="M960" i="66"/>
  <c r="M961" i="66"/>
  <c r="M962" i="66"/>
  <c r="M963" i="66"/>
  <c r="M964" i="66"/>
  <c r="M965" i="66"/>
  <c r="M966" i="66"/>
  <c r="M967" i="66"/>
  <c r="M968" i="66"/>
  <c r="M969" i="66"/>
  <c r="M970" i="66"/>
  <c r="M971" i="66"/>
  <c r="M972" i="66"/>
  <c r="M973" i="66"/>
  <c r="M974" i="66"/>
  <c r="M975" i="66"/>
  <c r="M976" i="66"/>
  <c r="M977" i="66"/>
  <c r="M978" i="66"/>
  <c r="M979" i="66"/>
  <c r="M980" i="66"/>
  <c r="M981" i="66"/>
  <c r="M982" i="66"/>
  <c r="M983" i="66"/>
  <c r="M984" i="66"/>
  <c r="M985" i="66"/>
  <c r="M986" i="66"/>
  <c r="M987" i="66"/>
  <c r="M988" i="66"/>
  <c r="M989" i="66"/>
  <c r="M990" i="66"/>
  <c r="M991" i="66"/>
  <c r="M992" i="66"/>
  <c r="M993" i="66"/>
  <c r="M994" i="66"/>
  <c r="M995" i="66"/>
  <c r="M996" i="66"/>
  <c r="M997" i="66"/>
  <c r="M998" i="66"/>
  <c r="M999" i="66"/>
  <c r="M1000" i="66"/>
  <c r="M1001" i="66"/>
  <c r="M1002" i="66"/>
  <c r="M1003" i="66"/>
  <c r="M1004" i="66"/>
  <c r="M1005" i="66"/>
  <c r="M1006" i="66"/>
  <c r="M1007" i="66"/>
  <c r="M1008" i="66"/>
  <c r="M1009" i="66"/>
  <c r="M1010" i="66"/>
  <c r="M1011" i="66"/>
  <c r="M1012" i="66"/>
  <c r="M1013" i="66"/>
  <c r="M1014" i="66"/>
  <c r="M1015" i="66"/>
  <c r="M1016" i="66"/>
  <c r="M1017" i="66"/>
  <c r="M1018" i="66"/>
  <c r="M1019" i="66"/>
  <c r="M1020" i="66"/>
  <c r="M1021" i="66"/>
  <c r="M1022" i="66"/>
  <c r="M1023" i="66"/>
  <c r="M1024" i="66"/>
  <c r="M1025" i="66"/>
  <c r="M1026" i="66"/>
  <c r="M1027" i="66"/>
  <c r="M1028" i="66"/>
  <c r="M1029" i="66"/>
  <c r="M1030" i="66"/>
  <c r="M1031" i="66"/>
  <c r="M1032" i="66"/>
  <c r="M1033" i="66"/>
  <c r="M1034" i="66"/>
  <c r="M1035" i="66"/>
  <c r="M1036" i="66"/>
  <c r="M1037" i="66"/>
  <c r="M1038" i="66"/>
  <c r="M1039" i="66"/>
  <c r="M1040" i="66"/>
  <c r="M1041" i="66"/>
  <c r="M1042" i="66"/>
  <c r="M1043" i="66"/>
  <c r="M1044" i="66"/>
  <c r="M1045" i="66"/>
  <c r="M1046" i="66"/>
  <c r="M1047" i="66"/>
  <c r="M1048" i="66"/>
  <c r="M1049" i="66"/>
  <c r="M1050" i="66"/>
  <c r="M1051" i="66"/>
  <c r="M1052" i="66"/>
  <c r="M1053" i="66"/>
  <c r="M1054" i="66"/>
  <c r="M1055" i="66"/>
  <c r="M1056" i="66"/>
  <c r="M1057" i="66"/>
  <c r="M1058" i="66"/>
  <c r="M1059" i="66"/>
  <c r="M1060" i="66"/>
  <c r="M1061" i="66"/>
  <c r="M1062" i="66"/>
  <c r="M1063" i="66"/>
  <c r="M1064" i="66"/>
  <c r="M1065" i="66"/>
  <c r="M1066" i="66"/>
  <c r="M1067" i="66"/>
  <c r="M1068" i="66"/>
  <c r="M1069" i="66"/>
  <c r="M1070" i="66"/>
  <c r="M1071" i="66"/>
  <c r="M1072" i="66"/>
  <c r="M1073" i="66"/>
  <c r="M1074" i="66"/>
  <c r="M1075" i="66"/>
  <c r="M1076" i="66"/>
  <c r="M1077" i="66"/>
  <c r="M1078" i="66"/>
  <c r="M1079" i="66"/>
  <c r="M1080" i="66"/>
  <c r="M1081" i="66"/>
  <c r="M1082" i="66"/>
  <c r="M1083" i="66"/>
  <c r="M1084" i="66"/>
  <c r="M1085" i="66"/>
  <c r="M1086" i="66"/>
  <c r="M1087" i="66"/>
  <c r="M1088" i="66"/>
  <c r="M1089" i="66"/>
  <c r="M1090" i="66"/>
  <c r="M1091" i="66"/>
  <c r="M1092" i="66"/>
  <c r="M1093" i="66"/>
  <c r="M1094" i="66"/>
  <c r="M1095" i="66"/>
  <c r="M1096" i="66"/>
  <c r="M1097" i="66"/>
  <c r="M1098" i="66"/>
  <c r="M1099" i="66"/>
  <c r="M1100" i="66"/>
  <c r="M1101" i="66"/>
  <c r="M1102" i="66"/>
  <c r="M1103" i="66"/>
  <c r="M1104" i="66"/>
  <c r="M1105" i="66"/>
  <c r="M1106" i="66"/>
  <c r="M1107" i="66"/>
  <c r="M1108" i="66"/>
  <c r="M1109" i="66"/>
  <c r="M1110" i="66"/>
  <c r="M1111" i="66"/>
  <c r="M1112" i="66"/>
  <c r="M1113" i="66"/>
  <c r="M1114" i="66"/>
  <c r="M1115" i="66"/>
  <c r="M1116" i="66"/>
  <c r="M1117" i="66"/>
  <c r="M1118" i="66"/>
  <c r="M1119" i="66"/>
  <c r="M1120" i="66"/>
  <c r="M1121" i="66"/>
  <c r="M1122" i="66"/>
  <c r="M1123" i="66"/>
  <c r="M1124" i="66"/>
  <c r="M1125" i="66"/>
  <c r="M1126" i="66"/>
  <c r="M1127" i="66"/>
  <c r="M1128" i="66"/>
  <c r="M1129" i="66"/>
  <c r="M1130" i="66"/>
  <c r="M1131" i="66"/>
  <c r="M1132" i="66"/>
  <c r="M1133" i="66"/>
  <c r="M1134" i="66"/>
  <c r="M1135" i="66"/>
  <c r="M1136" i="66"/>
  <c r="M1137" i="66"/>
  <c r="M1138" i="66"/>
  <c r="M1139" i="66"/>
  <c r="M1140" i="66"/>
  <c r="M1141" i="66"/>
  <c r="M1142" i="66"/>
  <c r="M1143" i="66"/>
  <c r="M1144" i="66"/>
  <c r="M1145" i="66"/>
  <c r="M1146" i="66"/>
  <c r="M1147" i="66"/>
  <c r="M1148" i="66"/>
  <c r="M1149" i="66"/>
  <c r="M1150" i="66"/>
  <c r="M1151" i="66"/>
  <c r="M1152" i="66"/>
  <c r="M1153" i="66"/>
  <c r="M1154" i="66"/>
  <c r="M1155" i="66"/>
  <c r="M1156" i="66"/>
  <c r="M1157" i="66"/>
  <c r="M1158" i="66"/>
  <c r="M1159" i="66"/>
  <c r="M1160" i="66"/>
  <c r="M1161" i="66"/>
  <c r="M1162" i="66"/>
  <c r="M1163" i="66"/>
  <c r="M1164" i="66"/>
  <c r="M1165" i="66"/>
  <c r="M1166" i="66"/>
  <c r="M1167" i="66"/>
  <c r="M1168" i="66"/>
  <c r="M1169" i="66"/>
  <c r="M1170" i="66"/>
  <c r="M1171" i="66"/>
  <c r="M1172" i="66"/>
  <c r="M1173" i="66"/>
  <c r="M1174" i="66"/>
  <c r="M1175" i="66"/>
  <c r="M1176" i="66"/>
  <c r="M1177" i="66"/>
  <c r="M1178" i="66"/>
  <c r="M1179" i="66"/>
  <c r="M1180" i="66"/>
  <c r="M1181" i="66"/>
  <c r="M1182" i="66"/>
  <c r="M1183" i="66"/>
  <c r="M1184" i="66"/>
  <c r="M1185" i="66"/>
  <c r="M1186" i="66"/>
  <c r="M1187" i="66"/>
  <c r="M1188" i="66"/>
  <c r="M1189" i="66"/>
  <c r="M1190" i="66"/>
  <c r="M1191" i="66"/>
  <c r="M1192" i="66"/>
  <c r="M1193" i="66"/>
  <c r="M1194" i="66"/>
  <c r="M1195" i="66"/>
  <c r="M1196" i="66"/>
  <c r="M1197" i="66"/>
  <c r="M1198" i="66"/>
  <c r="M1199" i="66"/>
  <c r="M1200" i="66"/>
  <c r="M1201" i="66"/>
  <c r="M1202" i="66"/>
  <c r="M1203" i="66"/>
  <c r="M1204" i="66"/>
  <c r="M1205" i="66"/>
  <c r="M1206" i="66"/>
  <c r="M1207" i="66"/>
  <c r="M1208" i="66"/>
  <c r="M1209" i="66"/>
  <c r="M1210" i="66"/>
  <c r="M1211" i="66"/>
  <c r="M1212" i="66"/>
  <c r="M1213" i="66"/>
  <c r="M1214" i="66"/>
  <c r="M1215" i="66"/>
  <c r="M1216" i="66"/>
  <c r="M1217" i="66"/>
  <c r="M1218" i="66"/>
  <c r="M1219" i="66"/>
  <c r="M1220" i="66"/>
  <c r="M1221" i="66"/>
  <c r="M1222" i="66"/>
  <c r="M1223" i="66"/>
  <c r="M1224" i="66"/>
  <c r="M1225" i="66"/>
  <c r="M1226" i="66"/>
  <c r="M1227" i="66"/>
  <c r="M1228" i="66"/>
  <c r="M1229" i="66"/>
  <c r="M1230" i="66"/>
  <c r="M1231" i="66"/>
  <c r="M1232" i="66"/>
  <c r="M1233" i="66"/>
  <c r="M1234" i="66"/>
  <c r="M1235" i="66"/>
  <c r="M1236" i="66"/>
  <c r="M1237" i="66"/>
  <c r="M1238" i="66"/>
  <c r="M1239" i="66"/>
  <c r="M1240" i="66"/>
  <c r="M1241" i="66"/>
  <c r="M1242" i="66"/>
  <c r="M1243" i="66"/>
  <c r="M1244" i="66"/>
  <c r="M1245" i="66"/>
  <c r="M1246" i="66"/>
  <c r="M1247" i="66"/>
  <c r="M1248" i="66"/>
  <c r="M1249" i="66"/>
  <c r="M1250" i="66"/>
  <c r="M1251" i="66"/>
  <c r="M1252" i="66"/>
  <c r="M1253" i="66"/>
  <c r="M1254" i="66"/>
  <c r="M1255" i="66"/>
  <c r="M1256" i="66"/>
  <c r="M1257" i="66"/>
  <c r="M1258" i="66"/>
  <c r="M1259" i="66"/>
  <c r="M1260" i="66"/>
  <c r="M1261" i="66"/>
  <c r="M1262" i="66"/>
  <c r="M1263" i="66"/>
  <c r="M1264" i="66"/>
  <c r="M1265" i="66"/>
  <c r="M1266" i="66"/>
  <c r="M1267" i="66"/>
  <c r="M1268" i="66"/>
  <c r="M1269" i="66"/>
  <c r="M1270" i="66"/>
  <c r="M1271" i="66"/>
  <c r="M1272" i="66"/>
  <c r="M1273" i="66"/>
  <c r="M1274" i="66"/>
  <c r="M1275" i="66"/>
  <c r="M1276" i="66"/>
  <c r="M1277" i="66"/>
  <c r="M1278" i="66"/>
  <c r="M1279" i="66"/>
  <c r="M1280" i="66"/>
  <c r="M1281" i="66"/>
  <c r="M1282" i="66"/>
  <c r="M1283" i="66"/>
  <c r="M1284" i="66"/>
  <c r="M1285" i="66"/>
  <c r="M1286" i="66"/>
  <c r="M1287" i="66"/>
  <c r="M1288" i="66"/>
  <c r="M1289" i="66"/>
  <c r="M1290" i="66"/>
  <c r="M1291" i="66"/>
  <c r="M1292" i="66"/>
  <c r="M1293" i="66"/>
  <c r="M1294" i="66"/>
  <c r="M1295" i="66"/>
  <c r="M1296" i="66"/>
  <c r="M1297" i="66"/>
  <c r="M1298" i="66"/>
  <c r="M1299" i="66"/>
  <c r="M1300" i="66"/>
  <c r="M1301" i="66"/>
  <c r="M1302" i="66"/>
  <c r="M1303" i="66"/>
  <c r="M1304" i="66"/>
  <c r="M1305" i="66"/>
  <c r="M1306" i="66"/>
  <c r="M1307" i="66"/>
  <c r="M1308" i="66"/>
  <c r="M1309" i="66"/>
  <c r="M1310" i="66"/>
  <c r="M1311" i="66"/>
  <c r="M1312" i="66"/>
  <c r="M1313" i="66"/>
  <c r="M1314" i="66"/>
  <c r="M1315" i="66"/>
  <c r="M1316" i="66"/>
  <c r="M1317" i="66"/>
  <c r="M1318" i="66"/>
  <c r="M1319" i="66"/>
  <c r="M1320" i="66"/>
  <c r="M1321" i="66"/>
  <c r="M1322" i="66"/>
  <c r="M1323" i="66"/>
  <c r="M1324" i="66"/>
  <c r="M1325" i="66"/>
  <c r="M1326" i="66"/>
  <c r="M1327" i="66"/>
  <c r="M1328" i="66"/>
  <c r="M1329" i="66"/>
  <c r="M1330" i="66"/>
  <c r="M1331" i="66"/>
  <c r="M1332" i="66"/>
  <c r="M1333" i="66"/>
  <c r="M1334" i="66"/>
  <c r="M1335" i="66"/>
  <c r="M1336" i="66"/>
  <c r="M1337" i="66"/>
  <c r="M1338" i="66"/>
  <c r="M1339" i="66"/>
  <c r="M1340" i="66"/>
  <c r="M1341" i="66"/>
  <c r="M1342" i="66"/>
  <c r="M1343" i="66"/>
  <c r="M1344" i="66"/>
  <c r="M1345" i="66"/>
  <c r="M1346" i="66"/>
  <c r="M1347" i="66"/>
  <c r="M1348" i="66"/>
  <c r="M1349" i="66"/>
  <c r="M1350" i="66"/>
  <c r="M1351" i="66"/>
  <c r="M1352" i="66"/>
  <c r="M1353" i="66"/>
  <c r="M1354" i="66"/>
  <c r="M1355" i="66"/>
  <c r="M1356" i="66"/>
  <c r="M1357" i="66"/>
  <c r="M1358" i="66"/>
  <c r="M1359" i="66"/>
  <c r="M1360" i="66"/>
  <c r="M1361" i="66"/>
  <c r="M1362" i="66"/>
  <c r="M1363" i="66"/>
  <c r="M1364" i="66"/>
  <c r="M1365" i="66"/>
  <c r="M1366" i="66"/>
  <c r="M1367" i="66"/>
  <c r="M1368" i="66"/>
  <c r="M1369" i="66"/>
  <c r="M1370" i="66"/>
  <c r="M1371" i="66"/>
  <c r="M1372" i="66"/>
  <c r="M1373" i="66"/>
  <c r="M1374" i="66"/>
  <c r="M1375" i="66"/>
  <c r="M1376" i="66"/>
  <c r="M1377" i="66"/>
  <c r="M1378" i="66"/>
  <c r="M1379" i="66"/>
  <c r="M1380" i="66"/>
  <c r="M1381" i="66"/>
  <c r="M1382" i="66"/>
  <c r="M1383" i="66"/>
  <c r="M1384" i="66"/>
  <c r="M1385" i="66"/>
  <c r="M1386" i="66"/>
  <c r="M1387" i="66"/>
  <c r="M1388" i="66"/>
  <c r="M1389" i="66"/>
  <c r="M1390" i="66"/>
  <c r="M1391" i="66"/>
  <c r="M1392" i="66"/>
  <c r="M1393" i="66"/>
  <c r="M1394" i="66"/>
  <c r="M1395" i="66"/>
  <c r="M1396" i="66"/>
  <c r="M1397" i="66"/>
  <c r="M1398" i="66"/>
  <c r="M1399" i="66"/>
  <c r="M1400" i="66"/>
  <c r="M1401" i="66"/>
  <c r="M1402" i="66"/>
  <c r="M1403" i="66"/>
  <c r="M1404" i="66"/>
  <c r="M1405" i="66"/>
  <c r="M1406" i="66"/>
  <c r="M1407" i="66"/>
  <c r="M1408" i="66"/>
  <c r="M1409" i="66"/>
  <c r="M1410" i="66"/>
  <c r="M1411" i="66"/>
  <c r="M1412" i="66"/>
  <c r="M1413" i="66"/>
  <c r="M1414" i="66"/>
  <c r="M1415" i="66"/>
  <c r="M1416" i="66"/>
  <c r="M1417" i="66"/>
  <c r="M1418" i="66"/>
  <c r="M1419" i="66"/>
  <c r="M1420" i="66"/>
  <c r="M1421" i="66"/>
  <c r="M1422" i="66"/>
  <c r="M1423" i="66"/>
  <c r="M1424" i="66"/>
  <c r="M1425" i="66"/>
  <c r="M1426" i="66"/>
  <c r="M1427" i="66"/>
  <c r="M1428" i="66"/>
  <c r="M1429" i="66"/>
  <c r="M1430" i="66"/>
  <c r="M1431" i="66"/>
  <c r="M1432" i="66"/>
  <c r="M1433" i="66"/>
  <c r="M1434" i="66"/>
  <c r="M1435" i="66"/>
  <c r="M1436" i="66"/>
  <c r="M1437" i="66"/>
  <c r="M1438" i="66"/>
  <c r="M1439" i="66"/>
  <c r="M1440" i="66"/>
  <c r="M1441" i="66"/>
  <c r="M1442" i="66"/>
  <c r="M1443" i="66"/>
  <c r="M1444" i="66"/>
  <c r="M1445" i="66"/>
  <c r="M1446" i="66"/>
  <c r="M1447" i="66"/>
  <c r="M1448" i="66"/>
  <c r="M1449" i="66"/>
  <c r="M1450" i="66"/>
  <c r="M1451" i="66"/>
  <c r="M1452" i="66"/>
  <c r="M1453" i="66"/>
  <c r="M1454" i="66"/>
  <c r="M1455" i="66"/>
  <c r="M1456" i="66"/>
  <c r="M1457" i="66"/>
  <c r="M1458" i="66"/>
  <c r="M1459" i="66"/>
  <c r="M1460" i="66"/>
  <c r="M1461" i="66"/>
  <c r="M1462" i="66"/>
  <c r="M1463" i="66"/>
  <c r="M1464" i="66"/>
  <c r="M1465" i="66"/>
  <c r="M1466" i="66"/>
  <c r="M1467" i="66"/>
  <c r="M1468" i="66"/>
  <c r="M1469" i="66"/>
  <c r="M1470" i="66"/>
  <c r="M1471" i="66"/>
  <c r="M1472" i="66"/>
  <c r="M1473" i="66"/>
  <c r="M1474" i="66"/>
  <c r="M1475" i="66"/>
  <c r="M1476" i="66"/>
  <c r="M1477" i="66"/>
  <c r="M1478" i="66"/>
  <c r="M1479" i="66"/>
  <c r="M1480" i="66"/>
  <c r="M1481" i="66"/>
  <c r="M1482" i="66"/>
  <c r="M1483" i="66"/>
  <c r="M1484" i="66"/>
  <c r="M1485" i="66"/>
  <c r="M1486" i="66"/>
  <c r="M1487" i="66"/>
  <c r="M1488" i="66"/>
  <c r="M1489" i="66"/>
  <c r="M1490" i="66"/>
  <c r="M1491" i="66"/>
  <c r="M1492" i="66"/>
  <c r="M1493" i="66"/>
  <c r="M1494" i="66"/>
  <c r="M1495" i="66"/>
  <c r="M1496" i="66"/>
  <c r="M1497" i="66"/>
  <c r="M1498" i="66"/>
  <c r="M1499" i="66"/>
  <c r="M1500" i="66"/>
  <c r="M1501" i="66"/>
  <c r="M1502" i="66"/>
  <c r="M1503" i="66"/>
  <c r="M1504" i="66"/>
  <c r="M1505" i="66"/>
  <c r="M1506" i="66"/>
  <c r="M1507" i="66"/>
  <c r="M1508" i="66"/>
  <c r="M1509" i="66"/>
  <c r="M1510" i="66"/>
  <c r="M1511" i="66"/>
  <c r="M1512" i="66"/>
  <c r="M1513" i="66"/>
  <c r="M1514" i="66"/>
  <c r="M1515" i="66"/>
  <c r="M1516" i="66"/>
  <c r="M1517" i="66"/>
  <c r="M1518" i="66"/>
  <c r="M1519" i="66"/>
  <c r="M1520" i="66"/>
  <c r="M1521" i="66"/>
  <c r="M1522" i="66"/>
  <c r="M1523" i="66"/>
  <c r="M1524" i="66"/>
  <c r="M1525" i="66"/>
  <c r="M1526" i="66"/>
  <c r="M1527" i="66"/>
  <c r="M1528" i="66"/>
  <c r="M1529" i="66"/>
  <c r="M1530" i="66"/>
  <c r="M1531" i="66"/>
  <c r="M1532" i="66"/>
  <c r="M1533" i="66"/>
  <c r="M1534" i="66"/>
  <c r="M1535" i="66"/>
  <c r="M1536" i="66"/>
  <c r="M1537" i="66"/>
  <c r="M1538" i="66"/>
  <c r="M1539" i="66"/>
  <c r="M1540" i="66"/>
  <c r="M1541" i="66"/>
  <c r="M2" i="66"/>
  <c r="J9" i="64"/>
  <c r="M13" i="65"/>
  <c r="J3" i="64"/>
  <c r="J4" i="64"/>
  <c r="J5" i="64"/>
  <c r="J6" i="64"/>
  <c r="J7" i="64"/>
  <c r="J8" i="64"/>
  <c r="J10" i="64"/>
  <c r="J11" i="64"/>
  <c r="J12" i="64"/>
  <c r="J13" i="64"/>
  <c r="J14" i="64"/>
  <c r="J15" i="64"/>
  <c r="J16" i="64"/>
  <c r="J17" i="64"/>
  <c r="J18" i="64"/>
  <c r="J19" i="64"/>
  <c r="J20" i="64"/>
  <c r="J21" i="64"/>
  <c r="J22" i="64"/>
  <c r="J23" i="64"/>
  <c r="J24" i="64"/>
  <c r="J25" i="64"/>
  <c r="J26" i="64"/>
  <c r="J27" i="64"/>
  <c r="J28" i="64"/>
  <c r="J29" i="64"/>
  <c r="J30" i="64"/>
  <c r="J31" i="64"/>
  <c r="J32" i="64"/>
  <c r="J33" i="64"/>
  <c r="J34" i="64"/>
  <c r="J35" i="64"/>
  <c r="J36" i="64"/>
  <c r="J37" i="64"/>
  <c r="J38" i="64"/>
  <c r="J39" i="64"/>
  <c r="J40" i="64"/>
  <c r="J41" i="64"/>
  <c r="J42" i="64"/>
  <c r="J43" i="64"/>
  <c r="J44" i="64"/>
  <c r="J45" i="64"/>
  <c r="J46" i="64"/>
  <c r="J47" i="64"/>
  <c r="J48" i="64"/>
  <c r="J49" i="64"/>
  <c r="J50" i="64"/>
  <c r="J51" i="64"/>
  <c r="J52" i="64"/>
  <c r="J53" i="64"/>
  <c r="J54" i="64"/>
  <c r="J55" i="64"/>
  <c r="J56" i="64"/>
  <c r="J57" i="64"/>
  <c r="J58" i="64"/>
  <c r="J59" i="64"/>
  <c r="J60" i="64"/>
  <c r="J61" i="64"/>
  <c r="J62" i="64"/>
  <c r="J63" i="64"/>
  <c r="J64" i="64"/>
  <c r="J65" i="64"/>
  <c r="J66" i="64"/>
  <c r="J67" i="64"/>
  <c r="J68" i="64"/>
  <c r="J69" i="64"/>
  <c r="J70" i="64"/>
  <c r="J71" i="64"/>
  <c r="J72" i="64"/>
  <c r="J73" i="64"/>
  <c r="J74" i="64"/>
  <c r="J75" i="64"/>
  <c r="J76" i="64"/>
  <c r="J77" i="64"/>
  <c r="J78" i="64"/>
  <c r="J79" i="64"/>
  <c r="J80" i="64"/>
  <c r="J81" i="64"/>
  <c r="J82" i="64"/>
  <c r="J83" i="64"/>
  <c r="J84" i="64"/>
  <c r="J85" i="64"/>
  <c r="J86" i="64"/>
  <c r="J87" i="64"/>
  <c r="J88" i="64"/>
  <c r="J89" i="64"/>
  <c r="J90" i="64"/>
  <c r="J91" i="64"/>
  <c r="J92" i="64"/>
  <c r="J93" i="64"/>
  <c r="J94" i="64"/>
  <c r="J95" i="64"/>
  <c r="J96" i="64"/>
  <c r="J97" i="64"/>
  <c r="J98" i="64"/>
  <c r="J99" i="64"/>
  <c r="J100" i="64"/>
  <c r="J101" i="64"/>
  <c r="J102" i="64"/>
  <c r="J103" i="64"/>
  <c r="J104" i="64"/>
  <c r="J105" i="64"/>
  <c r="J106" i="64"/>
  <c r="J107" i="64"/>
  <c r="J108" i="64"/>
  <c r="J109" i="64"/>
  <c r="J110" i="64"/>
  <c r="J111" i="64"/>
  <c r="J112" i="64"/>
  <c r="J113" i="64"/>
  <c r="J114" i="64"/>
  <c r="J115" i="64"/>
  <c r="J116" i="64"/>
  <c r="J117" i="64"/>
  <c r="J118" i="64"/>
  <c r="J119" i="64"/>
  <c r="J120" i="64"/>
  <c r="J121" i="64"/>
  <c r="J122" i="64"/>
  <c r="J123" i="64"/>
  <c r="J124" i="64"/>
  <c r="J125" i="64"/>
  <c r="J126" i="64"/>
  <c r="J127" i="64"/>
  <c r="J128" i="64"/>
  <c r="J129" i="64"/>
  <c r="J130" i="64"/>
  <c r="J131" i="64"/>
  <c r="J132" i="64"/>
  <c r="J133" i="64"/>
  <c r="J134" i="64"/>
  <c r="J135" i="64"/>
  <c r="J136" i="64"/>
  <c r="J137" i="64"/>
  <c r="J138" i="64"/>
  <c r="J139" i="64"/>
  <c r="J140" i="64"/>
  <c r="J141" i="64"/>
  <c r="J142" i="64"/>
  <c r="J143" i="64"/>
  <c r="J144" i="64"/>
  <c r="J145" i="64"/>
  <c r="J146" i="64"/>
  <c r="J147" i="64"/>
  <c r="J148" i="64"/>
  <c r="J149" i="64"/>
  <c r="J150" i="64"/>
  <c r="J151" i="64"/>
  <c r="J152" i="64"/>
  <c r="J153" i="64"/>
  <c r="J154" i="64"/>
  <c r="J155" i="64"/>
  <c r="J156" i="64"/>
  <c r="J157" i="64"/>
  <c r="J158" i="64"/>
  <c r="J159" i="64"/>
  <c r="J160" i="64"/>
  <c r="J161" i="64"/>
  <c r="J162" i="64"/>
  <c r="J163" i="64"/>
  <c r="J164" i="64"/>
  <c r="J165" i="64"/>
  <c r="J166" i="64"/>
  <c r="J167" i="64"/>
  <c r="J168" i="64"/>
  <c r="J169" i="64"/>
  <c r="J170" i="64"/>
  <c r="J171" i="64"/>
  <c r="J172" i="64"/>
  <c r="J173" i="64"/>
  <c r="J174" i="64"/>
  <c r="J175" i="64"/>
  <c r="J176" i="64"/>
  <c r="J177" i="64"/>
  <c r="J178" i="64"/>
  <c r="J179" i="64"/>
  <c r="J180" i="64"/>
  <c r="J181" i="64"/>
  <c r="J182" i="64"/>
  <c r="J183" i="64"/>
  <c r="J184" i="64"/>
  <c r="J185" i="64"/>
  <c r="J186" i="64"/>
  <c r="J187" i="64"/>
  <c r="J188" i="64"/>
  <c r="J189" i="64"/>
  <c r="J190" i="64"/>
  <c r="J191" i="64"/>
  <c r="J192" i="64"/>
  <c r="J193" i="64"/>
  <c r="J194" i="64"/>
  <c r="J195" i="64"/>
  <c r="J196" i="64"/>
  <c r="J197" i="64"/>
  <c r="J198" i="64"/>
  <c r="J199" i="64"/>
  <c r="J200" i="64"/>
  <c r="J201" i="64"/>
  <c r="J202" i="64"/>
  <c r="J203" i="64"/>
  <c r="J204" i="64"/>
  <c r="J205" i="64"/>
  <c r="J206" i="64"/>
  <c r="J207" i="64"/>
  <c r="J208" i="64"/>
  <c r="J209" i="64"/>
  <c r="J210" i="64"/>
  <c r="J211" i="64"/>
  <c r="J212" i="64"/>
  <c r="J213" i="64"/>
  <c r="J214" i="64"/>
  <c r="J215" i="64"/>
  <c r="J216" i="64"/>
  <c r="J217" i="64"/>
  <c r="J218" i="64"/>
  <c r="J219" i="64"/>
  <c r="J220" i="64"/>
  <c r="J221" i="64"/>
  <c r="J222" i="64"/>
  <c r="J223" i="64"/>
  <c r="J224" i="64"/>
  <c r="J225" i="64"/>
  <c r="J226" i="64"/>
  <c r="J227" i="64"/>
  <c r="J228" i="64"/>
  <c r="J229" i="64"/>
  <c r="J230" i="64"/>
  <c r="J231" i="64"/>
  <c r="J232" i="64"/>
  <c r="J233" i="64"/>
  <c r="J234" i="64"/>
  <c r="J235" i="64"/>
  <c r="J236" i="64"/>
  <c r="J237" i="64"/>
  <c r="J238" i="64"/>
  <c r="J239" i="64"/>
  <c r="J240" i="64"/>
  <c r="J241" i="64"/>
  <c r="J242" i="64"/>
  <c r="J243" i="64"/>
  <c r="J244" i="64"/>
  <c r="J245" i="64"/>
  <c r="J246" i="64"/>
  <c r="J247" i="64"/>
  <c r="J248" i="64"/>
  <c r="J249" i="64"/>
  <c r="J250" i="64"/>
  <c r="J251" i="64"/>
  <c r="J252" i="64"/>
  <c r="J253" i="64"/>
  <c r="J254" i="64"/>
  <c r="J255" i="64"/>
  <c r="J256" i="64"/>
  <c r="J257" i="64"/>
  <c r="J258" i="64"/>
  <c r="J259" i="64"/>
  <c r="J260" i="64"/>
  <c r="J261" i="64"/>
  <c r="J262" i="64"/>
  <c r="J263" i="64"/>
  <c r="J264" i="64"/>
  <c r="J265" i="64"/>
  <c r="J266" i="64"/>
  <c r="J267" i="64"/>
  <c r="J268" i="64"/>
  <c r="J269" i="64"/>
  <c r="J270" i="64"/>
  <c r="J271" i="64"/>
  <c r="J272" i="64"/>
  <c r="J273" i="64"/>
  <c r="J274" i="64"/>
  <c r="J275" i="64"/>
  <c r="J276" i="64"/>
  <c r="J277" i="64"/>
  <c r="J278" i="64"/>
  <c r="J279" i="64"/>
  <c r="J280" i="64"/>
  <c r="J281" i="64"/>
  <c r="J282" i="64"/>
  <c r="J283" i="64"/>
  <c r="J284" i="64"/>
  <c r="J285" i="64"/>
  <c r="J286" i="64"/>
  <c r="J287" i="64"/>
  <c r="J288" i="64"/>
  <c r="J289" i="64"/>
  <c r="J290" i="64"/>
  <c r="J291" i="64"/>
  <c r="J292" i="64"/>
  <c r="J293" i="64"/>
  <c r="J294" i="64"/>
  <c r="J295" i="64"/>
  <c r="J296" i="64"/>
  <c r="J297" i="64"/>
  <c r="J298" i="64"/>
  <c r="J299" i="64"/>
  <c r="J300" i="64"/>
  <c r="J301" i="64"/>
  <c r="J302" i="64"/>
  <c r="J303" i="64"/>
  <c r="J304" i="64"/>
  <c r="J305" i="64"/>
  <c r="J306" i="64"/>
  <c r="J307" i="64"/>
  <c r="J308" i="64"/>
  <c r="J309" i="64"/>
  <c r="M16" i="65"/>
  <c r="M17" i="65"/>
  <c r="M18" i="65"/>
  <c r="M19" i="65"/>
  <c r="M20" i="65"/>
  <c r="M21" i="65"/>
  <c r="M22" i="65"/>
  <c r="M23" i="65"/>
  <c r="M24" i="65"/>
  <c r="M25" i="65"/>
  <c r="M26" i="65"/>
  <c r="M27" i="65"/>
  <c r="M28" i="65"/>
  <c r="M29" i="65"/>
  <c r="M30" i="65"/>
  <c r="M31" i="65"/>
  <c r="M32" i="65"/>
  <c r="M33" i="65"/>
  <c r="M34" i="65"/>
  <c r="M35" i="65"/>
  <c r="M36" i="65"/>
  <c r="M37" i="65"/>
  <c r="M38" i="65"/>
  <c r="M39" i="65"/>
  <c r="M40" i="65"/>
  <c r="M41" i="65"/>
  <c r="M42" i="65"/>
  <c r="M43" i="65"/>
  <c r="M44" i="65"/>
  <c r="M45" i="65"/>
  <c r="M46" i="65"/>
  <c r="M47" i="65"/>
  <c r="M48" i="65"/>
  <c r="M49" i="65"/>
  <c r="M50" i="65"/>
  <c r="M51" i="65"/>
  <c r="M52" i="65"/>
  <c r="M53" i="65"/>
  <c r="M54" i="65"/>
  <c r="M55" i="65"/>
  <c r="M56" i="65"/>
  <c r="M57" i="65"/>
  <c r="M58" i="65"/>
  <c r="M59" i="65"/>
  <c r="M60" i="65"/>
  <c r="M61" i="65"/>
  <c r="M62" i="65"/>
  <c r="M63" i="65"/>
  <c r="M64" i="65"/>
  <c r="M65" i="65"/>
  <c r="M66" i="65"/>
  <c r="M67" i="65"/>
  <c r="M68" i="65"/>
  <c r="M69" i="65"/>
  <c r="M70" i="65"/>
  <c r="M71" i="65"/>
  <c r="M72" i="65"/>
  <c r="M73" i="65"/>
  <c r="M74" i="65"/>
  <c r="M75" i="65"/>
  <c r="M76" i="65"/>
  <c r="M77" i="65"/>
  <c r="M78" i="65"/>
  <c r="M79" i="65"/>
  <c r="M80" i="65"/>
  <c r="M81" i="65"/>
  <c r="M82" i="65"/>
  <c r="M83" i="65"/>
  <c r="M84" i="65"/>
  <c r="M85" i="65"/>
  <c r="M86" i="65"/>
  <c r="M87" i="65"/>
  <c r="M88" i="65"/>
  <c r="M89" i="65"/>
  <c r="M90" i="65"/>
  <c r="M91" i="65"/>
  <c r="M92" i="65"/>
  <c r="M93" i="65"/>
  <c r="M94" i="65"/>
  <c r="M95" i="65"/>
  <c r="M96" i="65"/>
  <c r="M97" i="65"/>
  <c r="M98" i="65"/>
  <c r="M99" i="65"/>
  <c r="M100" i="65"/>
  <c r="M101" i="65"/>
  <c r="M102" i="65"/>
  <c r="M103" i="65"/>
  <c r="M104" i="65"/>
  <c r="M105" i="65"/>
  <c r="M106" i="65"/>
  <c r="M107" i="65"/>
  <c r="M108" i="65"/>
  <c r="M109" i="65"/>
  <c r="M110" i="65"/>
  <c r="M111" i="65"/>
  <c r="M112" i="65"/>
  <c r="M113" i="65"/>
  <c r="M114" i="65"/>
  <c r="M115" i="65"/>
  <c r="M116" i="65"/>
  <c r="M117" i="65"/>
  <c r="M118" i="65"/>
  <c r="M119" i="65"/>
  <c r="M120" i="65"/>
  <c r="M121" i="65"/>
  <c r="M122" i="65"/>
  <c r="M123" i="65"/>
  <c r="M124" i="65"/>
  <c r="M125" i="65"/>
  <c r="M126" i="65"/>
  <c r="M127" i="65"/>
  <c r="M128" i="65"/>
  <c r="M129" i="65"/>
  <c r="M130" i="65"/>
  <c r="M131" i="65"/>
  <c r="M132" i="65"/>
  <c r="M133" i="65"/>
  <c r="M134" i="65"/>
  <c r="M135" i="65"/>
  <c r="M136" i="65"/>
  <c r="M137" i="65"/>
  <c r="M138" i="65"/>
  <c r="M139" i="65"/>
  <c r="M140" i="65"/>
  <c r="M141" i="65"/>
  <c r="M142" i="65"/>
  <c r="M143" i="65"/>
  <c r="M144" i="65"/>
  <c r="M145" i="65"/>
  <c r="M146" i="65"/>
  <c r="M147" i="65"/>
  <c r="M148" i="65"/>
  <c r="M149" i="65"/>
  <c r="M150" i="65"/>
  <c r="M151" i="65"/>
  <c r="M152" i="65"/>
  <c r="M153" i="65"/>
  <c r="M154" i="65"/>
  <c r="M155" i="65"/>
  <c r="M156" i="65"/>
  <c r="M157" i="65"/>
  <c r="M158" i="65"/>
  <c r="M159" i="65"/>
  <c r="M160" i="65"/>
  <c r="M161" i="65"/>
  <c r="M162" i="65"/>
  <c r="M163" i="65"/>
  <c r="M164" i="65"/>
  <c r="M165" i="65"/>
  <c r="M166" i="65"/>
  <c r="M167" i="65"/>
  <c r="M168" i="65"/>
  <c r="M169" i="65"/>
  <c r="M170" i="65"/>
  <c r="M171" i="65"/>
  <c r="M172" i="65"/>
  <c r="M173" i="65"/>
  <c r="M174" i="65"/>
  <c r="M175" i="65"/>
  <c r="M176" i="65"/>
  <c r="M177" i="65"/>
  <c r="M178" i="65"/>
  <c r="M179" i="65"/>
  <c r="M180" i="65"/>
  <c r="M181" i="65"/>
  <c r="M182" i="65"/>
  <c r="M183" i="65"/>
  <c r="M184" i="65"/>
  <c r="M185" i="65"/>
  <c r="M186" i="65"/>
  <c r="M187" i="65"/>
  <c r="M188" i="65"/>
  <c r="M189" i="65"/>
  <c r="M190" i="65"/>
  <c r="M191" i="65"/>
  <c r="M192" i="65"/>
  <c r="M193" i="65"/>
  <c r="M194" i="65"/>
  <c r="M195" i="65"/>
  <c r="M196" i="65"/>
  <c r="M197" i="65"/>
  <c r="M198" i="65"/>
  <c r="M199" i="65"/>
  <c r="M200" i="65"/>
  <c r="M201" i="65"/>
  <c r="M202" i="65"/>
  <c r="M203" i="65"/>
  <c r="M204" i="65"/>
  <c r="M205" i="65"/>
  <c r="M206" i="65"/>
  <c r="M207" i="65"/>
  <c r="M208" i="65"/>
  <c r="M209" i="65"/>
  <c r="M210" i="65"/>
  <c r="M211" i="65"/>
  <c r="M212" i="65"/>
  <c r="M213" i="65"/>
  <c r="M214" i="65"/>
  <c r="M215" i="65"/>
  <c r="M216" i="65"/>
  <c r="M217" i="65"/>
  <c r="M218" i="65"/>
  <c r="M219" i="65"/>
  <c r="M220" i="65"/>
  <c r="M221" i="65"/>
  <c r="M222" i="65"/>
  <c r="M223" i="65"/>
  <c r="M224" i="65"/>
  <c r="M225" i="65"/>
  <c r="M226" i="65"/>
  <c r="M227" i="65"/>
  <c r="M228" i="65"/>
  <c r="M229" i="65"/>
  <c r="M230" i="65"/>
  <c r="M231" i="65"/>
  <c r="M232" i="65"/>
  <c r="M233" i="65"/>
  <c r="M234" i="65"/>
  <c r="M235" i="65"/>
  <c r="M236" i="65"/>
  <c r="M237" i="65"/>
  <c r="M238" i="65"/>
  <c r="M239" i="65"/>
  <c r="M240" i="65"/>
  <c r="M241" i="65"/>
  <c r="M242" i="65"/>
  <c r="M243" i="65"/>
  <c r="M244" i="65"/>
  <c r="M245" i="65"/>
  <c r="M246" i="65"/>
  <c r="M247" i="65"/>
  <c r="M248" i="65"/>
  <c r="M249" i="65"/>
  <c r="M250" i="65"/>
  <c r="M251" i="65"/>
  <c r="M252" i="65"/>
  <c r="M253" i="65"/>
  <c r="M254" i="65"/>
  <c r="M255" i="65"/>
  <c r="M256" i="65"/>
  <c r="M257" i="65"/>
  <c r="M258" i="65"/>
  <c r="M259" i="65"/>
  <c r="M260" i="65"/>
  <c r="M261" i="65"/>
  <c r="M262" i="65"/>
  <c r="M263" i="65"/>
  <c r="M264" i="65"/>
  <c r="M265" i="65"/>
  <c r="M266" i="65"/>
  <c r="M267" i="65"/>
  <c r="M268" i="65"/>
  <c r="M269" i="65"/>
  <c r="M270" i="65"/>
  <c r="M271" i="65"/>
  <c r="M272" i="65"/>
  <c r="M273" i="65"/>
  <c r="M274" i="65"/>
  <c r="M275" i="65"/>
  <c r="M276" i="65"/>
  <c r="M277" i="65"/>
  <c r="M278" i="65"/>
  <c r="M279" i="65"/>
  <c r="M280" i="65"/>
  <c r="M281" i="65"/>
  <c r="M282" i="65"/>
  <c r="M283" i="65"/>
  <c r="M284" i="65"/>
  <c r="M285" i="65"/>
  <c r="M286" i="65"/>
  <c r="M287" i="65"/>
  <c r="M288" i="65"/>
  <c r="M289" i="65"/>
  <c r="M290" i="65"/>
  <c r="M291" i="65"/>
  <c r="M292" i="65"/>
  <c r="M293" i="65"/>
  <c r="M294" i="65"/>
  <c r="M295" i="65"/>
  <c r="M296" i="65"/>
  <c r="M297" i="65"/>
  <c r="M298" i="65"/>
  <c r="M299" i="65"/>
  <c r="M300" i="65"/>
  <c r="M301" i="65"/>
  <c r="M302" i="65"/>
  <c r="M303" i="65"/>
  <c r="M304" i="65"/>
  <c r="M305" i="65"/>
  <c r="M306" i="65"/>
  <c r="M307" i="65"/>
  <c r="M308" i="65"/>
  <c r="M309" i="65"/>
  <c r="M310" i="65"/>
  <c r="M311" i="65"/>
  <c r="M312" i="65"/>
  <c r="M313" i="65"/>
  <c r="M314" i="65"/>
  <c r="M315" i="65"/>
  <c r="M316" i="65"/>
  <c r="M317" i="65"/>
  <c r="M318" i="65"/>
  <c r="M319" i="65"/>
  <c r="M320" i="65"/>
  <c r="M321" i="65"/>
  <c r="M322" i="65"/>
  <c r="M323" i="65"/>
  <c r="M324" i="65"/>
  <c r="M325" i="65"/>
  <c r="M326" i="65"/>
  <c r="M327" i="65"/>
  <c r="M328" i="65"/>
  <c r="M329" i="65"/>
  <c r="M330" i="65"/>
  <c r="M331" i="65"/>
  <c r="M332" i="65"/>
  <c r="M333" i="65"/>
  <c r="M334" i="65"/>
  <c r="M335" i="65"/>
  <c r="M336" i="65"/>
  <c r="M337" i="65"/>
  <c r="M338" i="65"/>
  <c r="M339" i="65"/>
  <c r="M340" i="65"/>
  <c r="M341" i="65"/>
  <c r="M342" i="65"/>
  <c r="M343" i="65"/>
  <c r="M344" i="65"/>
  <c r="M345" i="65"/>
  <c r="M346" i="65"/>
  <c r="M347" i="65"/>
  <c r="M348" i="65"/>
  <c r="M349" i="65"/>
  <c r="M350" i="65"/>
  <c r="M351" i="65"/>
  <c r="M352" i="65"/>
  <c r="M353" i="65"/>
  <c r="M354" i="65"/>
  <c r="M355" i="65"/>
  <c r="M356" i="65"/>
  <c r="M357" i="65"/>
  <c r="M358" i="65"/>
  <c r="M359" i="65"/>
  <c r="M360" i="65"/>
  <c r="M361" i="65"/>
  <c r="M362" i="65"/>
  <c r="M363" i="65"/>
  <c r="M364" i="65"/>
  <c r="M365" i="65"/>
  <c r="M366" i="65"/>
  <c r="M367" i="65"/>
  <c r="M368" i="65"/>
  <c r="M369" i="65"/>
  <c r="M370" i="65"/>
  <c r="M371" i="65"/>
  <c r="M372" i="65"/>
  <c r="M373" i="65"/>
  <c r="M374" i="65"/>
  <c r="M375" i="65"/>
  <c r="M376" i="65"/>
  <c r="M377" i="65"/>
  <c r="M378" i="65"/>
  <c r="M379" i="65"/>
  <c r="M380" i="65"/>
  <c r="M381" i="65"/>
  <c r="M382" i="65"/>
  <c r="M383" i="65"/>
  <c r="M384" i="65"/>
  <c r="M385" i="65"/>
  <c r="M386" i="65"/>
  <c r="M387" i="65"/>
  <c r="M388" i="65"/>
  <c r="M389" i="65"/>
  <c r="M390" i="65"/>
  <c r="M391" i="65"/>
  <c r="M392" i="65"/>
  <c r="M393" i="65"/>
  <c r="M394" i="65"/>
  <c r="M395" i="65"/>
  <c r="M396" i="65"/>
  <c r="M397" i="65"/>
  <c r="M398" i="65"/>
  <c r="M399" i="65"/>
  <c r="M400" i="65"/>
  <c r="M401" i="65"/>
  <c r="M402" i="65"/>
  <c r="M403" i="65"/>
  <c r="M404" i="65"/>
  <c r="M405" i="65"/>
  <c r="M406" i="65"/>
  <c r="M407" i="65"/>
  <c r="M408" i="65"/>
  <c r="M409" i="65"/>
  <c r="M410" i="65"/>
  <c r="M411" i="65"/>
  <c r="M412" i="65"/>
  <c r="M413" i="65"/>
  <c r="M414" i="65"/>
  <c r="M415" i="65"/>
  <c r="M416" i="65"/>
  <c r="M417" i="65"/>
  <c r="M418" i="65"/>
  <c r="M419" i="65"/>
  <c r="M420" i="65"/>
  <c r="M421" i="65"/>
  <c r="M422" i="65"/>
  <c r="M423" i="65"/>
  <c r="M424" i="65"/>
  <c r="M425" i="65"/>
  <c r="M426" i="65"/>
  <c r="M427" i="65"/>
  <c r="M428" i="65"/>
  <c r="M429" i="65"/>
  <c r="M430" i="65"/>
  <c r="M431" i="65"/>
  <c r="M432" i="65"/>
  <c r="M433" i="65"/>
  <c r="M434" i="65"/>
  <c r="M435" i="65"/>
  <c r="M436" i="65"/>
  <c r="M437" i="65"/>
  <c r="M438" i="65"/>
  <c r="M439" i="65"/>
  <c r="M440" i="65"/>
  <c r="M441" i="65"/>
  <c r="M442" i="65"/>
  <c r="M443" i="65"/>
  <c r="M444" i="65"/>
  <c r="M445" i="65"/>
  <c r="M446" i="65"/>
  <c r="M447" i="65"/>
  <c r="M448" i="65"/>
  <c r="M449" i="65"/>
  <c r="M450" i="65"/>
  <c r="M451" i="65"/>
  <c r="M452" i="65"/>
  <c r="M453" i="65"/>
  <c r="M454" i="65"/>
  <c r="M455" i="65"/>
  <c r="M456" i="65"/>
  <c r="M457" i="65"/>
  <c r="M458" i="65"/>
  <c r="M459" i="65"/>
  <c r="M460" i="65"/>
  <c r="M461" i="65"/>
  <c r="M462" i="65"/>
  <c r="M463" i="65"/>
  <c r="M464" i="65"/>
  <c r="M465" i="65"/>
  <c r="M466" i="65"/>
  <c r="M467" i="65"/>
  <c r="M468" i="65"/>
  <c r="M469" i="65"/>
  <c r="M470" i="65"/>
  <c r="M471" i="65"/>
  <c r="M472" i="65"/>
  <c r="M473" i="65"/>
  <c r="M474" i="65"/>
  <c r="M475" i="65"/>
  <c r="M476" i="65"/>
  <c r="M477" i="65"/>
  <c r="M478" i="65"/>
  <c r="M479" i="65"/>
  <c r="M480" i="65"/>
  <c r="M481" i="65"/>
  <c r="M482" i="65"/>
  <c r="M483" i="65"/>
  <c r="M484" i="65"/>
  <c r="M485" i="65"/>
  <c r="M486" i="65"/>
  <c r="M487" i="65"/>
  <c r="M488" i="65"/>
  <c r="M489" i="65"/>
  <c r="M490" i="65"/>
  <c r="M491" i="65"/>
  <c r="M492" i="65"/>
  <c r="M493" i="65"/>
  <c r="M494" i="65"/>
  <c r="M495" i="65"/>
  <c r="M496" i="65"/>
  <c r="M497" i="65"/>
  <c r="M498" i="65"/>
  <c r="M499" i="65"/>
  <c r="M500" i="65"/>
  <c r="M501" i="65"/>
  <c r="M502" i="65"/>
  <c r="M503" i="65"/>
  <c r="M504" i="65"/>
  <c r="M505" i="65"/>
  <c r="M506" i="65"/>
  <c r="M507" i="65"/>
  <c r="M508" i="65"/>
  <c r="M509" i="65"/>
  <c r="M510" i="65"/>
  <c r="M511" i="65"/>
  <c r="M512" i="65"/>
  <c r="M513" i="65"/>
  <c r="M514" i="65"/>
  <c r="M515" i="65"/>
  <c r="M516" i="65"/>
  <c r="M517" i="65"/>
  <c r="M518" i="65"/>
  <c r="M519" i="65"/>
  <c r="M520" i="65"/>
  <c r="M521" i="65"/>
  <c r="M522" i="65"/>
  <c r="M523" i="65"/>
  <c r="M524" i="65"/>
  <c r="M525" i="65"/>
  <c r="M526" i="65"/>
  <c r="M527" i="65"/>
  <c r="M528" i="65"/>
  <c r="M529" i="65"/>
  <c r="M530" i="65"/>
  <c r="M531" i="65"/>
  <c r="M532" i="65"/>
  <c r="M533" i="65"/>
  <c r="M534" i="65"/>
  <c r="M535" i="65"/>
  <c r="M536" i="65"/>
  <c r="M537" i="65"/>
  <c r="M538" i="65"/>
  <c r="M539" i="65"/>
  <c r="M540" i="65"/>
  <c r="M541" i="65"/>
  <c r="M542" i="65"/>
  <c r="M543" i="65"/>
  <c r="M544" i="65"/>
  <c r="M545" i="65"/>
  <c r="M546" i="65"/>
  <c r="M547" i="65"/>
  <c r="M548" i="65"/>
  <c r="M549" i="65"/>
  <c r="M550" i="65"/>
  <c r="M551" i="65"/>
  <c r="M552" i="65"/>
  <c r="M553" i="65"/>
  <c r="M554" i="65"/>
  <c r="M555" i="65"/>
  <c r="M556" i="65"/>
  <c r="M557" i="65"/>
  <c r="M558" i="65"/>
  <c r="M559" i="65"/>
  <c r="M560" i="65"/>
  <c r="M561" i="65"/>
  <c r="M562" i="65"/>
  <c r="M563" i="65"/>
  <c r="M564" i="65"/>
  <c r="M565" i="65"/>
  <c r="M566" i="65"/>
  <c r="M567" i="65"/>
  <c r="M568" i="65"/>
  <c r="M569" i="65"/>
  <c r="M570" i="65"/>
  <c r="M571" i="65"/>
  <c r="M572" i="65"/>
  <c r="M573" i="65"/>
  <c r="M574" i="65"/>
  <c r="M575" i="65"/>
  <c r="M576" i="65"/>
  <c r="M577" i="65"/>
  <c r="M578" i="65"/>
  <c r="M579" i="65"/>
  <c r="M580" i="65"/>
  <c r="M581" i="65"/>
  <c r="M582" i="65"/>
  <c r="M583" i="65"/>
  <c r="M584" i="65"/>
  <c r="M585" i="65"/>
  <c r="M586" i="65"/>
  <c r="M587" i="65"/>
  <c r="M588" i="65"/>
  <c r="M589" i="65"/>
  <c r="M590" i="65"/>
  <c r="M591" i="65"/>
  <c r="M592" i="65"/>
  <c r="M593" i="65"/>
  <c r="M594" i="65"/>
  <c r="M595" i="65"/>
  <c r="M596" i="65"/>
  <c r="M597" i="65"/>
  <c r="M598" i="65"/>
  <c r="M599" i="65"/>
  <c r="M600" i="65"/>
  <c r="M601" i="65"/>
  <c r="M602" i="65"/>
  <c r="M603" i="65"/>
  <c r="M604" i="65"/>
  <c r="M605" i="65"/>
  <c r="M606" i="65"/>
  <c r="M607" i="65"/>
  <c r="M608" i="65"/>
  <c r="M609" i="65"/>
  <c r="M610" i="65"/>
  <c r="M611" i="65"/>
  <c r="M612" i="65"/>
  <c r="M613" i="65"/>
  <c r="M614" i="65"/>
  <c r="M615" i="65"/>
  <c r="M616" i="65"/>
  <c r="M617" i="65"/>
  <c r="M618" i="65"/>
  <c r="M619" i="65"/>
  <c r="M620" i="65"/>
  <c r="M621" i="65"/>
  <c r="M622" i="65"/>
  <c r="M623" i="65"/>
  <c r="M624" i="65"/>
  <c r="M625" i="65"/>
  <c r="M626" i="65"/>
  <c r="M627" i="65"/>
  <c r="M628" i="65"/>
  <c r="M629" i="65"/>
  <c r="M630" i="65"/>
  <c r="M631" i="65"/>
  <c r="M632" i="65"/>
  <c r="M633" i="65"/>
  <c r="M634" i="65"/>
  <c r="M635" i="65"/>
  <c r="M636" i="65"/>
  <c r="M637" i="65"/>
  <c r="M638" i="65"/>
  <c r="M639" i="65"/>
  <c r="M640" i="65"/>
  <c r="M641" i="65"/>
  <c r="M642" i="65"/>
  <c r="M643" i="65"/>
  <c r="M644" i="65"/>
  <c r="M645" i="65"/>
  <c r="M646" i="65"/>
  <c r="M647" i="65"/>
  <c r="M648" i="65"/>
  <c r="M649" i="65"/>
  <c r="M650" i="65"/>
  <c r="M651" i="65"/>
  <c r="M652" i="65"/>
  <c r="M653" i="65"/>
  <c r="M654" i="65"/>
  <c r="M655" i="65"/>
  <c r="M656" i="65"/>
  <c r="M657" i="65"/>
  <c r="M658" i="65"/>
  <c r="M659" i="65"/>
  <c r="M660" i="65"/>
  <c r="M661" i="65"/>
  <c r="M662" i="65"/>
  <c r="M663" i="65"/>
  <c r="M664" i="65"/>
  <c r="M665" i="65"/>
  <c r="M666" i="65"/>
  <c r="M667" i="65"/>
  <c r="M668" i="65"/>
  <c r="M669" i="65"/>
  <c r="M670" i="65"/>
  <c r="M671" i="65"/>
  <c r="M672" i="65"/>
  <c r="M673" i="65"/>
  <c r="M674" i="65"/>
  <c r="M675" i="65"/>
  <c r="M676" i="65"/>
  <c r="M677" i="65"/>
  <c r="M678" i="65"/>
  <c r="M679" i="65"/>
  <c r="M680" i="65"/>
  <c r="M681" i="65"/>
  <c r="M682" i="65"/>
  <c r="M683" i="65"/>
  <c r="M684" i="65"/>
  <c r="M685" i="65"/>
  <c r="M686" i="65"/>
  <c r="M687" i="65"/>
  <c r="M688" i="65"/>
  <c r="M689" i="65"/>
  <c r="M690" i="65"/>
  <c r="M691" i="65"/>
  <c r="M692" i="65"/>
  <c r="M693" i="65"/>
  <c r="M694" i="65"/>
  <c r="M695" i="65"/>
  <c r="M696" i="65"/>
  <c r="M697" i="65"/>
  <c r="M698" i="65"/>
  <c r="M699" i="65"/>
  <c r="M700" i="65"/>
  <c r="M701" i="65"/>
  <c r="M702" i="65"/>
  <c r="M703" i="65"/>
  <c r="M704" i="65"/>
  <c r="M705" i="65"/>
  <c r="M706" i="65"/>
  <c r="M707" i="65"/>
  <c r="M708" i="65"/>
  <c r="M709" i="65"/>
  <c r="M710" i="65"/>
  <c r="M711" i="65"/>
  <c r="M712" i="65"/>
  <c r="M713" i="65"/>
  <c r="M714" i="65"/>
  <c r="M715" i="65"/>
  <c r="M716" i="65"/>
  <c r="M717" i="65"/>
  <c r="M718" i="65"/>
  <c r="M719" i="65"/>
  <c r="M720" i="65"/>
  <c r="M721" i="65"/>
  <c r="M722" i="65"/>
  <c r="M723" i="65"/>
  <c r="M724" i="65"/>
  <c r="M725" i="65"/>
  <c r="M726" i="65"/>
  <c r="M727" i="65"/>
  <c r="M728" i="65"/>
  <c r="M729" i="65"/>
  <c r="M730" i="65"/>
  <c r="M731" i="65"/>
  <c r="M732" i="65"/>
  <c r="M733" i="65"/>
  <c r="M734" i="65"/>
  <c r="M735" i="65"/>
  <c r="M736" i="65"/>
  <c r="M737" i="65"/>
  <c r="M738" i="65"/>
  <c r="M739" i="65"/>
  <c r="M740" i="65"/>
  <c r="M741" i="65"/>
  <c r="M742" i="65"/>
  <c r="M743" i="65"/>
  <c r="M744" i="65"/>
  <c r="M745" i="65"/>
  <c r="M746" i="65"/>
  <c r="M747" i="65"/>
  <c r="M748" i="65"/>
  <c r="M749" i="65"/>
  <c r="M750" i="65"/>
  <c r="M751" i="65"/>
  <c r="M752" i="65"/>
  <c r="M753" i="65"/>
  <c r="M754" i="65"/>
  <c r="M755" i="65"/>
  <c r="M756" i="65"/>
  <c r="M757" i="65"/>
  <c r="M758" i="65"/>
  <c r="M759" i="65"/>
  <c r="M760" i="65"/>
  <c r="M761" i="65"/>
  <c r="M762" i="65"/>
  <c r="M763" i="65"/>
  <c r="M764" i="65"/>
  <c r="M765" i="65"/>
  <c r="M766" i="65"/>
  <c r="M767" i="65"/>
  <c r="M768" i="65"/>
  <c r="M769" i="65"/>
  <c r="M770" i="65"/>
  <c r="M771" i="65"/>
  <c r="M772" i="65"/>
  <c r="M773" i="65"/>
  <c r="M774" i="65"/>
  <c r="M775" i="65"/>
  <c r="M776" i="65"/>
  <c r="M777" i="65"/>
  <c r="M778" i="65"/>
  <c r="M779" i="65"/>
  <c r="M780" i="65"/>
  <c r="M781" i="65"/>
  <c r="M782" i="65"/>
  <c r="M783" i="65"/>
  <c r="M784" i="65"/>
  <c r="M785" i="65"/>
  <c r="M786" i="65"/>
  <c r="M787" i="65"/>
  <c r="M788" i="65"/>
  <c r="M789" i="65"/>
  <c r="M790" i="65"/>
  <c r="M791" i="65"/>
  <c r="M792" i="65"/>
  <c r="M793" i="65"/>
  <c r="M794" i="65"/>
  <c r="M795" i="65"/>
  <c r="M796" i="65"/>
  <c r="M797" i="65"/>
  <c r="M798" i="65"/>
  <c r="M799" i="65"/>
  <c r="M800" i="65"/>
  <c r="M801" i="65"/>
  <c r="M802" i="65"/>
  <c r="M803" i="65"/>
  <c r="M804" i="65"/>
  <c r="M805" i="65"/>
  <c r="M806" i="65"/>
  <c r="M807" i="65"/>
  <c r="M808" i="65"/>
  <c r="M809" i="65"/>
  <c r="M810" i="65"/>
  <c r="M811" i="65"/>
  <c r="M812" i="65"/>
  <c r="M813" i="65"/>
  <c r="M814" i="65"/>
  <c r="M815" i="65"/>
  <c r="M816" i="65"/>
  <c r="M817" i="65"/>
  <c r="M818" i="65"/>
  <c r="M819" i="65"/>
  <c r="M820" i="65"/>
  <c r="M821" i="65"/>
  <c r="M822" i="65"/>
  <c r="M823" i="65"/>
  <c r="M824" i="65"/>
  <c r="M825" i="65"/>
  <c r="M826" i="65"/>
  <c r="M827" i="65"/>
  <c r="M828" i="65"/>
  <c r="M829" i="65"/>
  <c r="M830" i="65"/>
  <c r="M831" i="65"/>
  <c r="M832" i="65"/>
  <c r="M833" i="65"/>
  <c r="M834" i="65"/>
  <c r="M835" i="65"/>
  <c r="M836" i="65"/>
  <c r="M837" i="65"/>
  <c r="M838" i="65"/>
  <c r="M839" i="65"/>
  <c r="M840" i="65"/>
  <c r="M841" i="65"/>
  <c r="M842" i="65"/>
  <c r="M843" i="65"/>
  <c r="M844" i="65"/>
  <c r="M845" i="65"/>
  <c r="M846" i="65"/>
  <c r="M847" i="65"/>
  <c r="M848" i="65"/>
  <c r="M849" i="65"/>
  <c r="M850" i="65"/>
  <c r="M851" i="65"/>
  <c r="M852" i="65"/>
  <c r="M853" i="65"/>
  <c r="M854" i="65"/>
  <c r="M855" i="65"/>
  <c r="M856" i="65"/>
  <c r="M857" i="65"/>
  <c r="M858" i="65"/>
  <c r="M859" i="65"/>
  <c r="M860" i="65"/>
  <c r="M861" i="65"/>
  <c r="M862" i="65"/>
  <c r="M863" i="65"/>
  <c r="M864" i="65"/>
  <c r="M865" i="65"/>
  <c r="M866" i="65"/>
  <c r="M867" i="65"/>
  <c r="M868" i="65"/>
  <c r="M869" i="65"/>
  <c r="M870" i="65"/>
  <c r="M871" i="65"/>
  <c r="M872" i="65"/>
  <c r="M873" i="65"/>
  <c r="M874" i="65"/>
  <c r="M875" i="65"/>
  <c r="M876" i="65"/>
  <c r="M877" i="65"/>
  <c r="M878" i="65"/>
  <c r="M879" i="65"/>
  <c r="M880" i="65"/>
  <c r="M881" i="65"/>
  <c r="M882" i="65"/>
  <c r="M883" i="65"/>
  <c r="M884" i="65"/>
  <c r="M885" i="65"/>
  <c r="M886" i="65"/>
  <c r="M887" i="65"/>
  <c r="M888" i="65"/>
  <c r="M889" i="65"/>
  <c r="M890" i="65"/>
  <c r="M891" i="65"/>
  <c r="M892" i="65"/>
  <c r="M893" i="65"/>
  <c r="M894" i="65"/>
  <c r="M895" i="65"/>
  <c r="M896" i="65"/>
  <c r="M897" i="65"/>
  <c r="M898" i="65"/>
  <c r="M899" i="65"/>
  <c r="M900" i="65"/>
  <c r="M901" i="65"/>
  <c r="M902" i="65"/>
  <c r="M903" i="65"/>
  <c r="M904" i="65"/>
  <c r="M905" i="65"/>
  <c r="M906" i="65"/>
  <c r="M907" i="65"/>
  <c r="M908" i="65"/>
  <c r="M909" i="65"/>
  <c r="M910" i="65"/>
  <c r="M911" i="65"/>
  <c r="M912" i="65"/>
  <c r="M913" i="65"/>
  <c r="M914" i="65"/>
  <c r="M915" i="65"/>
  <c r="M916" i="65"/>
  <c r="M917" i="65"/>
  <c r="M918" i="65"/>
  <c r="M919" i="65"/>
  <c r="M920" i="65"/>
  <c r="M921" i="65"/>
  <c r="M922" i="65"/>
  <c r="M923" i="65"/>
  <c r="M924" i="65"/>
  <c r="M925" i="65"/>
  <c r="M926" i="65"/>
  <c r="M927" i="65"/>
  <c r="M928" i="65"/>
  <c r="M929" i="65"/>
  <c r="M930" i="65"/>
  <c r="M931" i="65"/>
  <c r="M932" i="65"/>
  <c r="M933" i="65"/>
  <c r="M934" i="65"/>
  <c r="M935" i="65"/>
  <c r="M936" i="65"/>
  <c r="M937" i="65"/>
  <c r="M938" i="65"/>
  <c r="M939" i="65"/>
  <c r="M940" i="65"/>
  <c r="M941" i="65"/>
  <c r="M942" i="65"/>
  <c r="M943" i="65"/>
  <c r="M944" i="65"/>
  <c r="M945" i="65"/>
  <c r="M946" i="65"/>
  <c r="M947" i="65"/>
  <c r="M948" i="65"/>
  <c r="M949" i="65"/>
  <c r="M950" i="65"/>
  <c r="M951" i="65"/>
  <c r="M952" i="65"/>
  <c r="M953" i="65"/>
  <c r="M954" i="65"/>
  <c r="M955" i="65"/>
  <c r="M956" i="65"/>
  <c r="M957" i="65"/>
  <c r="M958" i="65"/>
  <c r="M959" i="65"/>
  <c r="M960" i="65"/>
  <c r="M961" i="65"/>
  <c r="M962" i="65"/>
  <c r="M963" i="65"/>
  <c r="M964" i="65"/>
  <c r="M965" i="65"/>
  <c r="M966" i="65"/>
  <c r="M967" i="65"/>
  <c r="M968" i="65"/>
  <c r="M969" i="65"/>
  <c r="M970" i="65"/>
  <c r="M971" i="65"/>
  <c r="M972" i="65"/>
  <c r="M973" i="65"/>
  <c r="M974" i="65"/>
  <c r="M975" i="65"/>
  <c r="M976" i="65"/>
  <c r="M977" i="65"/>
  <c r="M978" i="65"/>
  <c r="M979" i="65"/>
  <c r="M980" i="65"/>
  <c r="M981" i="65"/>
  <c r="M982" i="65"/>
  <c r="M983" i="65"/>
  <c r="M984" i="65"/>
  <c r="M985" i="65"/>
  <c r="M986" i="65"/>
  <c r="M987" i="65"/>
  <c r="M988" i="65"/>
  <c r="M989" i="65"/>
  <c r="M990" i="65"/>
  <c r="M991" i="65"/>
  <c r="M992" i="65"/>
  <c r="M993" i="65"/>
  <c r="M994" i="65"/>
  <c r="M995" i="65"/>
  <c r="M996" i="65"/>
  <c r="M997" i="65"/>
  <c r="M998" i="65"/>
  <c r="M999" i="65"/>
  <c r="M1000" i="65"/>
  <c r="M1001" i="65"/>
  <c r="M1002" i="65"/>
  <c r="M1003" i="65"/>
  <c r="M1004" i="65"/>
  <c r="M1005" i="65"/>
  <c r="M1006" i="65"/>
  <c r="M1007" i="65"/>
  <c r="M1008" i="65"/>
  <c r="M1009" i="65"/>
  <c r="M1010" i="65"/>
  <c r="M1011" i="65"/>
  <c r="M1012" i="65"/>
  <c r="M1013" i="65"/>
  <c r="M1014" i="65"/>
  <c r="M1015" i="65"/>
  <c r="M1016" i="65"/>
  <c r="M1017" i="65"/>
  <c r="M1018" i="65"/>
  <c r="M1019" i="65"/>
  <c r="M1020" i="65"/>
  <c r="M1021" i="65"/>
  <c r="M1022" i="65"/>
  <c r="M1023" i="65"/>
  <c r="M1024" i="65"/>
  <c r="M1025" i="65"/>
  <c r="M1026" i="65"/>
  <c r="M1027" i="65"/>
  <c r="M1028" i="65"/>
  <c r="M1029" i="65"/>
  <c r="M1030" i="65"/>
  <c r="M1031" i="65"/>
  <c r="M1032" i="65"/>
  <c r="M1033" i="65"/>
  <c r="M1034" i="65"/>
  <c r="M1035" i="65"/>
  <c r="M1036" i="65"/>
  <c r="M1037" i="65"/>
  <c r="M1038" i="65"/>
  <c r="M1039" i="65"/>
  <c r="M1040" i="65"/>
  <c r="M1041" i="65"/>
  <c r="M1042" i="65"/>
  <c r="M1043" i="65"/>
  <c r="M1044" i="65"/>
  <c r="M1045" i="65"/>
  <c r="M1046" i="65"/>
  <c r="M1047" i="65"/>
  <c r="M1048" i="65"/>
  <c r="M1049" i="65"/>
  <c r="M1050" i="65"/>
  <c r="M1051" i="65"/>
  <c r="M1052" i="65"/>
  <c r="M1053" i="65"/>
  <c r="M1054" i="65"/>
  <c r="M1055" i="65"/>
  <c r="M1056" i="65"/>
  <c r="M1057" i="65"/>
  <c r="M1058" i="65"/>
  <c r="M1059" i="65"/>
  <c r="M1060" i="65"/>
  <c r="M1061" i="65"/>
  <c r="M1062" i="65"/>
  <c r="M1063" i="65"/>
  <c r="M1064" i="65"/>
  <c r="M1065" i="65"/>
  <c r="M1066" i="65"/>
  <c r="M1067" i="65"/>
  <c r="M1068" i="65"/>
  <c r="M1069" i="65"/>
  <c r="M1070" i="65"/>
  <c r="M1071" i="65"/>
  <c r="M1072" i="65"/>
  <c r="M1073" i="65"/>
  <c r="M1074" i="65"/>
  <c r="M1075" i="65"/>
  <c r="M1076" i="65"/>
  <c r="M1077" i="65"/>
  <c r="M1078" i="65"/>
  <c r="M1079" i="65"/>
  <c r="M1080" i="65"/>
  <c r="M1081" i="65"/>
  <c r="M1082" i="65"/>
  <c r="M1083" i="65"/>
  <c r="M1084" i="65"/>
  <c r="M1085" i="65"/>
  <c r="M1086" i="65"/>
  <c r="M1087" i="65"/>
  <c r="M1088" i="65"/>
  <c r="M1089" i="65"/>
  <c r="M1090" i="65"/>
  <c r="M1091" i="65"/>
  <c r="M1092" i="65"/>
  <c r="M1093" i="65"/>
  <c r="M1094" i="65"/>
  <c r="M1095" i="65"/>
  <c r="M1096" i="65"/>
  <c r="M1097" i="65"/>
  <c r="M1098" i="65"/>
  <c r="M1099" i="65"/>
  <c r="M1100" i="65"/>
  <c r="M1101" i="65"/>
  <c r="M1102" i="65"/>
  <c r="M1103" i="65"/>
  <c r="M1104" i="65"/>
  <c r="M1105" i="65"/>
  <c r="M1106" i="65"/>
  <c r="M1107" i="65"/>
  <c r="M1108" i="65"/>
  <c r="M1109" i="65"/>
  <c r="M1110" i="65"/>
  <c r="M1111" i="65"/>
  <c r="M1112" i="65"/>
  <c r="M1113" i="65"/>
  <c r="M1114" i="65"/>
  <c r="M1115" i="65"/>
  <c r="M1116" i="65"/>
  <c r="M1117" i="65"/>
  <c r="M1118" i="65"/>
  <c r="M1119" i="65"/>
  <c r="M1120" i="65"/>
  <c r="M1121" i="65"/>
  <c r="M1122" i="65"/>
  <c r="M1123" i="65"/>
  <c r="M1124" i="65"/>
  <c r="M1125" i="65"/>
  <c r="M1126" i="65"/>
  <c r="M1127" i="65"/>
  <c r="M1128" i="65"/>
  <c r="M1129" i="65"/>
  <c r="M1130" i="65"/>
  <c r="M1131" i="65"/>
  <c r="M1132" i="65"/>
  <c r="M1133" i="65"/>
  <c r="M1134" i="65"/>
  <c r="M1135" i="65"/>
  <c r="M1136" i="65"/>
  <c r="M1137" i="65"/>
  <c r="M1138" i="65"/>
  <c r="M1139" i="65"/>
  <c r="M1140" i="65"/>
  <c r="M1141" i="65"/>
  <c r="M1142" i="65"/>
  <c r="M1143" i="65"/>
  <c r="M1144" i="65"/>
  <c r="M1145" i="65"/>
  <c r="M1146" i="65"/>
  <c r="M1147" i="65"/>
  <c r="M1148" i="65"/>
  <c r="M1149" i="65"/>
  <c r="M1150" i="65"/>
  <c r="M1151" i="65"/>
  <c r="M1152" i="65"/>
  <c r="M1153" i="65"/>
  <c r="M1154" i="65"/>
  <c r="M1155" i="65"/>
  <c r="M1156" i="65"/>
  <c r="M1157" i="65"/>
  <c r="M1158" i="65"/>
  <c r="M1159" i="65"/>
  <c r="M1160" i="65"/>
  <c r="M1161" i="65"/>
  <c r="M1162" i="65"/>
  <c r="M1163" i="65"/>
  <c r="M1164" i="65"/>
  <c r="M1165" i="65"/>
  <c r="M1166" i="65"/>
  <c r="M1167" i="65"/>
  <c r="M1168" i="65"/>
  <c r="M1169" i="65"/>
  <c r="M1170" i="65"/>
  <c r="M1171" i="65"/>
  <c r="M1172" i="65"/>
  <c r="M1173" i="65"/>
  <c r="M1174" i="65"/>
  <c r="M1175" i="65"/>
  <c r="M1176" i="65"/>
  <c r="M1177" i="65"/>
  <c r="M1178" i="65"/>
  <c r="M1179" i="65"/>
  <c r="M1180" i="65"/>
  <c r="M1181" i="65"/>
  <c r="M1182" i="65"/>
  <c r="M1183" i="65"/>
  <c r="M1184" i="65"/>
  <c r="M1185" i="65"/>
  <c r="M1186" i="65"/>
  <c r="M1187" i="65"/>
  <c r="M1188" i="65"/>
  <c r="M1189" i="65"/>
  <c r="M1190" i="65"/>
  <c r="M1191" i="65"/>
  <c r="M1192" i="65"/>
  <c r="M1193" i="65"/>
  <c r="M1194" i="65"/>
  <c r="M1195" i="65"/>
  <c r="M1196" i="65"/>
  <c r="M1197" i="65"/>
  <c r="M1198" i="65"/>
  <c r="M1199" i="65"/>
  <c r="M1200" i="65"/>
  <c r="M1201" i="65"/>
  <c r="M1202" i="65"/>
  <c r="M1203" i="65"/>
  <c r="M1204" i="65"/>
  <c r="M1205" i="65"/>
  <c r="M1206" i="65"/>
  <c r="M1207" i="65"/>
  <c r="M1208" i="65"/>
  <c r="M1209" i="65"/>
  <c r="M1210" i="65"/>
  <c r="M1211" i="65"/>
  <c r="M1212" i="65"/>
  <c r="M1213" i="65"/>
  <c r="M1214" i="65"/>
  <c r="M1215" i="65"/>
  <c r="M1216" i="65"/>
  <c r="M1217" i="65"/>
  <c r="M1218" i="65"/>
  <c r="M1219" i="65"/>
  <c r="M1220" i="65"/>
  <c r="M1221" i="65"/>
  <c r="M1222" i="65"/>
  <c r="M1223" i="65"/>
  <c r="M1224" i="65"/>
  <c r="M1225" i="65"/>
  <c r="M1226" i="65"/>
  <c r="M1227" i="65"/>
  <c r="M1228" i="65"/>
  <c r="M1229" i="65"/>
  <c r="M1230" i="65"/>
  <c r="M1231" i="65"/>
  <c r="M1232" i="65"/>
  <c r="M1233" i="65"/>
  <c r="M1234" i="65"/>
  <c r="M1235" i="65"/>
  <c r="M1236" i="65"/>
  <c r="M1237" i="65"/>
  <c r="M1238" i="65"/>
  <c r="M1239" i="65"/>
  <c r="M1240" i="65"/>
  <c r="M1241" i="65"/>
  <c r="M1242" i="65"/>
  <c r="M1243" i="65"/>
  <c r="M1244" i="65"/>
  <c r="M1245" i="65"/>
  <c r="M1246" i="65"/>
  <c r="M1247" i="65"/>
  <c r="M1248" i="65"/>
  <c r="M1249" i="65"/>
  <c r="M1250" i="65"/>
  <c r="M1251" i="65"/>
  <c r="M1252" i="65"/>
  <c r="M1253" i="65"/>
  <c r="M1254" i="65"/>
  <c r="M1255" i="65"/>
  <c r="M1256" i="65"/>
  <c r="M1257" i="65"/>
  <c r="M1258" i="65"/>
  <c r="M1259" i="65"/>
  <c r="M1260" i="65"/>
  <c r="M1261" i="65"/>
  <c r="M1262" i="65"/>
  <c r="M1263" i="65"/>
  <c r="M1264" i="65"/>
  <c r="M1265" i="65"/>
  <c r="M1266" i="65"/>
  <c r="M1267" i="65"/>
  <c r="M1268" i="65"/>
  <c r="M1269" i="65"/>
  <c r="M1270" i="65"/>
  <c r="M1271" i="65"/>
  <c r="M1272" i="65"/>
  <c r="M1273" i="65"/>
  <c r="M1274" i="65"/>
  <c r="M1275" i="65"/>
  <c r="M1276" i="65"/>
  <c r="M1277" i="65"/>
  <c r="M1278" i="65"/>
  <c r="M1279" i="65"/>
  <c r="M1280" i="65"/>
  <c r="M1281" i="65"/>
  <c r="M1282" i="65"/>
  <c r="M1283" i="65"/>
  <c r="M1284" i="65"/>
  <c r="M1285" i="65"/>
  <c r="M1286" i="65"/>
  <c r="M1287" i="65"/>
  <c r="M1288" i="65"/>
  <c r="M1289" i="65"/>
  <c r="M1290" i="65"/>
  <c r="M1291" i="65"/>
  <c r="M1292" i="65"/>
  <c r="M1293" i="65"/>
  <c r="M1294" i="65"/>
  <c r="M1295" i="65"/>
  <c r="M1296" i="65"/>
  <c r="M1297" i="65"/>
  <c r="M1298" i="65"/>
  <c r="M1299" i="65"/>
  <c r="M1300" i="65"/>
  <c r="M1301" i="65"/>
  <c r="M1302" i="65"/>
  <c r="M1303" i="65"/>
  <c r="M1304" i="65"/>
  <c r="M1305" i="65"/>
  <c r="M1306" i="65"/>
  <c r="M1307" i="65"/>
  <c r="M1308" i="65"/>
  <c r="M1309" i="65"/>
  <c r="M1310" i="65"/>
  <c r="M1311" i="65"/>
  <c r="M1312" i="65"/>
  <c r="M1313" i="65"/>
  <c r="M1314" i="65"/>
  <c r="M1315" i="65"/>
  <c r="M1316" i="65"/>
  <c r="M1317" i="65"/>
  <c r="M1318" i="65"/>
  <c r="M1319" i="65"/>
  <c r="M1320" i="65"/>
  <c r="M1321" i="65"/>
  <c r="M1322" i="65"/>
  <c r="M1323" i="65"/>
  <c r="M1324" i="65"/>
  <c r="M1325" i="65"/>
  <c r="M1326" i="65"/>
  <c r="M1327" i="65"/>
  <c r="M1328" i="65"/>
  <c r="M1329" i="65"/>
  <c r="M1330" i="65"/>
  <c r="M1331" i="65"/>
  <c r="M1332" i="65"/>
  <c r="M1333" i="65"/>
  <c r="M1334" i="65"/>
  <c r="M1335" i="65"/>
  <c r="M1336" i="65"/>
  <c r="M1337" i="65"/>
  <c r="M1338" i="65"/>
  <c r="M1339" i="65"/>
  <c r="M1340" i="65"/>
  <c r="M1341" i="65"/>
  <c r="M1342" i="65"/>
  <c r="M1343" i="65"/>
  <c r="M1344" i="65"/>
  <c r="M1345" i="65"/>
  <c r="M1346" i="65"/>
  <c r="M1347" i="65"/>
  <c r="M1348" i="65"/>
  <c r="M1349" i="65"/>
  <c r="M1350" i="65"/>
  <c r="M1351" i="65"/>
  <c r="M1352" i="65"/>
  <c r="M1353" i="65"/>
  <c r="M1354" i="65"/>
  <c r="M1355" i="65"/>
  <c r="M1356" i="65"/>
  <c r="M1357" i="65"/>
  <c r="M1358" i="65"/>
  <c r="M1359" i="65"/>
  <c r="M1360" i="65"/>
  <c r="M1361" i="65"/>
  <c r="M1362" i="65"/>
  <c r="M1363" i="65"/>
  <c r="M1364" i="65"/>
  <c r="M1365" i="65"/>
  <c r="M1366" i="65"/>
  <c r="M1367" i="65"/>
  <c r="M1368" i="65"/>
  <c r="M1369" i="65"/>
  <c r="M1370" i="65"/>
  <c r="M1371" i="65"/>
  <c r="M1372" i="65"/>
  <c r="M1373" i="65"/>
  <c r="M1374" i="65"/>
  <c r="M1375" i="65"/>
  <c r="M1376" i="65"/>
  <c r="M1377" i="65"/>
  <c r="M1378" i="65"/>
  <c r="M1379" i="65"/>
  <c r="M1380" i="65"/>
  <c r="M1381" i="65"/>
  <c r="M1382" i="65"/>
  <c r="M1383" i="65"/>
  <c r="M1384" i="65"/>
  <c r="M1385" i="65"/>
  <c r="M1386" i="65"/>
  <c r="M1387" i="65"/>
  <c r="M1388" i="65"/>
  <c r="M1389" i="65"/>
  <c r="M1390" i="65"/>
  <c r="M1391" i="65"/>
  <c r="M1392" i="65"/>
  <c r="M1393" i="65"/>
  <c r="M1394" i="65"/>
  <c r="M1395" i="65"/>
  <c r="M1396" i="65"/>
  <c r="M1397" i="65"/>
  <c r="M1398" i="65"/>
  <c r="M1399" i="65"/>
  <c r="M1400" i="65"/>
  <c r="M1401" i="65"/>
  <c r="M1402" i="65"/>
  <c r="M1403" i="65"/>
  <c r="M1404" i="65"/>
  <c r="M1405" i="65"/>
  <c r="M1406" i="65"/>
  <c r="M1407" i="65"/>
  <c r="M1408" i="65"/>
  <c r="M1409" i="65"/>
  <c r="M1410" i="65"/>
  <c r="M1411" i="65"/>
  <c r="M1412" i="65"/>
  <c r="M1413" i="65"/>
  <c r="M1414" i="65"/>
  <c r="M1415" i="65"/>
  <c r="M1416" i="65"/>
  <c r="M1417" i="65"/>
  <c r="M1418" i="65"/>
  <c r="M1419" i="65"/>
  <c r="M1420" i="65"/>
  <c r="M1421" i="65"/>
  <c r="M1422" i="65"/>
  <c r="M1423" i="65"/>
  <c r="M1424" i="65"/>
  <c r="M1425" i="65"/>
  <c r="M1426" i="65"/>
  <c r="M1427" i="65"/>
  <c r="M1428" i="65"/>
  <c r="M1429" i="65"/>
  <c r="M1430" i="65"/>
  <c r="M1431" i="65"/>
  <c r="M1432" i="65"/>
  <c r="M1433" i="65"/>
  <c r="M1434" i="65"/>
  <c r="M1435" i="65"/>
  <c r="M1436" i="65"/>
  <c r="M1437" i="65"/>
  <c r="M1438" i="65"/>
  <c r="M1439" i="65"/>
  <c r="M1440" i="65"/>
  <c r="M1441" i="65"/>
  <c r="M1442" i="65"/>
  <c r="M1443" i="65"/>
  <c r="M1444" i="65"/>
  <c r="M1445" i="65"/>
  <c r="M1446" i="65"/>
  <c r="M1447" i="65"/>
  <c r="M1448" i="65"/>
  <c r="M1449" i="65"/>
  <c r="M1450" i="65"/>
  <c r="M1451" i="65"/>
  <c r="M1452" i="65"/>
  <c r="M1453" i="65"/>
  <c r="M1454" i="65"/>
  <c r="M1455" i="65"/>
  <c r="M1456" i="65"/>
  <c r="M1457" i="65"/>
  <c r="M1458" i="65"/>
  <c r="M1459" i="65"/>
  <c r="M1460" i="65"/>
  <c r="M1461" i="65"/>
  <c r="M1462" i="65"/>
  <c r="M1463" i="65"/>
  <c r="M1464" i="65"/>
  <c r="M1465" i="65"/>
  <c r="M1466" i="65"/>
  <c r="M1467" i="65"/>
  <c r="M1468" i="65"/>
  <c r="M1469" i="65"/>
  <c r="M1470" i="65"/>
  <c r="M1471" i="65"/>
  <c r="M1472" i="65"/>
  <c r="M1473" i="65"/>
  <c r="M1474" i="65"/>
  <c r="M1475" i="65"/>
  <c r="M1476" i="65"/>
  <c r="M1477" i="65"/>
  <c r="M1478" i="65"/>
  <c r="M1479" i="65"/>
  <c r="M1480" i="65"/>
  <c r="M1481" i="65"/>
  <c r="M1482" i="65"/>
  <c r="M1483" i="65"/>
  <c r="M1484" i="65"/>
  <c r="M1485" i="65"/>
  <c r="M1486" i="65"/>
  <c r="M1487" i="65"/>
  <c r="M1488" i="65"/>
  <c r="M1489" i="65"/>
  <c r="M1490" i="65"/>
  <c r="M1491" i="65"/>
  <c r="M1492" i="65"/>
  <c r="M1493" i="65"/>
  <c r="M1494" i="65"/>
  <c r="M1495" i="65"/>
  <c r="M1496" i="65"/>
  <c r="M1497" i="65"/>
  <c r="M1498" i="65"/>
  <c r="M1499" i="65"/>
  <c r="M1500" i="65"/>
  <c r="M1501" i="65"/>
  <c r="M1502" i="65"/>
  <c r="M1503" i="65"/>
  <c r="M1504" i="65"/>
  <c r="M1505" i="65"/>
  <c r="M1506" i="65"/>
  <c r="M1507" i="65"/>
  <c r="M1508" i="65"/>
  <c r="M1509" i="65"/>
  <c r="M1510" i="65"/>
  <c r="M1511" i="65"/>
  <c r="M1512" i="65"/>
  <c r="M1513" i="65"/>
  <c r="M1514" i="65"/>
  <c r="M1515" i="65"/>
  <c r="M1516" i="65"/>
  <c r="M1517" i="65"/>
  <c r="M1518" i="65"/>
  <c r="M1519" i="65"/>
  <c r="M1520" i="65"/>
  <c r="M1521" i="65"/>
  <c r="M1522" i="65"/>
  <c r="M1523" i="65"/>
  <c r="M1524" i="65"/>
  <c r="M1525" i="65"/>
  <c r="M1526" i="65"/>
  <c r="M1527" i="65"/>
  <c r="M1528" i="65"/>
  <c r="M1529" i="65"/>
  <c r="M1530" i="65"/>
  <c r="M1531" i="65"/>
  <c r="M1532" i="65"/>
  <c r="M1533" i="65"/>
  <c r="M1534" i="65"/>
  <c r="M1535" i="65"/>
  <c r="M1536" i="65"/>
  <c r="M1537" i="65"/>
  <c r="M1538" i="65"/>
  <c r="M1539" i="65"/>
  <c r="M1540" i="65"/>
  <c r="M1541" i="65"/>
  <c r="M3" i="65"/>
  <c r="M4" i="65"/>
  <c r="M5" i="65"/>
  <c r="M6" i="65"/>
  <c r="M7" i="65"/>
  <c r="M8" i="65"/>
  <c r="M9" i="65"/>
  <c r="M10" i="65"/>
  <c r="M11" i="65"/>
  <c r="M12" i="65"/>
  <c r="M14" i="65"/>
  <c r="M15" i="65"/>
  <c r="N3" i="65"/>
  <c r="N4" i="65"/>
  <c r="N5" i="65"/>
  <c r="N6" i="65"/>
  <c r="N7" i="65"/>
  <c r="N8" i="65"/>
  <c r="N9" i="65"/>
  <c r="N10" i="65"/>
  <c r="N11" i="65"/>
  <c r="N12" i="65"/>
  <c r="N13" i="65"/>
  <c r="N14" i="65"/>
  <c r="N15" i="65"/>
  <c r="N16" i="65"/>
  <c r="N17" i="65"/>
  <c r="N18" i="65"/>
  <c r="N19" i="65"/>
  <c r="N20" i="65"/>
  <c r="N21" i="65"/>
  <c r="N22" i="65"/>
  <c r="N23" i="65"/>
  <c r="N24" i="65"/>
  <c r="N25" i="65"/>
  <c r="N26" i="65"/>
  <c r="N27" i="65"/>
  <c r="N28" i="65"/>
  <c r="N29" i="65"/>
  <c r="N30" i="65"/>
  <c r="N31" i="65"/>
  <c r="N32" i="65"/>
  <c r="N33" i="65"/>
  <c r="N34" i="65"/>
  <c r="N35" i="65"/>
  <c r="N36" i="65"/>
  <c r="N37" i="65"/>
  <c r="N38" i="65"/>
  <c r="N39" i="65"/>
  <c r="N40" i="65"/>
  <c r="N41" i="65"/>
  <c r="N42" i="65"/>
  <c r="N43" i="65"/>
  <c r="N44" i="65"/>
  <c r="N45" i="65"/>
  <c r="N46" i="65"/>
  <c r="N47" i="65"/>
  <c r="N48" i="65"/>
  <c r="N49" i="65"/>
  <c r="N50" i="65"/>
  <c r="N51" i="65"/>
  <c r="N52" i="65"/>
  <c r="N53" i="65"/>
  <c r="N54" i="65"/>
  <c r="N55" i="65"/>
  <c r="N56" i="65"/>
  <c r="N57" i="65"/>
  <c r="N58" i="65"/>
  <c r="N59" i="65"/>
  <c r="N60" i="65"/>
  <c r="N61" i="65"/>
  <c r="N62" i="65"/>
  <c r="N63" i="65"/>
  <c r="N64" i="65"/>
  <c r="N65" i="65"/>
  <c r="N66" i="65"/>
  <c r="N67" i="65"/>
  <c r="N68" i="65"/>
  <c r="N69" i="65"/>
  <c r="N70" i="65"/>
  <c r="N71" i="65"/>
  <c r="N72" i="65"/>
  <c r="N73" i="65"/>
  <c r="N74" i="65"/>
  <c r="N75" i="65"/>
  <c r="N76" i="65"/>
  <c r="N77" i="65"/>
  <c r="N78" i="65"/>
  <c r="N79" i="65"/>
  <c r="N80" i="65"/>
  <c r="N81" i="65"/>
  <c r="N82" i="65"/>
  <c r="N83" i="65"/>
  <c r="N84" i="65"/>
  <c r="N85" i="65"/>
  <c r="N86" i="65"/>
  <c r="N87" i="65"/>
  <c r="N88" i="65"/>
  <c r="N89" i="65"/>
  <c r="N90" i="65"/>
  <c r="N91" i="65"/>
  <c r="N92" i="65"/>
  <c r="N93" i="65"/>
  <c r="N94" i="65"/>
  <c r="N95" i="65"/>
  <c r="N96" i="65"/>
  <c r="N97" i="65"/>
  <c r="N98" i="65"/>
  <c r="N99" i="65"/>
  <c r="N100" i="65"/>
  <c r="N101" i="65"/>
  <c r="N102" i="65"/>
  <c r="N103" i="65"/>
  <c r="N104" i="65"/>
  <c r="N105" i="65"/>
  <c r="N106" i="65"/>
  <c r="N107" i="65"/>
  <c r="N108" i="65"/>
  <c r="N109" i="65"/>
  <c r="N110" i="65"/>
  <c r="N111" i="65"/>
  <c r="N112" i="65"/>
  <c r="N113" i="65"/>
  <c r="N114" i="65"/>
  <c r="N115" i="65"/>
  <c r="N116" i="65"/>
  <c r="N117" i="65"/>
  <c r="N118" i="65"/>
  <c r="N119" i="65"/>
  <c r="N120" i="65"/>
  <c r="N121" i="65"/>
  <c r="N122" i="65"/>
  <c r="N123" i="65"/>
  <c r="N124" i="65"/>
  <c r="N125" i="65"/>
  <c r="N126" i="65"/>
  <c r="N127" i="65"/>
  <c r="N128" i="65"/>
  <c r="N129" i="65"/>
  <c r="N130" i="65"/>
  <c r="N131" i="65"/>
  <c r="N132" i="65"/>
  <c r="N133" i="65"/>
  <c r="N134" i="65"/>
  <c r="N135" i="65"/>
  <c r="N136" i="65"/>
  <c r="N137" i="65"/>
  <c r="N138" i="65"/>
  <c r="N139" i="65"/>
  <c r="N140" i="65"/>
  <c r="N141" i="65"/>
  <c r="N142" i="65"/>
  <c r="N143" i="65"/>
  <c r="N144" i="65"/>
  <c r="N145" i="65"/>
  <c r="N146" i="65"/>
  <c r="N147" i="65"/>
  <c r="N148" i="65"/>
  <c r="N149" i="65"/>
  <c r="N150" i="65"/>
  <c r="N151" i="65"/>
  <c r="N152" i="65"/>
  <c r="N153" i="65"/>
  <c r="N154" i="65"/>
  <c r="N155" i="65"/>
  <c r="N156" i="65"/>
  <c r="N157" i="65"/>
  <c r="N158" i="65"/>
  <c r="N159" i="65"/>
  <c r="N160" i="65"/>
  <c r="N161" i="65"/>
  <c r="N162" i="65"/>
  <c r="N163" i="65"/>
  <c r="N164" i="65"/>
  <c r="N165" i="65"/>
  <c r="N166" i="65"/>
  <c r="N167" i="65"/>
  <c r="N168" i="65"/>
  <c r="N169" i="65"/>
  <c r="N170" i="65"/>
  <c r="N171" i="65"/>
  <c r="N172" i="65"/>
  <c r="N173" i="65"/>
  <c r="N174" i="65"/>
  <c r="N175" i="65"/>
  <c r="N176" i="65"/>
  <c r="N177" i="65"/>
  <c r="N178" i="65"/>
  <c r="N179" i="65"/>
  <c r="N180" i="65"/>
  <c r="N181" i="65"/>
  <c r="N182" i="65"/>
  <c r="N183" i="65"/>
  <c r="N184" i="65"/>
  <c r="N185" i="65"/>
  <c r="N186" i="65"/>
  <c r="N187" i="65"/>
  <c r="N188" i="65"/>
  <c r="N189" i="65"/>
  <c r="N190" i="65"/>
  <c r="N191" i="65"/>
  <c r="N192" i="65"/>
  <c r="N193" i="65"/>
  <c r="N194" i="65"/>
  <c r="N195" i="65"/>
  <c r="N196" i="65"/>
  <c r="N197" i="65"/>
  <c r="N198" i="65"/>
  <c r="N199" i="65"/>
  <c r="N200" i="65"/>
  <c r="N201" i="65"/>
  <c r="N202" i="65"/>
  <c r="N203" i="65"/>
  <c r="N204" i="65"/>
  <c r="N205" i="65"/>
  <c r="N206" i="65"/>
  <c r="N207" i="65"/>
  <c r="N208" i="65"/>
  <c r="N209" i="65"/>
  <c r="N210" i="65"/>
  <c r="N211" i="65"/>
  <c r="N212" i="65"/>
  <c r="N213" i="65"/>
  <c r="N214" i="65"/>
  <c r="N215" i="65"/>
  <c r="N216" i="65"/>
  <c r="N217" i="65"/>
  <c r="N218" i="65"/>
  <c r="N219" i="65"/>
  <c r="N220" i="65"/>
  <c r="N221" i="65"/>
  <c r="N222" i="65"/>
  <c r="N223" i="65"/>
  <c r="N224" i="65"/>
  <c r="N225" i="65"/>
  <c r="N226" i="65"/>
  <c r="N227" i="65"/>
  <c r="N228" i="65"/>
  <c r="N229" i="65"/>
  <c r="N230" i="65"/>
  <c r="N231" i="65"/>
  <c r="N232" i="65"/>
  <c r="N233" i="65"/>
  <c r="N234" i="65"/>
  <c r="N235" i="65"/>
  <c r="N236" i="65"/>
  <c r="N237" i="65"/>
  <c r="N238" i="65"/>
  <c r="N239" i="65"/>
  <c r="N240" i="65"/>
  <c r="N241" i="65"/>
  <c r="N242" i="65"/>
  <c r="N243" i="65"/>
  <c r="N244" i="65"/>
  <c r="N245" i="65"/>
  <c r="N246" i="65"/>
  <c r="N247" i="65"/>
  <c r="N248" i="65"/>
  <c r="N249" i="65"/>
  <c r="N250" i="65"/>
  <c r="N251" i="65"/>
  <c r="N252" i="65"/>
  <c r="N253" i="65"/>
  <c r="N254" i="65"/>
  <c r="N255" i="65"/>
  <c r="N256" i="65"/>
  <c r="N257" i="65"/>
  <c r="N258" i="65"/>
  <c r="N259" i="65"/>
  <c r="N260" i="65"/>
  <c r="N261" i="65"/>
  <c r="N262" i="65"/>
  <c r="N263" i="65"/>
  <c r="N264" i="65"/>
  <c r="N265" i="65"/>
  <c r="N266" i="65"/>
  <c r="N267" i="65"/>
  <c r="N268" i="65"/>
  <c r="N269" i="65"/>
  <c r="N270" i="65"/>
  <c r="N271" i="65"/>
  <c r="N272" i="65"/>
  <c r="N273" i="65"/>
  <c r="N274" i="65"/>
  <c r="N275" i="65"/>
  <c r="N276" i="65"/>
  <c r="N277" i="65"/>
  <c r="N278" i="65"/>
  <c r="N279" i="65"/>
  <c r="N280" i="65"/>
  <c r="N281" i="65"/>
  <c r="N282" i="65"/>
  <c r="N283" i="65"/>
  <c r="N284" i="65"/>
  <c r="N285" i="65"/>
  <c r="N286" i="65"/>
  <c r="N287" i="65"/>
  <c r="N288" i="65"/>
  <c r="N289" i="65"/>
  <c r="N290" i="65"/>
  <c r="N291" i="65"/>
  <c r="N292" i="65"/>
  <c r="N293" i="65"/>
  <c r="N294" i="65"/>
  <c r="N295" i="65"/>
  <c r="N296" i="65"/>
  <c r="N297" i="65"/>
  <c r="N298" i="65"/>
  <c r="N299" i="65"/>
  <c r="N300" i="65"/>
  <c r="N301" i="65"/>
  <c r="N302" i="65"/>
  <c r="N303" i="65"/>
  <c r="N304" i="65"/>
  <c r="N305" i="65"/>
  <c r="N306" i="65"/>
  <c r="N307" i="65"/>
  <c r="N308" i="65"/>
  <c r="N309" i="65"/>
  <c r="N310" i="65"/>
  <c r="N311" i="65"/>
  <c r="N312" i="65"/>
  <c r="N313" i="65"/>
  <c r="N314" i="65"/>
  <c r="N315" i="65"/>
  <c r="N316" i="65"/>
  <c r="N317" i="65"/>
  <c r="N318" i="65"/>
  <c r="N319" i="65"/>
  <c r="N320" i="65"/>
  <c r="N321" i="65"/>
  <c r="N322" i="65"/>
  <c r="N323" i="65"/>
  <c r="N324" i="65"/>
  <c r="N325" i="65"/>
  <c r="N326" i="65"/>
  <c r="N327" i="65"/>
  <c r="N328" i="65"/>
  <c r="N329" i="65"/>
  <c r="N330" i="65"/>
  <c r="N331" i="65"/>
  <c r="N332" i="65"/>
  <c r="N333" i="65"/>
  <c r="N334" i="65"/>
  <c r="N335" i="65"/>
  <c r="N336" i="65"/>
  <c r="N337" i="65"/>
  <c r="N338" i="65"/>
  <c r="N339" i="65"/>
  <c r="N340" i="65"/>
  <c r="N341" i="65"/>
  <c r="N342" i="65"/>
  <c r="N343" i="65"/>
  <c r="N344" i="65"/>
  <c r="N345" i="65"/>
  <c r="N346" i="65"/>
  <c r="N347" i="65"/>
  <c r="N348" i="65"/>
  <c r="N349" i="65"/>
  <c r="N350" i="65"/>
  <c r="N351" i="65"/>
  <c r="N352" i="65"/>
  <c r="N353" i="65"/>
  <c r="N354" i="65"/>
  <c r="N355" i="65"/>
  <c r="N356" i="65"/>
  <c r="N357" i="65"/>
  <c r="N358" i="65"/>
  <c r="N359" i="65"/>
  <c r="N360" i="65"/>
  <c r="N361" i="65"/>
  <c r="N362" i="65"/>
  <c r="N363" i="65"/>
  <c r="N364" i="65"/>
  <c r="N365" i="65"/>
  <c r="N366" i="65"/>
  <c r="N367" i="65"/>
  <c r="N368" i="65"/>
  <c r="N369" i="65"/>
  <c r="N370" i="65"/>
  <c r="N371" i="65"/>
  <c r="N372" i="65"/>
  <c r="N373" i="65"/>
  <c r="N374" i="65"/>
  <c r="N375" i="65"/>
  <c r="N376" i="65"/>
  <c r="N377" i="65"/>
  <c r="N378" i="65"/>
  <c r="N379" i="65"/>
  <c r="N380" i="65"/>
  <c r="N381" i="65"/>
  <c r="N382" i="65"/>
  <c r="N383" i="65"/>
  <c r="N384" i="65"/>
  <c r="N385" i="65"/>
  <c r="N386" i="65"/>
  <c r="N387" i="65"/>
  <c r="N388" i="65"/>
  <c r="N389" i="65"/>
  <c r="N390" i="65"/>
  <c r="N391" i="65"/>
  <c r="N392" i="65"/>
  <c r="N393" i="65"/>
  <c r="N394" i="65"/>
  <c r="N395" i="65"/>
  <c r="N396" i="65"/>
  <c r="N397" i="65"/>
  <c r="N398" i="65"/>
  <c r="N399" i="65"/>
  <c r="N400" i="65"/>
  <c r="N401" i="65"/>
  <c r="N402" i="65"/>
  <c r="N403" i="65"/>
  <c r="N404" i="65"/>
  <c r="N405" i="65"/>
  <c r="N406" i="65"/>
  <c r="N407" i="65"/>
  <c r="N408" i="65"/>
  <c r="N409" i="65"/>
  <c r="N410" i="65"/>
  <c r="N411" i="65"/>
  <c r="N412" i="65"/>
  <c r="N413" i="65"/>
  <c r="N414" i="65"/>
  <c r="N415" i="65"/>
  <c r="N416" i="65"/>
  <c r="N417" i="65"/>
  <c r="N418" i="65"/>
  <c r="N419" i="65"/>
  <c r="N420" i="65"/>
  <c r="N421" i="65"/>
  <c r="N422" i="65"/>
  <c r="N423" i="65"/>
  <c r="N424" i="65"/>
  <c r="N425" i="65"/>
  <c r="N426" i="65"/>
  <c r="N427" i="65"/>
  <c r="N428" i="65"/>
  <c r="N429" i="65"/>
  <c r="N430" i="65"/>
  <c r="N431" i="65"/>
  <c r="N432" i="65"/>
  <c r="N433" i="65"/>
  <c r="N434" i="65"/>
  <c r="N435" i="65"/>
  <c r="N436" i="65"/>
  <c r="N437" i="65"/>
  <c r="N438" i="65"/>
  <c r="N439" i="65"/>
  <c r="N440" i="65"/>
  <c r="N441" i="65"/>
  <c r="N442" i="65"/>
  <c r="N443" i="65"/>
  <c r="N444" i="65"/>
  <c r="N445" i="65"/>
  <c r="N446" i="65"/>
  <c r="N447" i="65"/>
  <c r="N448" i="65"/>
  <c r="N449" i="65"/>
  <c r="N450" i="65"/>
  <c r="N451" i="65"/>
  <c r="N452" i="65"/>
  <c r="N453" i="65"/>
  <c r="N454" i="65"/>
  <c r="N455" i="65"/>
  <c r="N456" i="65"/>
  <c r="N457" i="65"/>
  <c r="N458" i="65"/>
  <c r="N459" i="65"/>
  <c r="N460" i="65"/>
  <c r="N461" i="65"/>
  <c r="N462" i="65"/>
  <c r="N463" i="65"/>
  <c r="N464" i="65"/>
  <c r="N465" i="65"/>
  <c r="N466" i="65"/>
  <c r="N467" i="65"/>
  <c r="N468" i="65"/>
  <c r="N469" i="65"/>
  <c r="N470" i="65"/>
  <c r="N471" i="65"/>
  <c r="N472" i="65"/>
  <c r="N473" i="65"/>
  <c r="N474" i="65"/>
  <c r="N475" i="65"/>
  <c r="N476" i="65"/>
  <c r="N477" i="65"/>
  <c r="N478" i="65"/>
  <c r="N479" i="65"/>
  <c r="N480" i="65"/>
  <c r="N481" i="65"/>
  <c r="N482" i="65"/>
  <c r="N483" i="65"/>
  <c r="N484" i="65"/>
  <c r="N485" i="65"/>
  <c r="N486" i="65"/>
  <c r="N487" i="65"/>
  <c r="N488" i="65"/>
  <c r="N489" i="65"/>
  <c r="N490" i="65"/>
  <c r="N491" i="65"/>
  <c r="N492" i="65"/>
  <c r="N493" i="65"/>
  <c r="N494" i="65"/>
  <c r="N495" i="65"/>
  <c r="N496" i="65"/>
  <c r="N497" i="65"/>
  <c r="N498" i="65"/>
  <c r="N499" i="65"/>
  <c r="N500" i="65"/>
  <c r="N501" i="65"/>
  <c r="N502" i="65"/>
  <c r="N503" i="65"/>
  <c r="N504" i="65"/>
  <c r="N505" i="65"/>
  <c r="N506" i="65"/>
  <c r="N507" i="65"/>
  <c r="N508" i="65"/>
  <c r="N509" i="65"/>
  <c r="N510" i="65"/>
  <c r="N511" i="65"/>
  <c r="N512" i="65"/>
  <c r="N513" i="65"/>
  <c r="N514" i="65"/>
  <c r="N515" i="65"/>
  <c r="N516" i="65"/>
  <c r="N517" i="65"/>
  <c r="N518" i="65"/>
  <c r="N519" i="65"/>
  <c r="N520" i="65"/>
  <c r="N521" i="65"/>
  <c r="N522" i="65"/>
  <c r="N523" i="65"/>
  <c r="N524" i="65"/>
  <c r="N525" i="65"/>
  <c r="N526" i="65"/>
  <c r="N527" i="65"/>
  <c r="N528" i="65"/>
  <c r="N529" i="65"/>
  <c r="N530" i="65"/>
  <c r="N531" i="65"/>
  <c r="N532" i="65"/>
  <c r="N533" i="65"/>
  <c r="N534" i="65"/>
  <c r="N535" i="65"/>
  <c r="N536" i="65"/>
  <c r="N537" i="65"/>
  <c r="N538" i="65"/>
  <c r="N539" i="65"/>
  <c r="N540" i="65"/>
  <c r="N541" i="65"/>
  <c r="N542" i="65"/>
  <c r="N543" i="65"/>
  <c r="N544" i="65"/>
  <c r="N545" i="65"/>
  <c r="N546" i="65"/>
  <c r="N547" i="65"/>
  <c r="N548" i="65"/>
  <c r="N549" i="65"/>
  <c r="N550" i="65"/>
  <c r="N551" i="65"/>
  <c r="N552" i="65"/>
  <c r="N553" i="65"/>
  <c r="N554" i="65"/>
  <c r="N555" i="65"/>
  <c r="N556" i="65"/>
  <c r="N557" i="65"/>
  <c r="N558" i="65"/>
  <c r="N559" i="65"/>
  <c r="N560" i="65"/>
  <c r="N561" i="65"/>
  <c r="N562" i="65"/>
  <c r="N563" i="65"/>
  <c r="N564" i="65"/>
  <c r="N565" i="65"/>
  <c r="N566" i="65"/>
  <c r="N567" i="65"/>
  <c r="N568" i="65"/>
  <c r="N569" i="65"/>
  <c r="N570" i="65"/>
  <c r="N571" i="65"/>
  <c r="N572" i="65"/>
  <c r="N573" i="65"/>
  <c r="N574" i="65"/>
  <c r="N575" i="65"/>
  <c r="N576" i="65"/>
  <c r="N577" i="65"/>
  <c r="N578" i="65"/>
  <c r="N579" i="65"/>
  <c r="N580" i="65"/>
  <c r="N581" i="65"/>
  <c r="N582" i="65"/>
  <c r="N583" i="65"/>
  <c r="N584" i="65"/>
  <c r="N585" i="65"/>
  <c r="N586" i="65"/>
  <c r="N587" i="65"/>
  <c r="N588" i="65"/>
  <c r="N589" i="65"/>
  <c r="N590" i="65"/>
  <c r="N591" i="65"/>
  <c r="N592" i="65"/>
  <c r="N593" i="65"/>
  <c r="N594" i="65"/>
  <c r="N595" i="65"/>
  <c r="N596" i="65"/>
  <c r="N597" i="65"/>
  <c r="N598" i="65"/>
  <c r="N599" i="65"/>
  <c r="N600" i="65"/>
  <c r="N601" i="65"/>
  <c r="N602" i="65"/>
  <c r="N603" i="65"/>
  <c r="N604" i="65"/>
  <c r="N605" i="65"/>
  <c r="N606" i="65"/>
  <c r="N607" i="65"/>
  <c r="N608" i="65"/>
  <c r="N609" i="65"/>
  <c r="N610" i="65"/>
  <c r="N611" i="65"/>
  <c r="N612" i="65"/>
  <c r="N613" i="65"/>
  <c r="N614" i="65"/>
  <c r="N615" i="65"/>
  <c r="N616" i="65"/>
  <c r="N617" i="65"/>
  <c r="N618" i="65"/>
  <c r="N619" i="65"/>
  <c r="N620" i="65"/>
  <c r="N621" i="65"/>
  <c r="N622" i="65"/>
  <c r="N623" i="65"/>
  <c r="N624" i="65"/>
  <c r="N625" i="65"/>
  <c r="N626" i="65"/>
  <c r="N627" i="65"/>
  <c r="N628" i="65"/>
  <c r="N629" i="65"/>
  <c r="N630" i="65"/>
  <c r="N631" i="65"/>
  <c r="N632" i="65"/>
  <c r="N633" i="65"/>
  <c r="N634" i="65"/>
  <c r="N635" i="65"/>
  <c r="N636" i="65"/>
  <c r="N637" i="65"/>
  <c r="N638" i="65"/>
  <c r="N639" i="65"/>
  <c r="N640" i="65"/>
  <c r="N641" i="65"/>
  <c r="N642" i="65"/>
  <c r="N643" i="65"/>
  <c r="N644" i="65"/>
  <c r="N645" i="65"/>
  <c r="N646" i="65"/>
  <c r="N647" i="65"/>
  <c r="N648" i="65"/>
  <c r="N649" i="65"/>
  <c r="N650" i="65"/>
  <c r="N651" i="65"/>
  <c r="N652" i="65"/>
  <c r="N653" i="65"/>
  <c r="N654" i="65"/>
  <c r="N655" i="65"/>
  <c r="N656" i="65"/>
  <c r="N657" i="65"/>
  <c r="N658" i="65"/>
  <c r="N659" i="65"/>
  <c r="N660" i="65"/>
  <c r="N661" i="65"/>
  <c r="N662" i="65"/>
  <c r="N663" i="65"/>
  <c r="N664" i="65"/>
  <c r="N665" i="65"/>
  <c r="N666" i="65"/>
  <c r="N667" i="65"/>
  <c r="N668" i="65"/>
  <c r="N669" i="65"/>
  <c r="N670" i="65"/>
  <c r="N671" i="65"/>
  <c r="N672" i="65"/>
  <c r="N673" i="65"/>
  <c r="N674" i="65"/>
  <c r="N675" i="65"/>
  <c r="N676" i="65"/>
  <c r="N677" i="65"/>
  <c r="N678" i="65"/>
  <c r="N679" i="65"/>
  <c r="N680" i="65"/>
  <c r="N681" i="65"/>
  <c r="N682" i="65"/>
  <c r="N683" i="65"/>
  <c r="N684" i="65"/>
  <c r="N685" i="65"/>
  <c r="N686" i="65"/>
  <c r="N687" i="65"/>
  <c r="N688" i="65"/>
  <c r="N689" i="65"/>
  <c r="N690" i="65"/>
  <c r="N691" i="65"/>
  <c r="N692" i="65"/>
  <c r="N693" i="65"/>
  <c r="N694" i="65"/>
  <c r="N695" i="65"/>
  <c r="N696" i="65"/>
  <c r="N697" i="65"/>
  <c r="N698" i="65"/>
  <c r="N699" i="65"/>
  <c r="N700" i="65"/>
  <c r="N701" i="65"/>
  <c r="N702" i="65"/>
  <c r="N703" i="65"/>
  <c r="N704" i="65"/>
  <c r="N705" i="65"/>
  <c r="N706" i="65"/>
  <c r="N707" i="65"/>
  <c r="N708" i="65"/>
  <c r="N709" i="65"/>
  <c r="N710" i="65"/>
  <c r="N711" i="65"/>
  <c r="N712" i="65"/>
  <c r="N713" i="65"/>
  <c r="N714" i="65"/>
  <c r="N715" i="65"/>
  <c r="N716" i="65"/>
  <c r="N717" i="65"/>
  <c r="N718" i="65"/>
  <c r="N719" i="65"/>
  <c r="N720" i="65"/>
  <c r="N721" i="65"/>
  <c r="N722" i="65"/>
  <c r="N723" i="65"/>
  <c r="N724" i="65"/>
  <c r="N725" i="65"/>
  <c r="N726" i="65"/>
  <c r="N727" i="65"/>
  <c r="N728" i="65"/>
  <c r="N729" i="65"/>
  <c r="N730" i="65"/>
  <c r="N731" i="65"/>
  <c r="N732" i="65"/>
  <c r="N733" i="65"/>
  <c r="N734" i="65"/>
  <c r="N735" i="65"/>
  <c r="N736" i="65"/>
  <c r="N737" i="65"/>
  <c r="N738" i="65"/>
  <c r="N739" i="65"/>
  <c r="N740" i="65"/>
  <c r="N741" i="65"/>
  <c r="N742" i="65"/>
  <c r="N743" i="65"/>
  <c r="N744" i="65"/>
  <c r="N745" i="65"/>
  <c r="N746" i="65"/>
  <c r="N747" i="65"/>
  <c r="N748" i="65"/>
  <c r="N749" i="65"/>
  <c r="N750" i="65"/>
  <c r="N751" i="65"/>
  <c r="N752" i="65"/>
  <c r="N753" i="65"/>
  <c r="N754" i="65"/>
  <c r="N755" i="65"/>
  <c r="N756" i="65"/>
  <c r="N757" i="65"/>
  <c r="N758" i="65"/>
  <c r="N759" i="65"/>
  <c r="N760" i="65"/>
  <c r="N761" i="65"/>
  <c r="N762" i="65"/>
  <c r="N763" i="65"/>
  <c r="N764" i="65"/>
  <c r="N765" i="65"/>
  <c r="N766" i="65"/>
  <c r="N767" i="65"/>
  <c r="N768" i="65"/>
  <c r="N769" i="65"/>
  <c r="N770" i="65"/>
  <c r="N771" i="65"/>
  <c r="N772" i="65"/>
  <c r="N773" i="65"/>
  <c r="N774" i="65"/>
  <c r="N775" i="65"/>
  <c r="N776" i="65"/>
  <c r="N777" i="65"/>
  <c r="N778" i="65"/>
  <c r="N779" i="65"/>
  <c r="N780" i="65"/>
  <c r="N781" i="65"/>
  <c r="N782" i="65"/>
  <c r="N783" i="65"/>
  <c r="N784" i="65"/>
  <c r="N785" i="65"/>
  <c r="N786" i="65"/>
  <c r="N787" i="65"/>
  <c r="N788" i="65"/>
  <c r="N789" i="65"/>
  <c r="N790" i="65"/>
  <c r="N791" i="65"/>
  <c r="N792" i="65"/>
  <c r="N793" i="65"/>
  <c r="N794" i="65"/>
  <c r="N795" i="65"/>
  <c r="N796" i="65"/>
  <c r="N797" i="65"/>
  <c r="N798" i="65"/>
  <c r="N799" i="65"/>
  <c r="N800" i="65"/>
  <c r="N801" i="65"/>
  <c r="N802" i="65"/>
  <c r="N803" i="65"/>
  <c r="N804" i="65"/>
  <c r="N805" i="65"/>
  <c r="N806" i="65"/>
  <c r="N807" i="65"/>
  <c r="N808" i="65"/>
  <c r="N809" i="65"/>
  <c r="N810" i="65"/>
  <c r="N811" i="65"/>
  <c r="N812" i="65"/>
  <c r="N813" i="65"/>
  <c r="N814" i="65"/>
  <c r="N815" i="65"/>
  <c r="N816" i="65"/>
  <c r="N817" i="65"/>
  <c r="N818" i="65"/>
  <c r="N819" i="65"/>
  <c r="N820" i="65"/>
  <c r="N821" i="65"/>
  <c r="N822" i="65"/>
  <c r="N823" i="65"/>
  <c r="N824" i="65"/>
  <c r="N825" i="65"/>
  <c r="N826" i="65"/>
  <c r="N827" i="65"/>
  <c r="N828" i="65"/>
  <c r="N829" i="65"/>
  <c r="N830" i="65"/>
  <c r="N831" i="65"/>
  <c r="N832" i="65"/>
  <c r="N833" i="65"/>
  <c r="N834" i="65"/>
  <c r="N835" i="65"/>
  <c r="N836" i="65"/>
  <c r="N837" i="65"/>
  <c r="N838" i="65"/>
  <c r="N839" i="65"/>
  <c r="N840" i="65"/>
  <c r="N841" i="65"/>
  <c r="N842" i="65"/>
  <c r="N843" i="65"/>
  <c r="N844" i="65"/>
  <c r="N845" i="65"/>
  <c r="N846" i="65"/>
  <c r="N847" i="65"/>
  <c r="N848" i="65"/>
  <c r="N849" i="65"/>
  <c r="N850" i="65"/>
  <c r="N851" i="65"/>
  <c r="N852" i="65"/>
  <c r="N853" i="65"/>
  <c r="N854" i="65"/>
  <c r="N855" i="65"/>
  <c r="N856" i="65"/>
  <c r="N857" i="65"/>
  <c r="N858" i="65"/>
  <c r="N859" i="65"/>
  <c r="N860" i="65"/>
  <c r="N861" i="65"/>
  <c r="N862" i="65"/>
  <c r="N863" i="65"/>
  <c r="N864" i="65"/>
  <c r="N865" i="65"/>
  <c r="N866" i="65"/>
  <c r="N867" i="65"/>
  <c r="N868" i="65"/>
  <c r="N869" i="65"/>
  <c r="N870" i="65"/>
  <c r="N871" i="65"/>
  <c r="N872" i="65"/>
  <c r="N873" i="65"/>
  <c r="N874" i="65"/>
  <c r="N875" i="65"/>
  <c r="N876" i="65"/>
  <c r="N877" i="65"/>
  <c r="N878" i="65"/>
  <c r="N879" i="65"/>
  <c r="N880" i="65"/>
  <c r="N881" i="65"/>
  <c r="N882" i="65"/>
  <c r="N883" i="65"/>
  <c r="N884" i="65"/>
  <c r="N885" i="65"/>
  <c r="N886" i="65"/>
  <c r="N887" i="65"/>
  <c r="N888" i="65"/>
  <c r="N889" i="65"/>
  <c r="N890" i="65"/>
  <c r="N891" i="65"/>
  <c r="N892" i="65"/>
  <c r="N893" i="65"/>
  <c r="N894" i="65"/>
  <c r="N895" i="65"/>
  <c r="N896" i="65"/>
  <c r="N897" i="65"/>
  <c r="N898" i="65"/>
  <c r="N899" i="65"/>
  <c r="N900" i="65"/>
  <c r="N901" i="65"/>
  <c r="N902" i="65"/>
  <c r="N903" i="65"/>
  <c r="N904" i="65"/>
  <c r="N905" i="65"/>
  <c r="N906" i="65"/>
  <c r="N907" i="65"/>
  <c r="N908" i="65"/>
  <c r="N909" i="65"/>
  <c r="N910" i="65"/>
  <c r="N911" i="65"/>
  <c r="N912" i="65"/>
  <c r="N913" i="65"/>
  <c r="N914" i="65"/>
  <c r="N915" i="65"/>
  <c r="N916" i="65"/>
  <c r="N917" i="65"/>
  <c r="N918" i="65"/>
  <c r="N919" i="65"/>
  <c r="N920" i="65"/>
  <c r="N921" i="65"/>
  <c r="N922" i="65"/>
  <c r="N923" i="65"/>
  <c r="N924" i="65"/>
  <c r="N925" i="65"/>
  <c r="N926" i="65"/>
  <c r="N927" i="65"/>
  <c r="N928" i="65"/>
  <c r="N929" i="65"/>
  <c r="N930" i="65"/>
  <c r="N931" i="65"/>
  <c r="N932" i="65"/>
  <c r="N933" i="65"/>
  <c r="N934" i="65"/>
  <c r="N935" i="65"/>
  <c r="N936" i="65"/>
  <c r="N937" i="65"/>
  <c r="N938" i="65"/>
  <c r="N939" i="65"/>
  <c r="N940" i="65"/>
  <c r="N941" i="65"/>
  <c r="N942" i="65"/>
  <c r="N943" i="65"/>
  <c r="N944" i="65"/>
  <c r="N945" i="65"/>
  <c r="N946" i="65"/>
  <c r="N947" i="65"/>
  <c r="N948" i="65"/>
  <c r="N949" i="65"/>
  <c r="N950" i="65"/>
  <c r="N951" i="65"/>
  <c r="N952" i="65"/>
  <c r="N953" i="65"/>
  <c r="N954" i="65"/>
  <c r="N955" i="65"/>
  <c r="N956" i="65"/>
  <c r="N957" i="65"/>
  <c r="N958" i="65"/>
  <c r="N959" i="65"/>
  <c r="N960" i="65"/>
  <c r="N961" i="65"/>
  <c r="N962" i="65"/>
  <c r="N963" i="65"/>
  <c r="N964" i="65"/>
  <c r="N965" i="65"/>
  <c r="N966" i="65"/>
  <c r="N967" i="65"/>
  <c r="N968" i="65"/>
  <c r="N969" i="65"/>
  <c r="N970" i="65"/>
  <c r="N971" i="65"/>
  <c r="N972" i="65"/>
  <c r="N973" i="65"/>
  <c r="N974" i="65"/>
  <c r="N975" i="65"/>
  <c r="N976" i="65"/>
  <c r="N977" i="65"/>
  <c r="N978" i="65"/>
  <c r="N979" i="65"/>
  <c r="N980" i="65"/>
  <c r="N981" i="65"/>
  <c r="N982" i="65"/>
  <c r="N983" i="65"/>
  <c r="N984" i="65"/>
  <c r="N985" i="65"/>
  <c r="N986" i="65"/>
  <c r="N987" i="65"/>
  <c r="N988" i="65"/>
  <c r="N989" i="65"/>
  <c r="N990" i="65"/>
  <c r="N991" i="65"/>
  <c r="N992" i="65"/>
  <c r="N993" i="65"/>
  <c r="N994" i="65"/>
  <c r="N995" i="65"/>
  <c r="N996" i="65"/>
  <c r="N997" i="65"/>
  <c r="N998" i="65"/>
  <c r="N999" i="65"/>
  <c r="N1000" i="65"/>
  <c r="N1001" i="65"/>
  <c r="N1002" i="65"/>
  <c r="N1003" i="65"/>
  <c r="N1004" i="65"/>
  <c r="N1005" i="65"/>
  <c r="N1006" i="65"/>
  <c r="N1007" i="65"/>
  <c r="N1008" i="65"/>
  <c r="N1009" i="65"/>
  <c r="N1010" i="65"/>
  <c r="N1011" i="65"/>
  <c r="N1012" i="65"/>
  <c r="N1013" i="65"/>
  <c r="N1014" i="65"/>
  <c r="N1015" i="65"/>
  <c r="N1016" i="65"/>
  <c r="N1017" i="65"/>
  <c r="N1018" i="65"/>
  <c r="N1019" i="65"/>
  <c r="N1020" i="65"/>
  <c r="N1021" i="65"/>
  <c r="N1022" i="65"/>
  <c r="N1023" i="65"/>
  <c r="N1024" i="65"/>
  <c r="N1025" i="65"/>
  <c r="N1026" i="65"/>
  <c r="N1027" i="65"/>
  <c r="N1028" i="65"/>
  <c r="N1029" i="65"/>
  <c r="N1030" i="65"/>
  <c r="N1031" i="65"/>
  <c r="N1032" i="65"/>
  <c r="N1033" i="65"/>
  <c r="N1034" i="65"/>
  <c r="N1035" i="65"/>
  <c r="N1036" i="65"/>
  <c r="N1037" i="65"/>
  <c r="N1038" i="65"/>
  <c r="N1039" i="65"/>
  <c r="N1040" i="65"/>
  <c r="N1041" i="65"/>
  <c r="N1042" i="65"/>
  <c r="N1043" i="65"/>
  <c r="N1044" i="65"/>
  <c r="N1045" i="65"/>
  <c r="N1046" i="65"/>
  <c r="N1047" i="65"/>
  <c r="N1048" i="65"/>
  <c r="N1049" i="65"/>
  <c r="N1050" i="65"/>
  <c r="N1051" i="65"/>
  <c r="N1052" i="65"/>
  <c r="N1053" i="65"/>
  <c r="N1054" i="65"/>
  <c r="N1055" i="65"/>
  <c r="N1056" i="65"/>
  <c r="N1057" i="65"/>
  <c r="N1058" i="65"/>
  <c r="N1059" i="65"/>
  <c r="N1060" i="65"/>
  <c r="N1061" i="65"/>
  <c r="N1062" i="65"/>
  <c r="N1063" i="65"/>
  <c r="N1064" i="65"/>
  <c r="N1065" i="65"/>
  <c r="N1066" i="65"/>
  <c r="N1067" i="65"/>
  <c r="N1068" i="65"/>
  <c r="N1069" i="65"/>
  <c r="N1070" i="65"/>
  <c r="N1071" i="65"/>
  <c r="N1072" i="65"/>
  <c r="N1073" i="65"/>
  <c r="N1074" i="65"/>
  <c r="N1075" i="65"/>
  <c r="N1076" i="65"/>
  <c r="N1077" i="65"/>
  <c r="N1078" i="65"/>
  <c r="N1079" i="65"/>
  <c r="N1080" i="65"/>
  <c r="N1081" i="65"/>
  <c r="N1082" i="65"/>
  <c r="N1083" i="65"/>
  <c r="N1084" i="65"/>
  <c r="N1085" i="65"/>
  <c r="N1086" i="65"/>
  <c r="N1087" i="65"/>
  <c r="N1088" i="65"/>
  <c r="N1089" i="65"/>
  <c r="N1090" i="65"/>
  <c r="N1091" i="65"/>
  <c r="N1092" i="65"/>
  <c r="N1093" i="65"/>
  <c r="N1094" i="65"/>
  <c r="N1095" i="65"/>
  <c r="N1096" i="65"/>
  <c r="N1097" i="65"/>
  <c r="N1098" i="65"/>
  <c r="N1099" i="65"/>
  <c r="N1100" i="65"/>
  <c r="N1101" i="65"/>
  <c r="N1102" i="65"/>
  <c r="N1103" i="65"/>
  <c r="N1104" i="65"/>
  <c r="N1105" i="65"/>
  <c r="N1106" i="65"/>
  <c r="N1107" i="65"/>
  <c r="N1108" i="65"/>
  <c r="N1109" i="65"/>
  <c r="N1110" i="65"/>
  <c r="N1111" i="65"/>
  <c r="N1112" i="65"/>
  <c r="N1113" i="65"/>
  <c r="N1114" i="65"/>
  <c r="N1115" i="65"/>
  <c r="N1116" i="65"/>
  <c r="N1117" i="65"/>
  <c r="N1118" i="65"/>
  <c r="N1119" i="65"/>
  <c r="N1120" i="65"/>
  <c r="N1121" i="65"/>
  <c r="N1122" i="65"/>
  <c r="N1123" i="65"/>
  <c r="N1124" i="65"/>
  <c r="N1125" i="65"/>
  <c r="N1126" i="65"/>
  <c r="N1127" i="65"/>
  <c r="N1128" i="65"/>
  <c r="N1129" i="65"/>
  <c r="N1130" i="65"/>
  <c r="N1131" i="65"/>
  <c r="N1132" i="65"/>
  <c r="N1133" i="65"/>
  <c r="N1134" i="65"/>
  <c r="N1135" i="65"/>
  <c r="N1136" i="65"/>
  <c r="N1137" i="65"/>
  <c r="N1138" i="65"/>
  <c r="N1139" i="65"/>
  <c r="N1140" i="65"/>
  <c r="N1141" i="65"/>
  <c r="N1142" i="65"/>
  <c r="N1143" i="65"/>
  <c r="N1144" i="65"/>
  <c r="N1145" i="65"/>
  <c r="N1146" i="65"/>
  <c r="N1147" i="65"/>
  <c r="N1148" i="65"/>
  <c r="N1149" i="65"/>
  <c r="N1150" i="65"/>
  <c r="N1151" i="65"/>
  <c r="N1152" i="65"/>
  <c r="N1153" i="65"/>
  <c r="N1154" i="65"/>
  <c r="N1155" i="65"/>
  <c r="N1156" i="65"/>
  <c r="N1157" i="65"/>
  <c r="N1158" i="65"/>
  <c r="N1159" i="65"/>
  <c r="N1160" i="65"/>
  <c r="N1161" i="65"/>
  <c r="N1162" i="65"/>
  <c r="N1163" i="65"/>
  <c r="N1164" i="65"/>
  <c r="N1165" i="65"/>
  <c r="N1166" i="65"/>
  <c r="N1167" i="65"/>
  <c r="N1168" i="65"/>
  <c r="N1169" i="65"/>
  <c r="N1170" i="65"/>
  <c r="N1171" i="65"/>
  <c r="N1172" i="65"/>
  <c r="N1173" i="65"/>
  <c r="N1174" i="65"/>
  <c r="N1175" i="65"/>
  <c r="N1176" i="65"/>
  <c r="N1177" i="65"/>
  <c r="N1178" i="65"/>
  <c r="N1179" i="65"/>
  <c r="N1180" i="65"/>
  <c r="N1181" i="65"/>
  <c r="N1182" i="65"/>
  <c r="N1183" i="65"/>
  <c r="N1184" i="65"/>
  <c r="N1185" i="65"/>
  <c r="N1186" i="65"/>
  <c r="N1187" i="65"/>
  <c r="N1188" i="65"/>
  <c r="N1189" i="65"/>
  <c r="N1190" i="65"/>
  <c r="N1191" i="65"/>
  <c r="N1192" i="65"/>
  <c r="N1193" i="65"/>
  <c r="N1194" i="65"/>
  <c r="N1195" i="65"/>
  <c r="N1196" i="65"/>
  <c r="N1197" i="65"/>
  <c r="N1198" i="65"/>
  <c r="N1199" i="65"/>
  <c r="N1200" i="65"/>
  <c r="N1201" i="65"/>
  <c r="N1202" i="65"/>
  <c r="N1203" i="65"/>
  <c r="N1204" i="65"/>
  <c r="N1205" i="65"/>
  <c r="N1206" i="65"/>
  <c r="N1207" i="65"/>
  <c r="N1208" i="65"/>
  <c r="N1209" i="65"/>
  <c r="N1210" i="65"/>
  <c r="N1211" i="65"/>
  <c r="N1212" i="65"/>
  <c r="N1213" i="65"/>
  <c r="N1214" i="65"/>
  <c r="N1215" i="65"/>
  <c r="N1216" i="65"/>
  <c r="N1217" i="65"/>
  <c r="N1218" i="65"/>
  <c r="N1219" i="65"/>
  <c r="N1220" i="65"/>
  <c r="N1221" i="65"/>
  <c r="N1222" i="65"/>
  <c r="N1223" i="65"/>
  <c r="N1224" i="65"/>
  <c r="N1225" i="65"/>
  <c r="N1226" i="65"/>
  <c r="N1227" i="65"/>
  <c r="N1228" i="65"/>
  <c r="N1229" i="65"/>
  <c r="N1230" i="65"/>
  <c r="N1231" i="65"/>
  <c r="N1232" i="65"/>
  <c r="N1233" i="65"/>
  <c r="N1234" i="65"/>
  <c r="N1235" i="65"/>
  <c r="N1236" i="65"/>
  <c r="N1237" i="65"/>
  <c r="N1238" i="65"/>
  <c r="N1239" i="65"/>
  <c r="N1240" i="65"/>
  <c r="N1241" i="65"/>
  <c r="N1242" i="65"/>
  <c r="N1243" i="65"/>
  <c r="N1244" i="65"/>
  <c r="N1245" i="65"/>
  <c r="N1246" i="65"/>
  <c r="N1247" i="65"/>
  <c r="N1248" i="65"/>
  <c r="N1249" i="65"/>
  <c r="N1250" i="65"/>
  <c r="N1251" i="65"/>
  <c r="N1252" i="65"/>
  <c r="N1253" i="65"/>
  <c r="N1254" i="65"/>
  <c r="N1255" i="65"/>
  <c r="N1256" i="65"/>
  <c r="N1257" i="65"/>
  <c r="N1258" i="65"/>
  <c r="N1259" i="65"/>
  <c r="N1260" i="65"/>
  <c r="N1261" i="65"/>
  <c r="N1262" i="65"/>
  <c r="N1263" i="65"/>
  <c r="N1264" i="65"/>
  <c r="N1265" i="65"/>
  <c r="N1266" i="65"/>
  <c r="N1267" i="65"/>
  <c r="N1268" i="65"/>
  <c r="N1269" i="65"/>
  <c r="N1270" i="65"/>
  <c r="N1271" i="65"/>
  <c r="N1272" i="65"/>
  <c r="N1273" i="65"/>
  <c r="N1274" i="65"/>
  <c r="N1275" i="65"/>
  <c r="N1276" i="65"/>
  <c r="N1277" i="65"/>
  <c r="N1278" i="65"/>
  <c r="N1279" i="65"/>
  <c r="N1280" i="65"/>
  <c r="N1281" i="65"/>
  <c r="N1282" i="65"/>
  <c r="N1283" i="65"/>
  <c r="N1284" i="65"/>
  <c r="N1285" i="65"/>
  <c r="N1286" i="65"/>
  <c r="N1287" i="65"/>
  <c r="N1288" i="65"/>
  <c r="N1289" i="65"/>
  <c r="N1290" i="65"/>
  <c r="N1291" i="65"/>
  <c r="N1292" i="65"/>
  <c r="N1293" i="65"/>
  <c r="N1294" i="65"/>
  <c r="N1295" i="65"/>
  <c r="N1296" i="65"/>
  <c r="N1297" i="65"/>
  <c r="N1298" i="65"/>
  <c r="N1299" i="65"/>
  <c r="N1300" i="65"/>
  <c r="N1301" i="65"/>
  <c r="N1302" i="65"/>
  <c r="N1303" i="65"/>
  <c r="N1304" i="65"/>
  <c r="N1305" i="65"/>
  <c r="N1306" i="65"/>
  <c r="N1307" i="65"/>
  <c r="N1308" i="65"/>
  <c r="N1309" i="65"/>
  <c r="N1310" i="65"/>
  <c r="N1311" i="65"/>
  <c r="N1312" i="65"/>
  <c r="N1313" i="65"/>
  <c r="N1314" i="65"/>
  <c r="N1315" i="65"/>
  <c r="N1316" i="65"/>
  <c r="N1317" i="65"/>
  <c r="N1318" i="65"/>
  <c r="N1319" i="65"/>
  <c r="N1320" i="65"/>
  <c r="N1321" i="65"/>
  <c r="N1322" i="65"/>
  <c r="N1323" i="65"/>
  <c r="N1324" i="65"/>
  <c r="N1325" i="65"/>
  <c r="N1326" i="65"/>
  <c r="N1327" i="65"/>
  <c r="N1328" i="65"/>
  <c r="N1329" i="65"/>
  <c r="N1330" i="65"/>
  <c r="N1331" i="65"/>
  <c r="N1332" i="65"/>
  <c r="N1333" i="65"/>
  <c r="N1334" i="65"/>
  <c r="N1335" i="65"/>
  <c r="N1336" i="65"/>
  <c r="N1337" i="65"/>
  <c r="N1338" i="65"/>
  <c r="N1339" i="65"/>
  <c r="N1340" i="65"/>
  <c r="N1341" i="65"/>
  <c r="N1342" i="65"/>
  <c r="N1343" i="65"/>
  <c r="N1344" i="65"/>
  <c r="N1345" i="65"/>
  <c r="N1346" i="65"/>
  <c r="N1347" i="65"/>
  <c r="N1348" i="65"/>
  <c r="N1349" i="65"/>
  <c r="N1350" i="65"/>
  <c r="N1351" i="65"/>
  <c r="N1352" i="65"/>
  <c r="N1353" i="65"/>
  <c r="N1354" i="65"/>
  <c r="N1355" i="65"/>
  <c r="N1356" i="65"/>
  <c r="N1357" i="65"/>
  <c r="N1358" i="65"/>
  <c r="N1359" i="65"/>
  <c r="N1360" i="65"/>
  <c r="N1361" i="65"/>
  <c r="N1362" i="65"/>
  <c r="N1363" i="65"/>
  <c r="N1364" i="65"/>
  <c r="N1365" i="65"/>
  <c r="N1366" i="65"/>
  <c r="N1367" i="65"/>
  <c r="N1368" i="65"/>
  <c r="N1369" i="65"/>
  <c r="N1370" i="65"/>
  <c r="N1371" i="65"/>
  <c r="N1372" i="65"/>
  <c r="N1373" i="65"/>
  <c r="N1374" i="65"/>
  <c r="N1375" i="65"/>
  <c r="N1376" i="65"/>
  <c r="N1377" i="65"/>
  <c r="N1378" i="65"/>
  <c r="N1379" i="65"/>
  <c r="N1380" i="65"/>
  <c r="N1381" i="65"/>
  <c r="N1382" i="65"/>
  <c r="N1383" i="65"/>
  <c r="N1384" i="65"/>
  <c r="N1385" i="65"/>
  <c r="N1386" i="65"/>
  <c r="N1387" i="65"/>
  <c r="N1388" i="65"/>
  <c r="N1389" i="65"/>
  <c r="N1390" i="65"/>
  <c r="N1391" i="65"/>
  <c r="N1392" i="65"/>
  <c r="N1393" i="65"/>
  <c r="N1394" i="65"/>
  <c r="N1395" i="65"/>
  <c r="N1396" i="65"/>
  <c r="N1397" i="65"/>
  <c r="N1398" i="65"/>
  <c r="N1399" i="65"/>
  <c r="N1400" i="65"/>
  <c r="N1401" i="65"/>
  <c r="N1402" i="65"/>
  <c r="N1403" i="65"/>
  <c r="N1404" i="65"/>
  <c r="N1405" i="65"/>
  <c r="N1406" i="65"/>
  <c r="N1407" i="65"/>
  <c r="N1408" i="65"/>
  <c r="N1409" i="65"/>
  <c r="N1410" i="65"/>
  <c r="N1411" i="65"/>
  <c r="N1412" i="65"/>
  <c r="N1413" i="65"/>
  <c r="N1414" i="65"/>
  <c r="N1415" i="65"/>
  <c r="N1416" i="65"/>
  <c r="N1417" i="65"/>
  <c r="N1418" i="65"/>
  <c r="N1419" i="65"/>
  <c r="N1420" i="65"/>
  <c r="N1421" i="65"/>
  <c r="N1422" i="65"/>
  <c r="N1423" i="65"/>
  <c r="N1424" i="65"/>
  <c r="N1425" i="65"/>
  <c r="N1426" i="65"/>
  <c r="N1427" i="65"/>
  <c r="N1428" i="65"/>
  <c r="N1429" i="65"/>
  <c r="N1430" i="65"/>
  <c r="N1431" i="65"/>
  <c r="N1432" i="65"/>
  <c r="N1433" i="65"/>
  <c r="N1434" i="65"/>
  <c r="N1435" i="65"/>
  <c r="N1436" i="65"/>
  <c r="N1437" i="65"/>
  <c r="N1438" i="65"/>
  <c r="N1439" i="65"/>
  <c r="N1440" i="65"/>
  <c r="N1441" i="65"/>
  <c r="N1442" i="65"/>
  <c r="N1443" i="65"/>
  <c r="N1444" i="65"/>
  <c r="N1445" i="65"/>
  <c r="N1446" i="65"/>
  <c r="N1447" i="65"/>
  <c r="N1448" i="65"/>
  <c r="N1449" i="65"/>
  <c r="N1450" i="65"/>
  <c r="N1451" i="65"/>
  <c r="N1452" i="65"/>
  <c r="N1453" i="65"/>
  <c r="N1454" i="65"/>
  <c r="N1455" i="65"/>
  <c r="N1456" i="65"/>
  <c r="N1457" i="65"/>
  <c r="N1458" i="65"/>
  <c r="N1459" i="65"/>
  <c r="N1460" i="65"/>
  <c r="N1461" i="65"/>
  <c r="N1462" i="65"/>
  <c r="N1463" i="65"/>
  <c r="N1464" i="65"/>
  <c r="N1465" i="65"/>
  <c r="N1466" i="65"/>
  <c r="N1467" i="65"/>
  <c r="N1468" i="65"/>
  <c r="N1469" i="65"/>
  <c r="N1470" i="65"/>
  <c r="N1471" i="65"/>
  <c r="N1472" i="65"/>
  <c r="N1473" i="65"/>
  <c r="N1474" i="65"/>
  <c r="N1475" i="65"/>
  <c r="N1476" i="65"/>
  <c r="N1477" i="65"/>
  <c r="N1478" i="65"/>
  <c r="N1479" i="65"/>
  <c r="N1480" i="65"/>
  <c r="N1481" i="65"/>
  <c r="N1482" i="65"/>
  <c r="N1483" i="65"/>
  <c r="N1484" i="65"/>
  <c r="N1485" i="65"/>
  <c r="N1486" i="65"/>
  <c r="N1487" i="65"/>
  <c r="N1488" i="65"/>
  <c r="N1489" i="65"/>
  <c r="N1490" i="65"/>
  <c r="N1491" i="65"/>
  <c r="N1492" i="65"/>
  <c r="N1493" i="65"/>
  <c r="N1494" i="65"/>
  <c r="N1495" i="65"/>
  <c r="N1496" i="65"/>
  <c r="N1497" i="65"/>
  <c r="N1498" i="65"/>
  <c r="N1499" i="65"/>
  <c r="N1500" i="65"/>
  <c r="N1501" i="65"/>
  <c r="N1502" i="65"/>
  <c r="N1503" i="65"/>
  <c r="N1504" i="65"/>
  <c r="N1505" i="65"/>
  <c r="N1506" i="65"/>
  <c r="N1507" i="65"/>
  <c r="N1508" i="65"/>
  <c r="N1509" i="65"/>
  <c r="N1510" i="65"/>
  <c r="N1511" i="65"/>
  <c r="N1512" i="65"/>
  <c r="N1513" i="65"/>
  <c r="N1514" i="65"/>
  <c r="N1515" i="65"/>
  <c r="N1516" i="65"/>
  <c r="N1517" i="65"/>
  <c r="N1518" i="65"/>
  <c r="N1519" i="65"/>
  <c r="N1520" i="65"/>
  <c r="N1521" i="65"/>
  <c r="N1522" i="65"/>
  <c r="N1523" i="65"/>
  <c r="N1524" i="65"/>
  <c r="N1525" i="65"/>
  <c r="N1526" i="65"/>
  <c r="N1527" i="65"/>
  <c r="N1528" i="65"/>
  <c r="N1529" i="65"/>
  <c r="N1530" i="65"/>
  <c r="N1531" i="65"/>
  <c r="N1532" i="65"/>
  <c r="N1533" i="65"/>
  <c r="N1534" i="65"/>
  <c r="N1535" i="65"/>
  <c r="N1536" i="65"/>
  <c r="N1537" i="65"/>
  <c r="N1538" i="65"/>
  <c r="N1539" i="65"/>
  <c r="N1540" i="65"/>
  <c r="N1541" i="65"/>
  <c r="K3" i="64"/>
  <c r="K14" i="64"/>
  <c r="K15" i="64"/>
  <c r="K16" i="64"/>
  <c r="K17" i="64"/>
  <c r="K18" i="64"/>
  <c r="K19" i="64"/>
  <c r="K20" i="64"/>
  <c r="K21" i="64"/>
  <c r="K22" i="64"/>
  <c r="K23" i="64"/>
  <c r="K24" i="64"/>
  <c r="K25" i="64"/>
  <c r="K26" i="64"/>
  <c r="K27" i="64"/>
  <c r="K28" i="64"/>
  <c r="K29" i="64"/>
  <c r="K30" i="64"/>
  <c r="K31" i="64"/>
  <c r="K32" i="64"/>
  <c r="K33" i="64"/>
  <c r="K34" i="64"/>
  <c r="K35" i="64"/>
  <c r="K36" i="64"/>
  <c r="K37" i="64"/>
  <c r="K38" i="64"/>
  <c r="K39" i="64"/>
  <c r="K40" i="64"/>
  <c r="K41" i="64"/>
  <c r="K42" i="64"/>
  <c r="K43" i="64"/>
  <c r="K44" i="64"/>
  <c r="K45" i="64"/>
  <c r="K46" i="64"/>
  <c r="K47" i="64"/>
  <c r="K48" i="64"/>
  <c r="K49" i="64"/>
  <c r="K50" i="64"/>
  <c r="K51" i="64"/>
  <c r="K52" i="64"/>
  <c r="K53" i="64"/>
  <c r="K54" i="64"/>
  <c r="K55" i="64"/>
  <c r="K56" i="64"/>
  <c r="K57" i="64"/>
  <c r="K58" i="64"/>
  <c r="K59" i="64"/>
  <c r="K60" i="64"/>
  <c r="K61" i="64"/>
  <c r="K62" i="64"/>
  <c r="K63" i="64"/>
  <c r="K64" i="64"/>
  <c r="K65" i="64"/>
  <c r="K66" i="64"/>
  <c r="K67" i="64"/>
  <c r="K68" i="64"/>
  <c r="K69" i="64"/>
  <c r="K70" i="64"/>
  <c r="K71" i="64"/>
  <c r="K72" i="64"/>
  <c r="K73" i="64"/>
  <c r="K74" i="64"/>
  <c r="K75" i="64"/>
  <c r="K76" i="64"/>
  <c r="K77" i="64"/>
  <c r="K78" i="64"/>
  <c r="K79" i="64"/>
  <c r="K80" i="64"/>
  <c r="K81" i="64"/>
  <c r="K82" i="64"/>
  <c r="K83" i="64"/>
  <c r="K84" i="64"/>
  <c r="K85" i="64"/>
  <c r="K86" i="64"/>
  <c r="K87" i="64"/>
  <c r="K88" i="64"/>
  <c r="K89" i="64"/>
  <c r="K90" i="64"/>
  <c r="K91" i="64"/>
  <c r="K92" i="64"/>
  <c r="K93" i="64"/>
  <c r="K94" i="64"/>
  <c r="K95" i="64"/>
  <c r="K96" i="64"/>
  <c r="K97" i="64"/>
  <c r="K98" i="64"/>
  <c r="K99" i="64"/>
  <c r="K100" i="64"/>
  <c r="K101" i="64"/>
  <c r="K102" i="64"/>
  <c r="K103" i="64"/>
  <c r="K104" i="64"/>
  <c r="K105" i="64"/>
  <c r="K106" i="64"/>
  <c r="K107" i="64"/>
  <c r="K108" i="64"/>
  <c r="K109" i="64"/>
  <c r="K110" i="64"/>
  <c r="K111" i="64"/>
  <c r="K112" i="64"/>
  <c r="K113" i="64"/>
  <c r="K114" i="64"/>
  <c r="K115" i="64"/>
  <c r="K116" i="64"/>
  <c r="K117" i="64"/>
  <c r="K118" i="64"/>
  <c r="K119" i="64"/>
  <c r="K120" i="64"/>
  <c r="K121" i="64"/>
  <c r="K122" i="64"/>
  <c r="K123" i="64"/>
  <c r="K124" i="64"/>
  <c r="K125" i="64"/>
  <c r="K126" i="64"/>
  <c r="K127" i="64"/>
  <c r="K128" i="64"/>
  <c r="K129" i="64"/>
  <c r="K130" i="64"/>
  <c r="K131" i="64"/>
  <c r="K132" i="64"/>
  <c r="K133" i="64"/>
  <c r="K134" i="64"/>
  <c r="K135" i="64"/>
  <c r="K136" i="64"/>
  <c r="K137" i="64"/>
  <c r="K138" i="64"/>
  <c r="K139" i="64"/>
  <c r="K140" i="64"/>
  <c r="K141" i="64"/>
  <c r="K142" i="64"/>
  <c r="K143" i="64"/>
  <c r="K144" i="64"/>
  <c r="K145" i="64"/>
  <c r="K146" i="64"/>
  <c r="K147" i="64"/>
  <c r="K148" i="64"/>
  <c r="K149" i="64"/>
  <c r="K150" i="64"/>
  <c r="K151" i="64"/>
  <c r="K152" i="64"/>
  <c r="K153" i="64"/>
  <c r="K154" i="64"/>
  <c r="K155" i="64"/>
  <c r="K156" i="64"/>
  <c r="K157" i="64"/>
  <c r="K158" i="64"/>
  <c r="K159" i="64"/>
  <c r="K160" i="64"/>
  <c r="K161" i="64"/>
  <c r="K162" i="64"/>
  <c r="K163" i="64"/>
  <c r="K164" i="64"/>
  <c r="K165" i="64"/>
  <c r="K166" i="64"/>
  <c r="K167" i="64"/>
  <c r="K168" i="64"/>
  <c r="K169" i="64"/>
  <c r="K170" i="64"/>
  <c r="K171" i="64"/>
  <c r="K172" i="64"/>
  <c r="K173" i="64"/>
  <c r="K174" i="64"/>
  <c r="K175" i="64"/>
  <c r="K176" i="64"/>
  <c r="K177" i="64"/>
  <c r="K178" i="64"/>
  <c r="K179" i="64"/>
  <c r="K180" i="64"/>
  <c r="K181" i="64"/>
  <c r="K182" i="64"/>
  <c r="K183" i="64"/>
  <c r="K184" i="64"/>
  <c r="K185" i="64"/>
  <c r="K186" i="64"/>
  <c r="K187" i="64"/>
  <c r="K188" i="64"/>
  <c r="K189" i="64"/>
  <c r="K190" i="64"/>
  <c r="K191" i="64"/>
  <c r="K192" i="64"/>
  <c r="K193" i="64"/>
  <c r="K194" i="64"/>
  <c r="K195" i="64"/>
  <c r="K196" i="64"/>
  <c r="K197" i="64"/>
  <c r="K198" i="64"/>
  <c r="K199" i="64"/>
  <c r="K200" i="64"/>
  <c r="K201" i="64"/>
  <c r="K202" i="64"/>
  <c r="K203" i="64"/>
  <c r="K204" i="64"/>
  <c r="K205" i="64"/>
  <c r="K206" i="64"/>
  <c r="K207" i="64"/>
  <c r="K208" i="64"/>
  <c r="K209" i="64"/>
  <c r="K210" i="64"/>
  <c r="K211" i="64"/>
  <c r="K212" i="64"/>
  <c r="K213" i="64"/>
  <c r="K214" i="64"/>
  <c r="K215" i="64"/>
  <c r="K216" i="64"/>
  <c r="K217" i="64"/>
  <c r="K218" i="64"/>
  <c r="K219" i="64"/>
  <c r="K220" i="64"/>
  <c r="K221" i="64"/>
  <c r="K222" i="64"/>
  <c r="K223" i="64"/>
  <c r="K224" i="64"/>
  <c r="K225" i="64"/>
  <c r="K226" i="64"/>
  <c r="K227" i="64"/>
  <c r="K228" i="64"/>
  <c r="K229" i="64"/>
  <c r="K230" i="64"/>
  <c r="K231" i="64"/>
  <c r="K232" i="64"/>
  <c r="K233" i="64"/>
  <c r="K234" i="64"/>
  <c r="K235" i="64"/>
  <c r="K236" i="64"/>
  <c r="K237" i="64"/>
  <c r="K238" i="64"/>
  <c r="K239" i="64"/>
  <c r="K240" i="64"/>
  <c r="K241" i="64"/>
  <c r="K242" i="64"/>
  <c r="K243" i="64"/>
  <c r="K244" i="64"/>
  <c r="K245" i="64"/>
  <c r="K246" i="64"/>
  <c r="K247" i="64"/>
  <c r="K248" i="64"/>
  <c r="K249" i="64"/>
  <c r="K250" i="64"/>
  <c r="K251" i="64"/>
  <c r="K252" i="64"/>
  <c r="K253" i="64"/>
  <c r="K254" i="64"/>
  <c r="K255" i="64"/>
  <c r="K256" i="64"/>
  <c r="K257" i="64"/>
  <c r="K258" i="64"/>
  <c r="K259" i="64"/>
  <c r="K260" i="64"/>
  <c r="K261" i="64"/>
  <c r="K262" i="64"/>
  <c r="K263" i="64"/>
  <c r="K264" i="64"/>
  <c r="K265" i="64"/>
  <c r="K266" i="64"/>
  <c r="K267" i="64"/>
  <c r="K268" i="64"/>
  <c r="K269" i="64"/>
  <c r="K270" i="64"/>
  <c r="K271" i="64"/>
  <c r="K272" i="64"/>
  <c r="K273" i="64"/>
  <c r="K274" i="64"/>
  <c r="K275" i="64"/>
  <c r="K276" i="64"/>
  <c r="K277" i="64"/>
  <c r="K278" i="64"/>
  <c r="K279" i="64"/>
  <c r="K280" i="64"/>
  <c r="K281" i="64"/>
  <c r="K282" i="64"/>
  <c r="K283" i="64"/>
  <c r="K284" i="64"/>
  <c r="K285" i="64"/>
  <c r="K286" i="64"/>
  <c r="K287" i="64"/>
  <c r="K288" i="64"/>
  <c r="K289" i="64"/>
  <c r="K290" i="64"/>
  <c r="K291" i="64"/>
  <c r="K292" i="64"/>
  <c r="K293" i="64"/>
  <c r="K294" i="64"/>
  <c r="K295" i="64"/>
  <c r="K296" i="64"/>
  <c r="K297" i="64"/>
  <c r="K298" i="64"/>
  <c r="K299" i="64"/>
  <c r="K300" i="64"/>
  <c r="K301" i="64"/>
  <c r="K302" i="64"/>
  <c r="K303" i="64"/>
  <c r="K304" i="64"/>
  <c r="K305" i="64"/>
  <c r="K306" i="64"/>
  <c r="K307" i="64"/>
  <c r="K308" i="64"/>
  <c r="K309" i="64"/>
  <c r="K4" i="64"/>
  <c r="K5" i="64"/>
  <c r="K6" i="64"/>
  <c r="K7" i="64"/>
  <c r="K8" i="64"/>
  <c r="K9" i="64"/>
  <c r="K10" i="64"/>
  <c r="K11" i="64"/>
  <c r="K12" i="64"/>
  <c r="K13" i="64"/>
  <c r="A3" i="60"/>
  <c r="A4" i="60"/>
  <c r="A5" i="60"/>
  <c r="A6" i="60"/>
  <c r="A7" i="60"/>
  <c r="A8" i="60"/>
  <c r="A9" i="60"/>
  <c r="A2" i="60"/>
  <c r="I8" i="6"/>
  <c r="B3" i="6"/>
  <c r="B4" i="6"/>
  <c r="B5" i="6"/>
  <c r="B6" i="6"/>
  <c r="B7" i="6"/>
  <c r="B8" i="6"/>
  <c r="B9" i="6"/>
  <c r="B10" i="6"/>
  <c r="B11" i="6"/>
  <c r="B12" i="6"/>
  <c r="B13" i="6"/>
  <c r="B14" i="6"/>
  <c r="B15" i="6"/>
  <c r="B16" i="6"/>
  <c r="B17" i="6"/>
  <c r="B18" i="6"/>
  <c r="B19" i="6"/>
  <c r="B2" i="6"/>
  <c r="I17" i="6" l="1"/>
  <c r="J17" i="6" s="1"/>
  <c r="I12" i="6"/>
  <c r="J12" i="6" s="1"/>
  <c r="I18" i="6"/>
  <c r="J18" i="6" s="1"/>
  <c r="I19" i="6"/>
  <c r="J19" i="6" s="1"/>
  <c r="I10" i="6"/>
  <c r="J10" i="6" s="1"/>
  <c r="I11" i="6"/>
  <c r="J11" i="6" s="1"/>
  <c r="J8" i="6"/>
  <c r="I6" i="6"/>
  <c r="J6" i="6" s="1"/>
  <c r="I5" i="6"/>
  <c r="J5" i="6" s="1"/>
  <c r="I4" i="6"/>
  <c r="J4" i="6" s="1"/>
  <c r="I3" i="6"/>
  <c r="J3" i="6" s="1"/>
  <c r="I15" i="6"/>
  <c r="J15" i="6" s="1"/>
  <c r="I16" i="6"/>
  <c r="J16" i="6" s="1"/>
  <c r="I14" i="6"/>
  <c r="J14" i="6" s="1"/>
  <c r="I9" i="6"/>
  <c r="J9" i="6" s="1"/>
  <c r="I7" i="6"/>
  <c r="J7" i="6" s="1"/>
  <c r="I2" i="6"/>
  <c r="J2" i="6" s="1"/>
  <c r="I13" i="6"/>
  <c r="J13" i="6" s="1"/>
</calcChain>
</file>

<file path=xl/sharedStrings.xml><?xml version="1.0" encoding="utf-8"?>
<sst xmlns="http://schemas.openxmlformats.org/spreadsheetml/2006/main" count="363" uniqueCount="206">
  <si>
    <t>Step</t>
  </si>
  <si>
    <t>Description</t>
  </si>
  <si>
    <t>Define project</t>
  </si>
  <si>
    <t>This project will aim to quantitatively classify neighborhoods in a major city as likely to gentrify, remain stable, or be at risk of decline, using indication factors over time. These outputs will be supported by basic qualitative context from local development news or plans.</t>
  </si>
  <si>
    <t>Indicator pool</t>
  </si>
  <si>
    <t>Factor</t>
  </si>
  <si>
    <t>Source</t>
  </si>
  <si>
    <t>Why It Might Matter</t>
  </si>
  <si>
    <t>Median income growth</t>
  </si>
  <si>
    <t>% change over 5–10 years</t>
  </si>
  <si>
    <t>Census ACS</t>
  </si>
  <si>
    <t>Core economic signal of rising affluence</t>
  </si>
  <si>
    <t>Rent price growth</t>
  </si>
  <si>
    <t>ZORI % change</t>
  </si>
  <si>
    <t>Zillow</t>
  </si>
  <si>
    <t>Market pressure indicator</t>
  </si>
  <si>
    <t>Home value growth</t>
  </si>
  <si>
    <t>ZHVI % change</t>
  </si>
  <si>
    <t>Suggests real estate demand</t>
  </si>
  <si>
    <t>New building permits per capita or tract</t>
  </si>
  <si>
    <t>Development activity</t>
  </si>
  <si>
    <t>Demographic shift (% White)</t>
  </si>
  <si>
    <t>% change in white population over time</t>
  </si>
  <si>
    <t>Often seen in gentrification studies</t>
  </si>
  <si>
    <t>% Bachelor's degree+</t>
  </si>
  <si>
    <t>% with college degrees</t>
  </si>
  <si>
    <t>Proxy for education/income level</t>
  </si>
  <si>
    <t>Owner-occupancy rate</t>
  </si>
  <si>
    <t>% of owner-occupied units</t>
  </si>
  <si>
    <t>Decline could suggest displacement of long-term residents</t>
  </si>
  <si>
    <t>% Rent-burdened households</t>
  </si>
  <si>
    <t>% spending &gt;30% income on rent</t>
  </si>
  <si>
    <t>Rising rent burden = housing stress</t>
  </si>
  <si>
    <t>Vacancy rate</t>
  </si>
  <si>
    <t>% of unoccupied housing units</t>
  </si>
  <si>
    <t>Can indicate underuse or pending development</t>
  </si>
  <si>
    <t>Crime rate drop</t>
  </si>
  <si>
    <t>Change in violent/property crime rate</t>
  </si>
  <si>
    <t>Drop in crime often coincides with neighborhood change</t>
  </si>
  <si>
    <t>311 complaints volume</t>
  </si>
  <si>
    <t>Volume/type of complaints (e.g. noise, rats, construction)</t>
  </si>
  <si>
    <t>Noise &amp; disruption can signal gentrification phases</t>
  </si>
  <si>
    <t>Transit access improvements</t>
  </si>
  <si>
    <t>New bus/train stops, service improvements</t>
  </si>
  <si>
    <t>Improves neighborhood attractiveness</t>
  </si>
  <si>
    <t>Small business permits</t>
  </si>
  <si>
    <t>Number of new business licenses or food permits</t>
  </si>
  <si>
    <t>New businesses often follow early gentrifiers</t>
  </si>
  <si>
    <t>Internet access rate</t>
  </si>
  <si>
    <t>% of households with broadband</t>
  </si>
  <si>
    <t>Can reflect digital divide &amp; gentrification progress</t>
  </si>
  <si>
    <t>School rating improvements</t>
  </si>
  <si>
    <t>Test scores, graduation rates</t>
  </si>
  <si>
    <t>Often tied to real estate value</t>
  </si>
  <si>
    <t>Importance (1-10)</t>
  </si>
  <si>
    <t>Build a broad initial pool of potential indicators for gentrification, where it could be found and why it might matter in the factor weighting sheet to be evaluated on practicality and impact</t>
  </si>
  <si>
    <t>Housing tenure change over time</t>
  </si>
  <si>
    <t>Population density change</t>
  </si>
  <si>
    <t>Household size</t>
  </si>
  <si>
    <t xml:space="preserve">Census ACS	</t>
  </si>
  <si>
    <t>Census ACS + TIGER shapefiles</t>
  </si>
  <si>
    <t>Change in % of renter- vs. owner-occupied households over time</t>
  </si>
  <si>
    <t>% change in population density</t>
  </si>
  <si>
    <t>Average household size</t>
  </si>
  <si>
    <t>Shifting balance of renters vs. owners can signal neighborhood transition or displacement</t>
  </si>
  <si>
    <t>Can reflect infill development, rising demand, or crowding pressures</t>
  </si>
  <si>
    <t xml:space="preserve">Changes may signal demographic turnover 
</t>
  </si>
  <si>
    <t>Indicator rankings</t>
  </si>
  <si>
    <t>Reasoning in Factor_Assessment.docx</t>
  </si>
  <si>
    <t>Ranking (descending)</t>
  </si>
  <si>
    <t>City open data, Accela Citizen Access Portal , Indiana Data Hub</t>
  </si>
  <si>
    <t>FBI / City open data, Open Indy Data Portal , City of Indianapolis and Marion County - IndyGIS</t>
  </si>
  <si>
    <t>City open data, Request Indy , Open Indy Data Portal</t>
  </si>
  <si>
    <t>City planning portals, IndyGo Transit Planning , IndyGo ADA Transition Plan</t>
  </si>
  <si>
    <t>City open data, 	Department of Business and Neighborhood Services , INBiz</t>
  </si>
  <si>
    <t xml:space="preserve">Census ACS, FCC Broadband Map	</t>
  </si>
  <si>
    <t>State education department, Indiana Department of Education Data Center , GreatSchools</t>
  </si>
  <si>
    <t xml:space="preserve">Feasibility (1-10) </t>
  </si>
  <si>
    <t>Total score - tiebreaker</t>
  </si>
  <si>
    <t>Total Scores</t>
  </si>
  <si>
    <t>Overall Permit volume</t>
  </si>
  <si>
    <t>Obtained top 8 ranking indicators being, Median income growth, Demographic shift (% White), Rent price growth, Vacancy rate %, Bachelor's degree+ Home value growth, Housing tenure change over time, and 311 complaints volume</t>
  </si>
  <si>
    <t xml:space="preserve">Since Housing Tenure Change Over time, Rent Burden % and Owner Occupancy rate were all highly rated and similar and not all included may attempt to combine into a single Housing Pressure index if possible </t>
  </si>
  <si>
    <t>Download ZORI, ZHVI and Zip to tract data. Use ChatGPT to help understand how to use mutate(), pivot_longer() and left_join()</t>
  </si>
  <si>
    <t>Collect 311 complain calls</t>
  </si>
  <si>
    <t>Date started</t>
  </si>
  <si>
    <t>I transformed ZORI into tract-level time series by using a HUD ZIP-to-tract crosswalk with residential ratios. I reshaped the time series, filtered for 2015-2023, and calculated a weighted average ZORI per tract per year. The zori_avg_weighted value represents an estimate of the average rent index for each tract, adjusted for how ZIP codes overlap with tract boundaries. Repeated process for ZHVI. Used ChatGPT for sanity checks, not listed in scripts.</t>
  </si>
  <si>
    <t>Use OpenIndy to get Mayor's Action Center for Legacy Service Cases.</t>
  </si>
  <si>
    <t>Using tidycensus 2015-2023 (2024 not yet available can be updated with new data) with API key for income, racial  demographics, vacancy, college education, and housing. pressure change by tract. CSVs in data_raw and XLSX in data_clean</t>
  </si>
  <si>
    <t>Forecast Income</t>
  </si>
  <si>
    <t>ARIMA forecast should fit well bc the csv is very clean, just need to find what (p,q,d) are using tidyverse packages fable and tsibble.</t>
  </si>
  <si>
    <t>Weighing the factors and creating one gentrification risk score to forecast is easier but forecasting all 8 then normalizing combing after allows for custon forecast models and allows for backtesting on indicator change and in general being able to see which indicator was most predicitve in reality</t>
  </si>
  <si>
    <t>Decide whether to 5 year forecast all 8 individually per tract or group into one "gentrification score" and forecast that per tract</t>
  </si>
  <si>
    <t>Forecast demographics</t>
  </si>
  <si>
    <t>Similar crosswalk usage to ZORI &amp; ZHVI</t>
  </si>
  <si>
    <t>Important Notes</t>
  </si>
  <si>
    <t>Many tracts show clear upward or downward trends in demographic or income variables. While default model selection might favor a random walk due to short series length, such models imply no systematic trend and perform poorly in projecting risk zones. For meaningful risk forecasting, I constrained the ARIMA fitting to avoid those orders and ensure dynamic predictions. Same process may be used for other forecasts</t>
  </si>
  <si>
    <t>Collect cenus data</t>
  </si>
  <si>
    <t>Collect Zillow data</t>
  </si>
  <si>
    <t>City selection</t>
  </si>
  <si>
    <t>Obtained indicators</t>
  </si>
  <si>
    <t>Very similar process as forecasting income</t>
  </si>
  <si>
    <t>Incoporate moe to the income forecasts</t>
  </si>
  <si>
    <t>To improve forecast reliability, I excluded estimates with a margin of error greater than 50% of the estimate before fitting ARIMA models per tract. Dropped tracts will be adressed later.</t>
  </si>
  <si>
    <t>Fix demographics forecast</t>
  </si>
  <si>
    <t>While looking at my work so far found a few forecasts were over 100% due to census errors so fixed the script to max at 100</t>
  </si>
  <si>
    <t>Forecast ZORI</t>
  </si>
  <si>
    <t>Forecast Vacancy</t>
  </si>
  <si>
    <t>Used ChatGPT for sanity checks, not listed in scripts. Also used ChatGPT to understand the pipe operator to make things go faster.</t>
  </si>
  <si>
    <t>Fix Vacancy Forecast</t>
  </si>
  <si>
    <t>Bounded forecasts from 0 to 100</t>
  </si>
  <si>
    <t>Note</t>
  </si>
  <si>
    <t>Some tracts showed negative values so had to be addressed. Will implement these clamps for the rest of the percentage indicators</t>
  </si>
  <si>
    <t>Forecast College</t>
  </si>
  <si>
    <t>Similar process to other census data</t>
  </si>
  <si>
    <t>Forecast ZHVI</t>
  </si>
  <si>
    <t>Very similar process as ZORI</t>
  </si>
  <si>
    <t>For my model fitting even though some tracts for some data are genuinely random walks, it is overfitting them for the purpose of this project so I am forcing fable to have at least 1 AR and 1 differencing for every tract. Even though this may lead to slightly misleading forecasts for tracts with little or bad data there will be 8 factors weighed into the overall score for each tract so it will average out the bad forecasts to some degree</t>
  </si>
  <si>
    <t>Forecast change</t>
  </si>
  <si>
    <t>After reading and researching more about forecasting I see it is generally a good idea to log transform price data before forecasting, going to retroactively do this for all forecasts</t>
  </si>
  <si>
    <t>Forecast 311 complaints</t>
  </si>
  <si>
    <t>Obvious visual trends but it was forecasting too flat so I forced it to fit a trend</t>
  </si>
  <si>
    <t>Add Forced Trend</t>
  </si>
  <si>
    <t>Add the same Force trend to ZOR, ZHVI and Income forecasts since these logically will always be captured by a trend through time, usually upwards. Leave education, vacancy, housing pressure and Demographics as is to autofit because they are more volatile and don't have a clear typical trend over time like how inflation and GDP growth would effect the others</t>
  </si>
  <si>
    <t>Normalize forecast and forecast deltas</t>
  </si>
  <si>
    <t>Factors</t>
  </si>
  <si>
    <t>Delta</t>
  </si>
  <si>
    <t>Value</t>
  </si>
  <si>
    <t>Positive</t>
  </si>
  <si>
    <t>Negative</t>
  </si>
  <si>
    <t>Normalize raw forecast values as well as year over year delta for each indicator. After averaging those two scores out it will make it easier to combine with the other 7 indicators to create a composite gentrification score out of 8.</t>
  </si>
  <si>
    <t>For some of the forecasts some tracts are still somewhat static forecasts with (1,1,0) or just 0s because a lack of or bad data. This is fine because for the final weighting they will either be not included or just weigh the overall normalized gentrification score to be less extreme, either work out out since there is a degree of uncertainty.</t>
  </si>
  <si>
    <t>Chose forecasting all 8 individually,  2024-2028, but 2025-2028 being the only true future forecasts from current time, 2024 will be used as lag and can serve as a good reliability check when the data is released</t>
  </si>
  <si>
    <t>Steep learning curve for the first two forecasts using tsibble to convert then using fable to forecast, but after learning the basics it is plug and chug with some changes</t>
  </si>
  <si>
    <t>Attempt 1: normalized forecasts into one gentrification score</t>
  </si>
  <si>
    <t>Noisy and unstable forecasts, have to go back and smooth all my forecasts then rerun the normalization scripts</t>
  </si>
  <si>
    <t>Overhaul forecasting and normalization scripts</t>
  </si>
  <si>
    <t>log transformed like all the monetary indicators even though the data acts like a percent it is a little skewed so I wanted to penalize high end growth</t>
  </si>
  <si>
    <t>Long process compared to all other stages of the project, lots of troubleshooting help from chat gpt</t>
  </si>
  <si>
    <t>Attempt 2: normalized forecasts into one gentrification score</t>
  </si>
  <si>
    <t>Two  changes here as well: 2:1 ratio for delta z scores to raw forecast z scores since the deltas are more indicative of the direction it is headed and gentrification is dynamic. Second change is adding 2024 forecast values and also going back and grabbing 2023 raw values for the lag for 2024 deltas.</t>
  </si>
  <si>
    <t xml:space="preserve">Similar process, just logged for the forecast then exponentiated </t>
  </si>
  <si>
    <t>Might decide to try 3:1 or other ratios internally to see how it changes the GRI. Also considered forecasting 2023 for the tracts that do not have 2023 raw data but noise and uncertainty makes it pointless just leave it out</t>
  </si>
  <si>
    <t>Nuanced 311 calls</t>
  </si>
  <si>
    <t>(For early stage gentrification, sometimes opposite for late stage, opposite for late)</t>
  </si>
  <si>
    <t>Left 311 calls out of the GBI because their impact on gentrification is dependent on the stage of gentrification so adding them really won't add much value even if I created another glimpse of the top 3 indicators to base it off of like when I forecasted the 311 calls. Also still negate vacancy</t>
  </si>
  <si>
    <t>Create Gentrification baseline index</t>
  </si>
  <si>
    <t>Attempt 3: normalized forecasts into one gentrification score</t>
  </si>
  <si>
    <t>Created a 2023 baseline to add context to what stage of gentrification the tract is currently in before the forecast. For tracts with no 2023 data available it was interpolated. Also will use these interpolated values for the 2024 deltas.</t>
  </si>
  <si>
    <t>After creating the interpolated raw data to create a 2023 baseline it makes sense to use this new data for my 2024 deltas  since there will be less missing data replaced with reasonable interpolations</t>
  </si>
  <si>
    <t>Use interpolated 2023 values for 2024 deltas in normalization scripts</t>
  </si>
  <si>
    <t>Overhaul forecasting scripts again</t>
  </si>
  <si>
    <t>3 year rolling average</t>
  </si>
  <si>
    <t xml:space="preserve">Reviewing my work I found another issue, for almost all tracts and all 8 indicators the 2025 and 2026 forecasts were going flat and almost identical across the board. To fix this tried different smoothing methods and decided with </t>
  </si>
  <si>
    <t>Change from rolling average to LOESS because LOESS adapts to local trends without flattening abrupt but valid shifts which was happening in 2026 (the first year the rolling average was being applied)</t>
  </si>
  <si>
    <t>Essentially triangulating current conditions, trajectory, and velocity of change with the greatest emphasis on deltas which would be the velocity since that intuitively would be most predictive</t>
  </si>
  <si>
    <t>Pick a city to create the model for, based on practicality and access to data</t>
  </si>
  <si>
    <t>Research which 8 factors have the greatest fundamental correlation with gentrification and how feasible it would be to collect and clean data on these factors. Score each factor based on these parameters and get an overall ranking of which 8 are highest priority to track over 9 years</t>
  </si>
  <si>
    <t>Forecast Housing pressure</t>
  </si>
  <si>
    <t>Housing pressure value defined as % rent burdened houses times renter occupancy rate to fully capture the amount of renters and how much strain they are under</t>
  </si>
  <si>
    <t>Since in early stage gentrifying neighborhoods more 311 calls indicates more gentrification, but in late stage it is the opposite I took a snapshot of my top 3 indicators (income, demographics and rent) in 2024 to determine if each tract was early stage or late stage currently and depending on that flip the impact of 311 calls or if in is uncertain flatten it to 0 since it won't give a great signal</t>
  </si>
  <si>
    <t>Reviewing my work I found two issues. One was that some of the forecasts were volatile and this was fixed by applying a 3 year trailing average. The second issue was some of the forecasts would explode due to what seems like clerical errors in the data for example a data point being in the 90s while all other are in the 900s, this was resolved by clipping values that jump or fall 5x</t>
  </si>
  <si>
    <t>Having an Indiana real estate license and training with it Indianapolis is practical and has a good amount of open source data</t>
  </si>
  <si>
    <t>"Factor" and "Indicator" are used interchangeably and also file and folder names may be slightly inconsistent/misleading but I wanted to make sure all the scripts were 100% reproducible so they were left as is</t>
  </si>
  <si>
    <t xml:space="preserve">Also categorized tracts if they were determine to be super early stage or super late stage currently based on the indicators and gave these a 2x multiplier because we can be even more confident about the effects of these </t>
  </si>
  <si>
    <t>Not going to implement it into the forecast scripts because it is generally a fair enough estimate for the deltas but not rigorous enough to impact my forecasts of the raw data</t>
  </si>
  <si>
    <t>Each indicator needs directional alignment  based on how it affects gentrification before being combined some may need to be negated. Touched on this in the factor assessment document but clearly laid out in the indicator alignment sheet.</t>
  </si>
  <si>
    <t>zori.csv_zscore</t>
  </si>
  <si>
    <t>zhvi.csv_zscore</t>
  </si>
  <si>
    <t>vacancy_rate.csv_zscore</t>
  </si>
  <si>
    <t>percent_white.csv_zscore</t>
  </si>
  <si>
    <t>income.csv_zscore</t>
  </si>
  <si>
    <t>housing_tenure_burden.csv.csv_zscore</t>
  </si>
  <si>
    <t>education.csv_zscore</t>
  </si>
  <si>
    <t>GEOID</t>
  </si>
  <si>
    <t>zori_by_tract.csv_zscore</t>
  </si>
  <si>
    <t>zhvi_by_tract.csv_zscore</t>
  </si>
  <si>
    <t>white_by_tract.csv_zscore</t>
  </si>
  <si>
    <t>vacancy_rate_by_tract.csv_zscore</t>
  </si>
  <si>
    <t>income_by_tract.csv_zscore</t>
  </si>
  <si>
    <t>housing_pressure_by_tract.csv_zscore</t>
  </si>
  <si>
    <t>education_by_tract.csv_zscore</t>
  </si>
  <si>
    <t>call_volume_by_tract.csv_zscore</t>
  </si>
  <si>
    <t>year</t>
  </si>
  <si>
    <t>zori_by_tract_deltas.csv_zscore</t>
  </si>
  <si>
    <t>zhvi_by_tract_deltas.csv_zscore</t>
  </si>
  <si>
    <t>white_by_tract_deltas.csv_zscore</t>
  </si>
  <si>
    <t>vacancy_rate_by_tract_deltas.csv_zscore</t>
  </si>
  <si>
    <t>income_by_tract_deltas.csv_zscore</t>
  </si>
  <si>
    <t>housing_pressure_by_tract_deltas.csv_zscore</t>
  </si>
  <si>
    <t>education_by_tract_deltas.csv_zscore</t>
  </si>
  <si>
    <t>call_volume_by_tract_deltas.csv_zscore</t>
  </si>
  <si>
    <t>Put all 2023 z scores, forecast z scores and delta z scores into on excel sheets to combine and weigh the factors</t>
  </si>
  <si>
    <t>Debug delta normalization scripts</t>
  </si>
  <si>
    <t>3/8 were missing delta z scores for 2024</t>
  </si>
  <si>
    <t>some typos and some just needed infinate handling</t>
  </si>
  <si>
    <t>Sum</t>
  </si>
  <si>
    <t>N</t>
  </si>
  <si>
    <t>Compile gentrification scores</t>
  </si>
  <si>
    <t>Mean Delta Z Score</t>
  </si>
  <si>
    <t>Mean 2023 Z Score</t>
  </si>
  <si>
    <t>Mean Forecast Z score</t>
  </si>
  <si>
    <t>See "2023 Z Score", "Delta Z  Scores", "Forecast Z Scores" and "Composite Gentrification Score" worksheets for formulas and methods. Dropped any tracts with &lt;3 indicators to avoid noise dominance</t>
  </si>
  <si>
    <t>N/A</t>
  </si>
  <si>
    <t>Aquired the means for each year in each tract for Delta, Forecast and 2023 baseline Z scores. Proceeded to weigh them in VBA to create a single score. Baseline Z scores are negated to punish late stage gentrified tracts with high forecasts Z and support non-gentrified tracts with low forecast Z so that the direction the forecast is headed is emphasized and not drowned out</t>
  </si>
  <si>
    <t>Gentrification Score (VBA)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</si>
</sst>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sz val="11"/>
      <color theme="1"/>
      <name val="Aptos Narrow"/>
      <family val="2"/>
      <scheme val="minor"/>
    </font>
    <font>
      <sz val="8"/>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b/>
      <sz val="11"/>
      <color theme="1"/>
      <name val="Aptos Narrow"/>
      <family val="2"/>
      <scheme val="minor"/>
    </font>
  </fonts>
  <fills count="7">
    <fill>
      <patternFill patternType="none"/>
    </fill>
    <fill>
      <patternFill patternType="gray125"/>
    </fill>
    <fill>
      <patternFill patternType="solid">
        <fgColor theme="4"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theme="8" tint="0.59999389629810485"/>
        <bgColor indexed="65"/>
      </patternFill>
    </fill>
  </fills>
  <borders count="7">
    <border>
      <left/>
      <right/>
      <top/>
      <bottom/>
      <diagonal/>
    </border>
    <border>
      <left/>
      <right style="thin">
        <color auto="1"/>
      </right>
      <top/>
      <bottom style="thin">
        <color auto="1"/>
      </bottom>
      <diagonal/>
    </border>
    <border>
      <left/>
      <right style="thin">
        <color theme="1"/>
      </right>
      <top/>
      <bottom style="thin">
        <color theme="1"/>
      </bottom>
      <diagonal/>
    </border>
    <border>
      <left style="thin">
        <color theme="1"/>
      </left>
      <right style="thin">
        <color theme="1"/>
      </right>
      <top/>
      <bottom style="thin">
        <color theme="1"/>
      </bottom>
      <diagonal/>
    </border>
    <border>
      <left/>
      <right style="thin">
        <color auto="1"/>
      </right>
      <top/>
      <bottom style="thin">
        <color theme="1"/>
      </bottom>
      <diagonal/>
    </border>
    <border>
      <left/>
      <right style="thin">
        <color auto="1"/>
      </right>
      <top style="thin">
        <color auto="1"/>
      </top>
      <bottom style="thin">
        <color auto="1"/>
      </bottom>
      <diagonal/>
    </border>
    <border>
      <left/>
      <right/>
      <top/>
      <bottom style="thin">
        <color theme="1"/>
      </bottom>
      <diagonal/>
    </border>
  </borders>
  <cellStyleXfs count="6">
    <xf numFmtId="0" fontId="0" fillId="0" borderId="0"/>
    <xf numFmtId="0" fontId="1"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 fillId="6" borderId="0" applyNumberFormat="0" applyBorder="0" applyAlignment="0" applyProtection="0"/>
  </cellStyleXfs>
  <cellXfs count="24">
    <xf numFmtId="0" fontId="0" fillId="0" borderId="0" xfId="0"/>
    <xf numFmtId="0" fontId="0" fillId="0" borderId="0" xfId="0" applyAlignment="1">
      <alignment wrapText="1"/>
    </xf>
    <xf numFmtId="14" fontId="0" fillId="0" borderId="0" xfId="0" applyNumberFormat="1" applyAlignment="1">
      <alignment wrapText="1"/>
    </xf>
    <xf numFmtId="0" fontId="0" fillId="0" borderId="0" xfId="0" applyAlignment="1">
      <alignment vertical="center" wrapText="1"/>
    </xf>
    <xf numFmtId="0" fontId="1" fillId="2" borderId="5" xfId="1" applyBorder="1" applyAlignment="1">
      <alignment vertical="center" wrapText="1"/>
    </xf>
    <xf numFmtId="0" fontId="1" fillId="2" borderId="5" xfId="1" applyBorder="1"/>
    <xf numFmtId="0" fontId="1" fillId="0" borderId="0" xfId="1" applyFill="1" applyBorder="1" applyAlignment="1">
      <alignment vertical="center" wrapText="1"/>
    </xf>
    <xf numFmtId="0" fontId="1" fillId="0" borderId="0" xfId="1" applyFill="1" applyBorder="1"/>
    <xf numFmtId="0" fontId="0" fillId="2" borderId="5" xfId="1" applyFont="1" applyBorder="1" applyAlignment="1">
      <alignment vertical="center" wrapText="1"/>
    </xf>
    <xf numFmtId="0" fontId="1" fillId="2" borderId="5" xfId="1" applyBorder="1" applyAlignment="1">
      <alignment wrapText="1"/>
    </xf>
    <xf numFmtId="0" fontId="0" fillId="2" borderId="1" xfId="1" applyFont="1" applyBorder="1" applyAlignment="1">
      <alignment vertical="center" wrapText="1"/>
    </xf>
    <xf numFmtId="0" fontId="3" fillId="3" borderId="0" xfId="2"/>
    <xf numFmtId="0" fontId="1" fillId="6" borderId="4" xfId="5" applyBorder="1" applyAlignment="1">
      <alignment horizontal="center" vertical="center" wrapText="1"/>
    </xf>
    <xf numFmtId="0" fontId="1" fillId="6" borderId="2" xfId="5" applyBorder="1" applyAlignment="1">
      <alignment horizontal="center" vertical="center" wrapText="1"/>
    </xf>
    <xf numFmtId="0" fontId="1" fillId="6" borderId="3" xfId="5" applyBorder="1" applyAlignment="1">
      <alignment horizontal="center" vertical="center" wrapText="1"/>
    </xf>
    <xf numFmtId="0" fontId="1" fillId="6" borderId="3" xfId="5" applyBorder="1" applyAlignment="1">
      <alignment horizontal="center" vertical="center"/>
    </xf>
    <xf numFmtId="0" fontId="1" fillId="6" borderId="3" xfId="5" applyBorder="1"/>
    <xf numFmtId="0" fontId="4" fillId="4" borderId="0" xfId="3"/>
    <xf numFmtId="0" fontId="0" fillId="6" borderId="6" xfId="5" applyFont="1" applyBorder="1" applyAlignment="1">
      <alignment horizontal="center" vertical="center" wrapText="1"/>
    </xf>
    <xf numFmtId="0" fontId="0" fillId="6" borderId="3" xfId="5" applyFont="1" applyBorder="1"/>
    <xf numFmtId="0" fontId="5" fillId="5" borderId="0" xfId="4"/>
    <xf numFmtId="0" fontId="5" fillId="5" borderId="0" xfId="4">
      <extLst>
        <ext xmlns:xfpb="http://schemas.microsoft.com/office/spreadsheetml/2022/featurepropertybag" uri="{C7286773-470A-42A8-94C5-96B5CB345126}">
          <xfpb:xfComplement i="0"/>
        </ext>
      </extLst>
    </xf>
    <xf numFmtId="0" fontId="1" fillId="0" borderId="3" xfId="5" applyFill="1" applyBorder="1" applyAlignment="1">
      <alignment horizontal="center" vertical="center" wrapText="1"/>
    </xf>
    <xf numFmtId="0" fontId="6" fillId="0" borderId="0" xfId="0" applyFont="1" applyAlignment="1">
      <alignment horizontal="center"/>
    </xf>
  </cellXfs>
  <cellStyles count="6">
    <cellStyle name="40% - Accent1" xfId="1" builtinId="31"/>
    <cellStyle name="40% - Accent5" xfId="5" builtinId="47"/>
    <cellStyle name="Bad" xfId="3" builtinId="27"/>
    <cellStyle name="Good" xfId="2" builtinId="26"/>
    <cellStyle name="Neutral" xfId="4" builtinId="2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22/11/relationships/FeaturePropertyBag" Target="featurePropertyBag/featurePropertyBag.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4DD1B-D085-45EB-B036-C6D8198473CE}">
  <sheetPr codeName="Sheet1"/>
  <dimension ref="A1:I418"/>
  <sheetViews>
    <sheetView tabSelected="1" topLeftCell="A33" zoomScale="98" workbookViewId="0">
      <selection activeCell="D39" sqref="D39"/>
    </sheetView>
  </sheetViews>
  <sheetFormatPr defaultRowHeight="14.5" x14ac:dyDescent="0.35"/>
  <cols>
    <col min="1" max="1" width="13.453125" customWidth="1"/>
    <col min="2" max="2" width="15.36328125" customWidth="1"/>
    <col min="3" max="3" width="45.7265625" customWidth="1"/>
    <col min="4" max="4" width="35" customWidth="1"/>
    <col min="5" max="5" width="33.36328125" customWidth="1"/>
  </cols>
  <sheetData>
    <row r="1" spans="1:9" ht="35.5" customHeight="1" x14ac:dyDescent="0.35">
      <c r="A1" s="1" t="s">
        <v>85</v>
      </c>
      <c r="B1" s="1" t="s">
        <v>0</v>
      </c>
      <c r="C1" s="1" t="s">
        <v>1</v>
      </c>
      <c r="D1" s="1" t="s">
        <v>95</v>
      </c>
      <c r="E1" s="1"/>
      <c r="F1" s="1"/>
      <c r="G1" s="1"/>
      <c r="H1" s="1"/>
      <c r="I1" s="1"/>
    </row>
    <row r="2" spans="1:9" ht="117.5" customHeight="1" x14ac:dyDescent="0.35">
      <c r="A2" s="2">
        <v>45787</v>
      </c>
      <c r="B2" s="1" t="s">
        <v>2</v>
      </c>
      <c r="C2" s="1" t="s">
        <v>3</v>
      </c>
      <c r="D2" s="1" t="s">
        <v>163</v>
      </c>
      <c r="E2" s="1"/>
      <c r="F2" s="1"/>
      <c r="G2" s="1"/>
      <c r="H2" s="1"/>
      <c r="I2" s="1"/>
    </row>
    <row r="3" spans="1:9" ht="65.5" customHeight="1" x14ac:dyDescent="0.35">
      <c r="A3" s="2">
        <v>45787</v>
      </c>
      <c r="B3" s="1" t="s">
        <v>99</v>
      </c>
      <c r="C3" s="1" t="s">
        <v>156</v>
      </c>
      <c r="D3" s="1" t="s">
        <v>162</v>
      </c>
      <c r="E3" s="1"/>
      <c r="F3" s="1"/>
      <c r="G3" s="1"/>
      <c r="H3" s="1"/>
      <c r="I3" s="1"/>
    </row>
    <row r="4" spans="1:9" ht="74.5" customHeight="1" x14ac:dyDescent="0.35">
      <c r="A4" s="2">
        <v>45787</v>
      </c>
      <c r="B4" s="1" t="s">
        <v>4</v>
      </c>
      <c r="C4" s="1" t="s">
        <v>55</v>
      </c>
      <c r="D4" s="1"/>
      <c r="E4" s="1"/>
      <c r="F4" s="1"/>
      <c r="G4" s="1"/>
      <c r="H4" s="1"/>
      <c r="I4" s="1"/>
    </row>
    <row r="5" spans="1:9" ht="113" customHeight="1" x14ac:dyDescent="0.35">
      <c r="A5" s="2">
        <v>45788</v>
      </c>
      <c r="B5" s="1" t="s">
        <v>67</v>
      </c>
      <c r="C5" s="1" t="s">
        <v>157</v>
      </c>
      <c r="D5" s="1" t="s">
        <v>68</v>
      </c>
      <c r="E5" s="1"/>
      <c r="F5" s="1"/>
      <c r="G5" s="1"/>
      <c r="H5" s="1"/>
      <c r="I5" s="1"/>
    </row>
    <row r="6" spans="1:9" ht="103" customHeight="1" x14ac:dyDescent="0.35">
      <c r="A6" s="2">
        <v>45789</v>
      </c>
      <c r="B6" s="1" t="s">
        <v>100</v>
      </c>
      <c r="C6" s="1" t="s">
        <v>81</v>
      </c>
      <c r="D6" s="1" t="s">
        <v>82</v>
      </c>
      <c r="E6" s="1"/>
      <c r="F6" s="1"/>
      <c r="G6" s="1"/>
      <c r="H6" s="1"/>
      <c r="I6" s="1"/>
    </row>
    <row r="7" spans="1:9" ht="91.5" customHeight="1" x14ac:dyDescent="0.35">
      <c r="A7" s="2">
        <v>45789</v>
      </c>
      <c r="B7" s="1" t="s">
        <v>97</v>
      </c>
      <c r="C7" s="1" t="s">
        <v>88</v>
      </c>
      <c r="D7" s="1" t="s">
        <v>108</v>
      </c>
      <c r="E7" s="1"/>
      <c r="F7" s="1"/>
      <c r="G7" s="1"/>
      <c r="H7" s="1"/>
      <c r="I7" s="1"/>
    </row>
    <row r="8" spans="1:9" ht="180" customHeight="1" x14ac:dyDescent="0.35">
      <c r="A8" s="2">
        <v>45791</v>
      </c>
      <c r="B8" s="1" t="s">
        <v>98</v>
      </c>
      <c r="C8" s="1" t="s">
        <v>83</v>
      </c>
      <c r="D8" s="1" t="s">
        <v>86</v>
      </c>
      <c r="E8" s="1"/>
      <c r="F8" s="1"/>
      <c r="G8" s="1"/>
      <c r="H8" s="1"/>
      <c r="I8" s="1"/>
    </row>
    <row r="9" spans="1:9" ht="74" customHeight="1" x14ac:dyDescent="0.35">
      <c r="A9" s="2">
        <v>45793</v>
      </c>
      <c r="B9" s="1" t="s">
        <v>84</v>
      </c>
      <c r="C9" s="1" t="s">
        <v>87</v>
      </c>
      <c r="D9" s="1" t="s">
        <v>94</v>
      </c>
      <c r="E9" s="1"/>
      <c r="F9" s="1"/>
      <c r="G9" s="1"/>
      <c r="H9" s="1"/>
      <c r="I9" s="1"/>
    </row>
    <row r="10" spans="1:9" ht="137.5" customHeight="1" x14ac:dyDescent="0.35">
      <c r="A10" s="2">
        <v>45794</v>
      </c>
      <c r="B10" s="1" t="s">
        <v>92</v>
      </c>
      <c r="C10" s="1" t="s">
        <v>91</v>
      </c>
      <c r="D10" s="1" t="s">
        <v>132</v>
      </c>
      <c r="E10" s="1"/>
      <c r="F10" s="1"/>
      <c r="G10" s="1"/>
      <c r="H10" s="1"/>
      <c r="I10" s="1"/>
    </row>
    <row r="11" spans="1:9" ht="165.5" customHeight="1" x14ac:dyDescent="0.35">
      <c r="A11" s="2">
        <v>45794</v>
      </c>
      <c r="B11" s="1" t="s">
        <v>89</v>
      </c>
      <c r="C11" s="1" t="s">
        <v>90</v>
      </c>
      <c r="D11" s="1" t="s">
        <v>96</v>
      </c>
      <c r="E11" s="1"/>
      <c r="F11" s="1"/>
      <c r="G11" s="1"/>
      <c r="H11" s="1"/>
      <c r="I11" s="1"/>
    </row>
    <row r="12" spans="1:9" ht="149.5" customHeight="1" x14ac:dyDescent="0.35">
      <c r="A12" s="2">
        <v>45794</v>
      </c>
      <c r="B12" s="1" t="s">
        <v>111</v>
      </c>
      <c r="C12" s="1" t="s">
        <v>117</v>
      </c>
      <c r="D12" s="1"/>
      <c r="E12" s="1"/>
      <c r="F12" s="1"/>
      <c r="G12" s="1"/>
      <c r="H12" s="1"/>
      <c r="I12" s="1"/>
    </row>
    <row r="13" spans="1:9" ht="51" customHeight="1" x14ac:dyDescent="0.35">
      <c r="A13" s="2">
        <v>45796</v>
      </c>
      <c r="B13" s="1" t="s">
        <v>93</v>
      </c>
      <c r="C13" s="1" t="s">
        <v>101</v>
      </c>
      <c r="D13" s="1"/>
      <c r="E13" s="1"/>
      <c r="F13" s="1"/>
      <c r="G13" s="1"/>
      <c r="H13" s="1"/>
      <c r="I13" s="1"/>
    </row>
    <row r="14" spans="1:9" ht="67.5" customHeight="1" x14ac:dyDescent="0.35">
      <c r="A14" s="2">
        <v>45797</v>
      </c>
      <c r="B14" s="1" t="s">
        <v>102</v>
      </c>
      <c r="C14" s="1" t="s">
        <v>103</v>
      </c>
      <c r="D14" s="1"/>
      <c r="E14" s="1"/>
      <c r="F14" s="1"/>
      <c r="G14" s="1"/>
      <c r="H14" s="1"/>
      <c r="I14" s="1"/>
    </row>
    <row r="15" spans="1:9" ht="51" customHeight="1" x14ac:dyDescent="0.35">
      <c r="A15" s="2">
        <v>45799</v>
      </c>
      <c r="B15" s="1" t="s">
        <v>104</v>
      </c>
      <c r="C15" s="1" t="s">
        <v>105</v>
      </c>
      <c r="D15" s="1"/>
      <c r="E15" s="1"/>
      <c r="F15" s="1"/>
      <c r="G15" s="1"/>
      <c r="H15" s="1"/>
      <c r="I15" s="1"/>
    </row>
    <row r="16" spans="1:9" ht="40" customHeight="1" x14ac:dyDescent="0.35">
      <c r="A16" s="2">
        <v>45800</v>
      </c>
      <c r="B16" s="1" t="s">
        <v>106</v>
      </c>
      <c r="C16" s="1" t="s">
        <v>141</v>
      </c>
      <c r="D16" s="1"/>
      <c r="E16" s="1"/>
      <c r="F16" s="1"/>
      <c r="G16" s="1"/>
      <c r="H16" s="1"/>
      <c r="I16" s="1"/>
    </row>
    <row r="17" spans="1:9" ht="82.5" customHeight="1" x14ac:dyDescent="0.35">
      <c r="A17" s="2">
        <v>45801</v>
      </c>
      <c r="B17" s="1" t="s">
        <v>107</v>
      </c>
      <c r="C17" s="1" t="s">
        <v>114</v>
      </c>
      <c r="D17" s="1" t="s">
        <v>133</v>
      </c>
      <c r="E17" s="1"/>
      <c r="F17" s="1"/>
      <c r="G17" s="1"/>
      <c r="H17" s="1"/>
      <c r="I17" s="1"/>
    </row>
    <row r="18" spans="1:9" ht="86.5" customHeight="1" x14ac:dyDescent="0.35">
      <c r="A18" s="2">
        <v>45437</v>
      </c>
      <c r="B18" s="1" t="s">
        <v>109</v>
      </c>
      <c r="C18" s="1" t="s">
        <v>110</v>
      </c>
      <c r="D18" s="1" t="s">
        <v>112</v>
      </c>
      <c r="E18" s="1"/>
      <c r="F18" s="1"/>
      <c r="G18" s="1"/>
      <c r="H18" s="1"/>
      <c r="I18" s="1"/>
    </row>
    <row r="19" spans="1:9" ht="126" customHeight="1" x14ac:dyDescent="0.35">
      <c r="A19" s="2">
        <v>45437</v>
      </c>
      <c r="B19" s="1" t="s">
        <v>111</v>
      </c>
      <c r="C19" s="1" t="s">
        <v>131</v>
      </c>
      <c r="D19" s="1"/>
      <c r="E19" s="1"/>
      <c r="F19" s="1"/>
      <c r="G19" s="1"/>
      <c r="H19" s="1"/>
      <c r="I19" s="1"/>
    </row>
    <row r="20" spans="1:9" ht="41.5" customHeight="1" x14ac:dyDescent="0.35">
      <c r="A20" s="2">
        <v>45437</v>
      </c>
      <c r="B20" s="1" t="s">
        <v>113</v>
      </c>
      <c r="C20" s="1" t="s">
        <v>114</v>
      </c>
      <c r="D20" s="1"/>
      <c r="E20" s="1"/>
      <c r="F20" s="1"/>
      <c r="G20" s="1"/>
      <c r="H20" s="1"/>
      <c r="I20" s="1"/>
    </row>
    <row r="21" spans="1:9" ht="24.5" customHeight="1" x14ac:dyDescent="0.35">
      <c r="A21" s="2">
        <v>45804</v>
      </c>
      <c r="B21" s="1" t="s">
        <v>115</v>
      </c>
      <c r="C21" s="1" t="s">
        <v>116</v>
      </c>
      <c r="D21" s="1"/>
      <c r="E21" s="1"/>
      <c r="F21" s="1"/>
      <c r="G21" s="1"/>
      <c r="H21" s="1"/>
      <c r="I21" s="1"/>
    </row>
    <row r="22" spans="1:9" ht="79" customHeight="1" x14ac:dyDescent="0.35">
      <c r="A22" s="2">
        <v>45805</v>
      </c>
      <c r="B22" s="1" t="s">
        <v>118</v>
      </c>
      <c r="C22" s="1" t="s">
        <v>119</v>
      </c>
      <c r="D22" s="1"/>
      <c r="E22" s="1"/>
      <c r="F22" s="1"/>
      <c r="G22" s="1"/>
      <c r="H22" s="1"/>
      <c r="I22" s="1"/>
    </row>
    <row r="23" spans="1:9" ht="76" customHeight="1" x14ac:dyDescent="0.35">
      <c r="A23" s="2">
        <v>45806</v>
      </c>
      <c r="B23" s="1" t="s">
        <v>158</v>
      </c>
      <c r="C23" s="1" t="s">
        <v>159</v>
      </c>
      <c r="D23" s="1" t="s">
        <v>137</v>
      </c>
      <c r="E23" s="1"/>
      <c r="F23" s="1"/>
      <c r="G23" s="1"/>
      <c r="H23" s="1"/>
      <c r="I23" s="1"/>
    </row>
    <row r="24" spans="1:9" ht="64.5" customHeight="1" x14ac:dyDescent="0.35">
      <c r="A24" s="2">
        <v>45807</v>
      </c>
      <c r="B24" s="1" t="s">
        <v>120</v>
      </c>
      <c r="C24" s="1" t="s">
        <v>121</v>
      </c>
      <c r="D24" s="1"/>
      <c r="E24" s="1"/>
      <c r="F24" s="1"/>
      <c r="G24" s="1"/>
      <c r="H24" s="1"/>
      <c r="I24" s="1"/>
    </row>
    <row r="25" spans="1:9" ht="115.5" customHeight="1" x14ac:dyDescent="0.35">
      <c r="A25" s="2">
        <v>45807</v>
      </c>
      <c r="B25" s="1" t="s">
        <v>122</v>
      </c>
      <c r="C25" s="1" t="s">
        <v>123</v>
      </c>
      <c r="D25" s="1"/>
      <c r="E25" s="1"/>
      <c r="F25" s="1"/>
      <c r="G25" s="1"/>
      <c r="H25" s="1"/>
      <c r="I25" s="1"/>
    </row>
    <row r="26" spans="1:9" ht="111" customHeight="1" x14ac:dyDescent="0.35">
      <c r="A26" s="2">
        <v>45808</v>
      </c>
      <c r="B26" s="1" t="s">
        <v>124</v>
      </c>
      <c r="C26" s="1" t="s">
        <v>130</v>
      </c>
      <c r="D26" s="1" t="s">
        <v>166</v>
      </c>
      <c r="E26" s="1"/>
      <c r="F26" s="1"/>
      <c r="G26" s="1"/>
      <c r="H26" s="1"/>
      <c r="I26" s="1"/>
    </row>
    <row r="27" spans="1:9" ht="81" customHeight="1" x14ac:dyDescent="0.35">
      <c r="A27" s="2">
        <v>45812</v>
      </c>
      <c r="B27" s="1" t="s">
        <v>134</v>
      </c>
      <c r="C27" s="1" t="s">
        <v>135</v>
      </c>
      <c r="D27" s="1" t="s">
        <v>152</v>
      </c>
      <c r="E27" s="1"/>
      <c r="F27" s="1"/>
      <c r="G27" s="1"/>
      <c r="H27" s="1"/>
      <c r="I27" s="1"/>
    </row>
    <row r="28" spans="1:9" ht="134.5" customHeight="1" x14ac:dyDescent="0.35">
      <c r="A28" s="2">
        <v>45448</v>
      </c>
      <c r="B28" s="1" t="s">
        <v>136</v>
      </c>
      <c r="C28" s="1" t="s">
        <v>161</v>
      </c>
      <c r="D28" s="1" t="s">
        <v>138</v>
      </c>
      <c r="E28" s="1"/>
      <c r="F28" s="1"/>
      <c r="G28" s="1"/>
      <c r="H28" s="1"/>
      <c r="I28" s="1"/>
    </row>
    <row r="29" spans="1:9" ht="98.5" customHeight="1" x14ac:dyDescent="0.35">
      <c r="A29" s="2">
        <v>45454</v>
      </c>
      <c r="B29" s="1" t="s">
        <v>139</v>
      </c>
      <c r="C29" s="1" t="s">
        <v>140</v>
      </c>
      <c r="D29" s="1" t="s">
        <v>142</v>
      </c>
      <c r="E29" s="1"/>
      <c r="F29" s="1"/>
      <c r="G29" s="1"/>
      <c r="H29" s="1"/>
      <c r="I29" s="1"/>
    </row>
    <row r="30" spans="1:9" ht="138.5" customHeight="1" x14ac:dyDescent="0.35">
      <c r="A30" s="2">
        <v>45820</v>
      </c>
      <c r="B30" s="1" t="s">
        <v>143</v>
      </c>
      <c r="C30" s="1" t="s">
        <v>160</v>
      </c>
      <c r="D30" s="1" t="s">
        <v>164</v>
      </c>
      <c r="E30" s="1"/>
      <c r="F30" s="1"/>
      <c r="G30" s="1"/>
      <c r="H30" s="1"/>
      <c r="I30" s="1"/>
    </row>
    <row r="31" spans="1:9" ht="127.5" customHeight="1" x14ac:dyDescent="0.35">
      <c r="A31" s="2">
        <v>45821</v>
      </c>
      <c r="B31" s="1" t="s">
        <v>146</v>
      </c>
      <c r="C31" s="1" t="s">
        <v>148</v>
      </c>
      <c r="D31" s="1" t="s">
        <v>145</v>
      </c>
      <c r="E31" s="1"/>
      <c r="F31" s="1"/>
      <c r="G31" s="1"/>
      <c r="H31" s="1"/>
      <c r="I31" s="1"/>
    </row>
    <row r="32" spans="1:9" ht="85" customHeight="1" x14ac:dyDescent="0.35">
      <c r="A32" s="2">
        <v>45827</v>
      </c>
      <c r="B32" s="1" t="s">
        <v>150</v>
      </c>
      <c r="C32" s="1" t="s">
        <v>149</v>
      </c>
      <c r="D32" s="1" t="s">
        <v>165</v>
      </c>
      <c r="E32" s="1"/>
      <c r="F32" s="1"/>
      <c r="G32" s="1"/>
      <c r="H32" s="1"/>
      <c r="I32" s="1"/>
    </row>
    <row r="33" spans="1:9" ht="112" customHeight="1" x14ac:dyDescent="0.35">
      <c r="A33" s="2">
        <v>45828</v>
      </c>
      <c r="B33" s="1" t="s">
        <v>151</v>
      </c>
      <c r="C33" s="1" t="s">
        <v>153</v>
      </c>
      <c r="D33" s="1" t="s">
        <v>154</v>
      </c>
      <c r="E33" s="1"/>
      <c r="F33" s="1"/>
      <c r="G33" s="1"/>
      <c r="H33" s="1"/>
      <c r="I33" s="1"/>
    </row>
    <row r="34" spans="1:9" ht="72.5" x14ac:dyDescent="0.35">
      <c r="A34" s="2">
        <v>45830</v>
      </c>
      <c r="B34" s="1" t="s">
        <v>147</v>
      </c>
      <c r="C34" s="1" t="s">
        <v>192</v>
      </c>
      <c r="D34" s="1" t="s">
        <v>155</v>
      </c>
      <c r="E34" s="1"/>
      <c r="F34" s="1"/>
      <c r="G34" s="1"/>
      <c r="H34" s="1"/>
      <c r="I34" s="1"/>
    </row>
    <row r="35" spans="1:9" ht="42.5" customHeight="1" x14ac:dyDescent="0.35">
      <c r="A35" s="2">
        <v>45832</v>
      </c>
      <c r="B35" s="1" t="s">
        <v>193</v>
      </c>
      <c r="C35" s="1" t="s">
        <v>194</v>
      </c>
      <c r="D35" s="1" t="s">
        <v>195</v>
      </c>
      <c r="E35" s="1"/>
      <c r="F35" s="1"/>
      <c r="G35" s="1"/>
      <c r="H35" s="1"/>
      <c r="I35" s="1"/>
    </row>
    <row r="36" spans="1:9" ht="127.5" customHeight="1" x14ac:dyDescent="0.35">
      <c r="A36" s="2">
        <v>45833</v>
      </c>
      <c r="B36" s="1" t="s">
        <v>198</v>
      </c>
      <c r="C36" s="1" t="s">
        <v>204</v>
      </c>
      <c r="D36" s="1" t="s">
        <v>202</v>
      </c>
      <c r="E36" s="1"/>
      <c r="F36" s="1"/>
      <c r="G36" s="1"/>
      <c r="H36" s="1"/>
      <c r="I36" s="1"/>
    </row>
    <row r="37" spans="1:9" ht="57.5" customHeight="1" x14ac:dyDescent="0.35">
      <c r="A37" s="2">
        <v>45836</v>
      </c>
      <c r="B37" s="1"/>
      <c r="C37" s="1"/>
      <c r="D37" s="1"/>
      <c r="E37" s="1"/>
      <c r="F37" s="1"/>
      <c r="G37" s="1"/>
      <c r="H37" s="1"/>
      <c r="I37" s="1"/>
    </row>
    <row r="38" spans="1:9" ht="35.5" customHeight="1" x14ac:dyDescent="0.35">
      <c r="A38" s="1"/>
      <c r="B38" s="1"/>
      <c r="C38" s="1"/>
      <c r="D38" s="1"/>
      <c r="E38" s="1"/>
      <c r="F38" s="1"/>
      <c r="G38" s="1"/>
      <c r="H38" s="1"/>
      <c r="I38" s="1"/>
    </row>
    <row r="39" spans="1:9" ht="37" customHeight="1" x14ac:dyDescent="0.35">
      <c r="A39" s="1"/>
      <c r="B39" s="1"/>
      <c r="C39" s="1"/>
      <c r="D39" s="1"/>
      <c r="E39" s="1"/>
      <c r="F39" s="1"/>
      <c r="G39" s="1"/>
      <c r="H39" s="1"/>
      <c r="I39" s="1"/>
    </row>
    <row r="40" spans="1:9" ht="48" customHeight="1" x14ac:dyDescent="0.35">
      <c r="A40" s="1"/>
      <c r="B40" s="1"/>
      <c r="C40" s="1"/>
      <c r="D40" s="1"/>
      <c r="E40" s="1"/>
      <c r="F40" s="1"/>
      <c r="G40" s="1"/>
      <c r="H40" s="1"/>
      <c r="I40" s="1"/>
    </row>
    <row r="41" spans="1:9" x14ac:dyDescent="0.35">
      <c r="A41" s="1"/>
      <c r="B41" s="1"/>
      <c r="C41" s="1"/>
      <c r="D41" s="1"/>
      <c r="E41" s="1"/>
      <c r="F41" s="1"/>
      <c r="G41" s="1"/>
      <c r="H41" s="1"/>
      <c r="I41" s="1"/>
    </row>
    <row r="42" spans="1:9" x14ac:dyDescent="0.35">
      <c r="A42" s="1"/>
      <c r="B42" s="1"/>
      <c r="C42" s="1"/>
      <c r="D42" s="1"/>
      <c r="E42" s="1"/>
      <c r="F42" s="1"/>
      <c r="G42" s="1"/>
      <c r="H42" s="1"/>
      <c r="I42" s="1"/>
    </row>
    <row r="43" spans="1:9" x14ac:dyDescent="0.35">
      <c r="A43" s="1"/>
      <c r="B43" s="1"/>
      <c r="C43" s="1"/>
      <c r="D43" s="1"/>
      <c r="E43" s="1"/>
      <c r="F43" s="1"/>
      <c r="G43" s="1"/>
      <c r="H43" s="1"/>
      <c r="I43" s="1"/>
    </row>
    <row r="44" spans="1:9" x14ac:dyDescent="0.35">
      <c r="A44" s="1"/>
      <c r="B44" s="1"/>
      <c r="C44" s="1"/>
      <c r="D44" s="1"/>
      <c r="E44" s="1"/>
      <c r="F44" s="1"/>
      <c r="G44" s="1"/>
      <c r="H44" s="1"/>
      <c r="I44" s="1"/>
    </row>
    <row r="45" spans="1:9" x14ac:dyDescent="0.35">
      <c r="A45" s="1"/>
      <c r="B45" s="1"/>
      <c r="C45" s="1"/>
      <c r="D45" s="1"/>
      <c r="E45" s="1"/>
      <c r="F45" s="1"/>
      <c r="G45" s="1"/>
      <c r="H45" s="1"/>
      <c r="I45" s="1"/>
    </row>
    <row r="46" spans="1:9" x14ac:dyDescent="0.35">
      <c r="A46" s="1"/>
      <c r="B46" s="1"/>
      <c r="C46" s="1"/>
      <c r="D46" s="1"/>
      <c r="E46" s="1"/>
      <c r="F46" s="1"/>
      <c r="G46" s="1"/>
      <c r="H46" s="1"/>
      <c r="I46" s="1"/>
    </row>
    <row r="47" spans="1:9" x14ac:dyDescent="0.35">
      <c r="A47" s="1"/>
      <c r="B47" s="1"/>
      <c r="C47" s="1"/>
      <c r="D47" s="1"/>
      <c r="E47" s="1"/>
      <c r="F47" s="1"/>
      <c r="G47" s="1"/>
      <c r="H47" s="1"/>
      <c r="I47" s="1"/>
    </row>
    <row r="48" spans="1:9" x14ac:dyDescent="0.35">
      <c r="A48" s="1"/>
      <c r="B48" s="1"/>
      <c r="C48" s="1"/>
      <c r="D48" s="1"/>
      <c r="E48" s="1"/>
      <c r="F48" s="1"/>
      <c r="G48" s="1"/>
      <c r="H48" s="1"/>
      <c r="I48" s="1"/>
    </row>
    <row r="49" spans="1:9" x14ac:dyDescent="0.35">
      <c r="A49" s="1"/>
      <c r="B49" s="1"/>
      <c r="C49" s="1"/>
      <c r="D49" s="1"/>
      <c r="E49" s="1"/>
      <c r="F49" s="1"/>
      <c r="G49" s="1"/>
      <c r="H49" s="1"/>
      <c r="I49" s="1"/>
    </row>
    <row r="50" spans="1:9" x14ac:dyDescent="0.35">
      <c r="A50" s="1"/>
      <c r="B50" s="1"/>
      <c r="C50" s="1"/>
      <c r="D50" s="1"/>
      <c r="E50" s="1"/>
      <c r="F50" s="1"/>
      <c r="G50" s="1"/>
      <c r="H50" s="1"/>
      <c r="I50" s="1"/>
    </row>
    <row r="51" spans="1:9" x14ac:dyDescent="0.35">
      <c r="A51" s="1"/>
      <c r="B51" s="1"/>
      <c r="C51" s="1"/>
      <c r="D51" s="1"/>
      <c r="E51" s="1"/>
      <c r="F51" s="1"/>
      <c r="G51" s="1"/>
      <c r="H51" s="1"/>
      <c r="I51" s="1"/>
    </row>
    <row r="52" spans="1:9" x14ac:dyDescent="0.35">
      <c r="A52" s="1"/>
      <c r="B52" s="1"/>
      <c r="C52" s="1"/>
      <c r="D52" s="1"/>
      <c r="E52" s="1"/>
      <c r="F52" s="1"/>
      <c r="G52" s="1"/>
      <c r="H52" s="1"/>
      <c r="I52" s="1"/>
    </row>
    <row r="53" spans="1:9" x14ac:dyDescent="0.35">
      <c r="A53" s="1"/>
      <c r="B53" s="1"/>
      <c r="C53" s="1"/>
      <c r="D53" s="1"/>
      <c r="E53" s="1"/>
      <c r="F53" s="1"/>
      <c r="G53" s="1"/>
      <c r="H53" s="1"/>
      <c r="I53" s="1"/>
    </row>
    <row r="54" spans="1:9" x14ac:dyDescent="0.35">
      <c r="A54" s="1"/>
      <c r="B54" s="1"/>
      <c r="C54" s="1"/>
      <c r="D54" s="1"/>
      <c r="E54" s="1"/>
      <c r="F54" s="1"/>
      <c r="G54" s="1"/>
      <c r="H54" s="1"/>
      <c r="I54" s="1"/>
    </row>
    <row r="55" spans="1:9" x14ac:dyDescent="0.35">
      <c r="A55" s="1"/>
      <c r="B55" s="1"/>
      <c r="C55" s="1"/>
      <c r="D55" s="1"/>
      <c r="E55" s="1"/>
      <c r="F55" s="1"/>
      <c r="G55" s="1"/>
      <c r="H55" s="1"/>
      <c r="I55" s="1"/>
    </row>
    <row r="56" spans="1:9" x14ac:dyDescent="0.35">
      <c r="A56" s="1"/>
      <c r="B56" s="1"/>
      <c r="C56" s="1"/>
      <c r="D56" s="1"/>
      <c r="E56" s="1"/>
      <c r="F56" s="1"/>
      <c r="G56" s="1"/>
      <c r="H56" s="1"/>
      <c r="I56" s="1"/>
    </row>
    <row r="57" spans="1:9" x14ac:dyDescent="0.35">
      <c r="A57" s="1"/>
      <c r="B57" s="1"/>
      <c r="C57" s="1"/>
      <c r="D57" s="1"/>
      <c r="E57" s="1"/>
      <c r="F57" s="1"/>
      <c r="G57" s="1"/>
      <c r="H57" s="1"/>
      <c r="I57" s="1"/>
    </row>
    <row r="58" spans="1:9" x14ac:dyDescent="0.35">
      <c r="A58" s="1"/>
      <c r="B58" s="1"/>
      <c r="C58" s="1"/>
      <c r="D58" s="1"/>
      <c r="E58" s="1"/>
      <c r="F58" s="1"/>
      <c r="G58" s="1"/>
      <c r="H58" s="1"/>
      <c r="I58" s="1"/>
    </row>
    <row r="59" spans="1:9" x14ac:dyDescent="0.35">
      <c r="A59" s="1"/>
      <c r="B59" s="1"/>
      <c r="C59" s="1"/>
      <c r="D59" s="1"/>
      <c r="E59" s="1"/>
      <c r="F59" s="1"/>
      <c r="G59" s="1"/>
      <c r="H59" s="1"/>
      <c r="I59" s="1"/>
    </row>
    <row r="60" spans="1:9" x14ac:dyDescent="0.35">
      <c r="A60" s="1"/>
      <c r="B60" s="1"/>
      <c r="C60" s="1"/>
      <c r="D60" s="1"/>
      <c r="E60" s="1"/>
      <c r="F60" s="1"/>
      <c r="G60" s="1"/>
      <c r="H60" s="1"/>
      <c r="I60" s="1"/>
    </row>
    <row r="61" spans="1:9" x14ac:dyDescent="0.35">
      <c r="A61" s="1"/>
      <c r="B61" s="1"/>
      <c r="C61" s="1"/>
      <c r="D61" s="1"/>
      <c r="E61" s="1"/>
      <c r="F61" s="1"/>
      <c r="G61" s="1"/>
      <c r="H61" s="1"/>
      <c r="I61" s="1"/>
    </row>
    <row r="62" spans="1:9" x14ac:dyDescent="0.35">
      <c r="A62" s="1"/>
      <c r="B62" s="1"/>
      <c r="C62" s="1"/>
      <c r="D62" s="1"/>
      <c r="E62" s="1"/>
      <c r="F62" s="1"/>
      <c r="G62" s="1"/>
      <c r="H62" s="1"/>
      <c r="I62" s="1"/>
    </row>
    <row r="63" spans="1:9" x14ac:dyDescent="0.35">
      <c r="A63" s="1"/>
      <c r="B63" s="1"/>
      <c r="C63" s="1"/>
      <c r="D63" s="1"/>
      <c r="E63" s="1"/>
      <c r="F63" s="1"/>
      <c r="G63" s="1"/>
      <c r="H63" s="1"/>
      <c r="I63" s="1"/>
    </row>
    <row r="64" spans="1:9" x14ac:dyDescent="0.35">
      <c r="A64" s="1"/>
      <c r="B64" s="1"/>
      <c r="C64" s="1"/>
      <c r="D64" s="1"/>
      <c r="E64" s="1"/>
      <c r="F64" s="1"/>
      <c r="G64" s="1"/>
      <c r="H64" s="1"/>
      <c r="I64" s="1"/>
    </row>
    <row r="65" spans="1:9" x14ac:dyDescent="0.35">
      <c r="A65" s="1"/>
      <c r="B65" s="1"/>
      <c r="C65" s="1"/>
      <c r="D65" s="1"/>
      <c r="E65" s="1"/>
      <c r="F65" s="1"/>
      <c r="G65" s="1"/>
      <c r="H65" s="1"/>
      <c r="I65" s="1"/>
    </row>
    <row r="66" spans="1:9" x14ac:dyDescent="0.35">
      <c r="A66" s="1"/>
      <c r="B66" s="1"/>
      <c r="C66" s="1"/>
      <c r="D66" s="1"/>
      <c r="E66" s="1"/>
      <c r="F66" s="1"/>
      <c r="G66" s="1"/>
      <c r="H66" s="1"/>
      <c r="I66" s="1"/>
    </row>
    <row r="67" spans="1:9" x14ac:dyDescent="0.35">
      <c r="A67" s="1"/>
      <c r="B67" s="1"/>
      <c r="C67" s="1"/>
      <c r="D67" s="1"/>
      <c r="E67" s="1"/>
      <c r="F67" s="1"/>
      <c r="G67" s="1"/>
      <c r="H67" s="1"/>
      <c r="I67" s="1"/>
    </row>
    <row r="68" spans="1:9" x14ac:dyDescent="0.35">
      <c r="A68" s="1"/>
      <c r="B68" s="1"/>
      <c r="C68" s="1"/>
      <c r="D68" s="1"/>
      <c r="E68" s="1"/>
      <c r="F68" s="1"/>
      <c r="G68" s="1"/>
      <c r="H68" s="1"/>
      <c r="I68" s="1"/>
    </row>
    <row r="69" spans="1:9" x14ac:dyDescent="0.35">
      <c r="A69" s="1"/>
      <c r="B69" s="1"/>
      <c r="C69" s="1"/>
      <c r="D69" s="1"/>
      <c r="E69" s="1"/>
      <c r="F69" s="1"/>
      <c r="G69" s="1"/>
      <c r="H69" s="1"/>
      <c r="I69" s="1"/>
    </row>
    <row r="70" spans="1:9" x14ac:dyDescent="0.35">
      <c r="A70" s="1"/>
      <c r="B70" s="1"/>
      <c r="C70" s="1"/>
      <c r="D70" s="1"/>
      <c r="E70" s="1"/>
      <c r="F70" s="1"/>
      <c r="G70" s="1"/>
      <c r="H70" s="1"/>
      <c r="I70" s="1"/>
    </row>
    <row r="71" spans="1:9" x14ac:dyDescent="0.35">
      <c r="A71" s="1"/>
      <c r="B71" s="1"/>
      <c r="C71" s="1"/>
      <c r="D71" s="1"/>
      <c r="E71" s="1"/>
      <c r="F71" s="1"/>
      <c r="G71" s="1"/>
      <c r="H71" s="1"/>
      <c r="I71" s="1"/>
    </row>
    <row r="72" spans="1:9" x14ac:dyDescent="0.35">
      <c r="A72" s="1"/>
      <c r="B72" s="1"/>
      <c r="C72" s="1"/>
      <c r="D72" s="1"/>
      <c r="E72" s="1"/>
      <c r="F72" s="1"/>
      <c r="G72" s="1"/>
      <c r="H72" s="1"/>
      <c r="I72" s="1"/>
    </row>
    <row r="73" spans="1:9" x14ac:dyDescent="0.35">
      <c r="A73" s="1"/>
      <c r="B73" s="1"/>
      <c r="C73" s="1"/>
      <c r="D73" s="1"/>
      <c r="E73" s="1"/>
      <c r="F73" s="1"/>
      <c r="G73" s="1"/>
      <c r="H73" s="1"/>
      <c r="I73" s="1"/>
    </row>
    <row r="74" spans="1:9" x14ac:dyDescent="0.35">
      <c r="A74" s="1"/>
      <c r="B74" s="1"/>
      <c r="C74" s="1"/>
      <c r="D74" s="1"/>
      <c r="E74" s="1"/>
      <c r="F74" s="1"/>
      <c r="G74" s="1"/>
      <c r="H74" s="1"/>
      <c r="I74" s="1"/>
    </row>
    <row r="75" spans="1:9" x14ac:dyDescent="0.35">
      <c r="A75" s="1"/>
      <c r="B75" s="1"/>
      <c r="C75" s="1"/>
      <c r="D75" s="1"/>
      <c r="E75" s="1"/>
      <c r="F75" s="1"/>
      <c r="G75" s="1"/>
      <c r="H75" s="1"/>
      <c r="I75" s="1"/>
    </row>
    <row r="76" spans="1:9" x14ac:dyDescent="0.35">
      <c r="A76" s="1"/>
      <c r="B76" s="1"/>
      <c r="C76" s="1"/>
      <c r="D76" s="1"/>
      <c r="E76" s="1"/>
      <c r="F76" s="1"/>
      <c r="G76" s="1"/>
      <c r="H76" s="1"/>
      <c r="I76" s="1"/>
    </row>
    <row r="77" spans="1:9" x14ac:dyDescent="0.35">
      <c r="A77" s="1"/>
      <c r="B77" s="1"/>
      <c r="C77" s="1"/>
      <c r="D77" s="1"/>
      <c r="E77" s="1"/>
      <c r="F77" s="1"/>
      <c r="G77" s="1"/>
      <c r="H77" s="1"/>
      <c r="I77" s="1"/>
    </row>
    <row r="78" spans="1:9" x14ac:dyDescent="0.35">
      <c r="A78" s="1"/>
      <c r="B78" s="1"/>
      <c r="C78" s="1"/>
      <c r="D78" s="1"/>
      <c r="E78" s="1"/>
      <c r="F78" s="1"/>
      <c r="G78" s="1"/>
      <c r="H78" s="1"/>
      <c r="I78" s="1"/>
    </row>
    <row r="79" spans="1:9" x14ac:dyDescent="0.35">
      <c r="A79" s="1"/>
      <c r="B79" s="1"/>
      <c r="C79" s="1"/>
      <c r="D79" s="1"/>
      <c r="E79" s="1"/>
      <c r="F79" s="1"/>
      <c r="G79" s="1"/>
      <c r="H79" s="1"/>
      <c r="I79" s="1"/>
    </row>
    <row r="80" spans="1:9" x14ac:dyDescent="0.35">
      <c r="A80" s="1"/>
      <c r="B80" s="1"/>
      <c r="C80" s="1"/>
      <c r="D80" s="1"/>
      <c r="E80" s="1"/>
      <c r="F80" s="1"/>
      <c r="G80" s="1"/>
      <c r="H80" s="1"/>
      <c r="I80" s="1"/>
    </row>
    <row r="81" spans="1:9" x14ac:dyDescent="0.35">
      <c r="A81" s="1"/>
      <c r="B81" s="1"/>
      <c r="C81" s="1"/>
      <c r="D81" s="1"/>
      <c r="E81" s="1"/>
      <c r="F81" s="1"/>
      <c r="G81" s="1"/>
      <c r="H81" s="1"/>
      <c r="I81" s="1"/>
    </row>
    <row r="82" spans="1:9" x14ac:dyDescent="0.35">
      <c r="A82" s="1"/>
      <c r="B82" s="1"/>
      <c r="C82" s="1"/>
      <c r="D82" s="1"/>
      <c r="E82" s="1"/>
      <c r="F82" s="1"/>
      <c r="G82" s="1"/>
      <c r="H82" s="1"/>
      <c r="I82" s="1"/>
    </row>
    <row r="83" spans="1:9" x14ac:dyDescent="0.35">
      <c r="A83" s="1"/>
      <c r="B83" s="1"/>
      <c r="C83" s="1"/>
      <c r="D83" s="1"/>
      <c r="E83" s="1"/>
      <c r="F83" s="1"/>
      <c r="G83" s="1"/>
      <c r="H83" s="1"/>
      <c r="I83" s="1"/>
    </row>
    <row r="84" spans="1:9" x14ac:dyDescent="0.35">
      <c r="A84" s="1"/>
      <c r="B84" s="1"/>
      <c r="C84" s="1"/>
      <c r="D84" s="1"/>
      <c r="E84" s="1"/>
      <c r="F84" s="1"/>
      <c r="G84" s="1"/>
      <c r="H84" s="1"/>
      <c r="I84" s="1"/>
    </row>
    <row r="85" spans="1:9" x14ac:dyDescent="0.35">
      <c r="A85" s="1"/>
      <c r="B85" s="1"/>
      <c r="C85" s="1"/>
      <c r="D85" s="1"/>
      <c r="E85" s="1"/>
      <c r="F85" s="1"/>
      <c r="G85" s="1"/>
      <c r="H85" s="1"/>
      <c r="I85" s="1"/>
    </row>
    <row r="86" spans="1:9" x14ac:dyDescent="0.35">
      <c r="A86" s="1"/>
      <c r="B86" s="1"/>
      <c r="C86" s="1"/>
      <c r="D86" s="1"/>
      <c r="E86" s="1"/>
      <c r="F86" s="1"/>
      <c r="G86" s="1"/>
      <c r="H86" s="1"/>
      <c r="I86" s="1"/>
    </row>
    <row r="87" spans="1:9" x14ac:dyDescent="0.35">
      <c r="A87" s="1"/>
      <c r="B87" s="1"/>
      <c r="C87" s="1"/>
      <c r="D87" s="1"/>
      <c r="E87" s="1"/>
      <c r="F87" s="1"/>
      <c r="G87" s="1"/>
      <c r="H87" s="1"/>
      <c r="I87" s="1"/>
    </row>
    <row r="88" spans="1:9" x14ac:dyDescent="0.35">
      <c r="A88" s="1"/>
      <c r="B88" s="1"/>
      <c r="C88" s="1"/>
      <c r="D88" s="1"/>
      <c r="E88" s="1"/>
      <c r="F88" s="1"/>
      <c r="G88" s="1"/>
      <c r="H88" s="1"/>
      <c r="I88" s="1"/>
    </row>
    <row r="89" spans="1:9" x14ac:dyDescent="0.35">
      <c r="A89" s="1"/>
      <c r="B89" s="1"/>
      <c r="C89" s="1"/>
      <c r="D89" s="1"/>
      <c r="E89" s="1"/>
      <c r="F89" s="1"/>
      <c r="G89" s="1"/>
      <c r="H89" s="1"/>
      <c r="I89" s="1"/>
    </row>
    <row r="90" spans="1:9" x14ac:dyDescent="0.35">
      <c r="A90" s="1"/>
      <c r="B90" s="1"/>
      <c r="C90" s="1"/>
      <c r="D90" s="1"/>
      <c r="E90" s="1"/>
      <c r="F90" s="1"/>
      <c r="G90" s="1"/>
      <c r="H90" s="1"/>
      <c r="I90" s="1"/>
    </row>
    <row r="91" spans="1:9" x14ac:dyDescent="0.35">
      <c r="A91" s="1"/>
      <c r="B91" s="1"/>
      <c r="C91" s="1"/>
      <c r="D91" s="1"/>
      <c r="E91" s="1"/>
      <c r="F91" s="1"/>
      <c r="G91" s="1"/>
      <c r="H91" s="1"/>
      <c r="I91" s="1"/>
    </row>
    <row r="92" spans="1:9" x14ac:dyDescent="0.35">
      <c r="A92" s="1"/>
      <c r="B92" s="1"/>
      <c r="C92" s="1"/>
      <c r="D92" s="1"/>
      <c r="E92" s="1"/>
      <c r="F92" s="1"/>
      <c r="G92" s="1"/>
      <c r="H92" s="1"/>
      <c r="I92" s="1"/>
    </row>
    <row r="93" spans="1:9" x14ac:dyDescent="0.35">
      <c r="A93" s="1"/>
      <c r="B93" s="1"/>
      <c r="C93" s="1"/>
      <c r="D93" s="1"/>
      <c r="E93" s="1"/>
      <c r="F93" s="1"/>
      <c r="G93" s="1"/>
      <c r="H93" s="1"/>
      <c r="I93" s="1"/>
    </row>
    <row r="94" spans="1:9" x14ac:dyDescent="0.35">
      <c r="A94" s="1"/>
      <c r="B94" s="1"/>
      <c r="C94" s="1"/>
      <c r="D94" s="1"/>
      <c r="E94" s="1"/>
      <c r="F94" s="1"/>
      <c r="G94" s="1"/>
      <c r="H94" s="1"/>
      <c r="I94" s="1"/>
    </row>
    <row r="95" spans="1:9" x14ac:dyDescent="0.35">
      <c r="A95" s="1"/>
      <c r="B95" s="1"/>
      <c r="C95" s="1"/>
      <c r="D95" s="1"/>
      <c r="E95" s="1"/>
      <c r="F95" s="1"/>
      <c r="G95" s="1"/>
      <c r="H95" s="1"/>
      <c r="I95" s="1"/>
    </row>
    <row r="96" spans="1:9" x14ac:dyDescent="0.35">
      <c r="A96" s="1"/>
      <c r="B96" s="1"/>
      <c r="C96" s="1"/>
      <c r="D96" s="1"/>
      <c r="E96" s="1"/>
      <c r="F96" s="1"/>
      <c r="G96" s="1"/>
      <c r="H96" s="1"/>
      <c r="I96" s="1"/>
    </row>
    <row r="97" spans="1:9" x14ac:dyDescent="0.35">
      <c r="A97" s="1"/>
      <c r="B97" s="1"/>
      <c r="C97" s="1"/>
      <c r="D97" s="1"/>
      <c r="E97" s="1"/>
      <c r="F97" s="1"/>
      <c r="G97" s="1"/>
      <c r="H97" s="1"/>
      <c r="I97" s="1"/>
    </row>
    <row r="98" spans="1:9" x14ac:dyDescent="0.35">
      <c r="A98" s="1"/>
      <c r="B98" s="1"/>
      <c r="C98" s="1"/>
      <c r="D98" s="1"/>
      <c r="E98" s="1"/>
      <c r="F98" s="1"/>
      <c r="G98" s="1"/>
      <c r="H98" s="1"/>
      <c r="I98" s="1"/>
    </row>
    <row r="99" spans="1:9" x14ac:dyDescent="0.35">
      <c r="A99" s="1"/>
      <c r="B99" s="1"/>
      <c r="C99" s="1"/>
      <c r="D99" s="1"/>
      <c r="E99" s="1"/>
      <c r="F99" s="1"/>
      <c r="G99" s="1"/>
      <c r="H99" s="1"/>
      <c r="I99" s="1"/>
    </row>
    <row r="100" spans="1:9" x14ac:dyDescent="0.35">
      <c r="A100" s="1"/>
      <c r="B100" s="1"/>
      <c r="C100" s="1"/>
      <c r="D100" s="1"/>
      <c r="E100" s="1"/>
      <c r="F100" s="1"/>
      <c r="G100" s="1"/>
      <c r="H100" s="1"/>
      <c r="I100" s="1"/>
    </row>
    <row r="101" spans="1:9" x14ac:dyDescent="0.35">
      <c r="A101" s="1"/>
      <c r="B101" s="1"/>
      <c r="C101" s="1"/>
      <c r="D101" s="1"/>
      <c r="E101" s="1"/>
      <c r="F101" s="1"/>
      <c r="G101" s="1"/>
      <c r="H101" s="1"/>
      <c r="I101" s="1"/>
    </row>
    <row r="102" spans="1:9" x14ac:dyDescent="0.35">
      <c r="A102" s="1"/>
      <c r="B102" s="1"/>
      <c r="C102" s="1"/>
      <c r="D102" s="1"/>
      <c r="E102" s="1"/>
      <c r="F102" s="1"/>
      <c r="G102" s="1"/>
      <c r="H102" s="1"/>
      <c r="I102" s="1"/>
    </row>
    <row r="103" spans="1:9" x14ac:dyDescent="0.35">
      <c r="A103" s="1"/>
      <c r="B103" s="1"/>
      <c r="C103" s="1"/>
      <c r="D103" s="1"/>
      <c r="E103" s="1"/>
      <c r="F103" s="1"/>
      <c r="G103" s="1"/>
      <c r="H103" s="1"/>
      <c r="I103" s="1"/>
    </row>
    <row r="104" spans="1:9" x14ac:dyDescent="0.35">
      <c r="A104" s="1"/>
      <c r="B104" s="1"/>
      <c r="C104" s="1"/>
      <c r="D104" s="1"/>
      <c r="E104" s="1"/>
      <c r="F104" s="1"/>
      <c r="G104" s="1"/>
      <c r="H104" s="1"/>
      <c r="I104" s="1"/>
    </row>
    <row r="105" spans="1:9" x14ac:dyDescent="0.35">
      <c r="A105" s="1"/>
      <c r="B105" s="1"/>
      <c r="C105" s="1"/>
      <c r="D105" s="1"/>
      <c r="E105" s="1"/>
      <c r="F105" s="1"/>
      <c r="G105" s="1"/>
      <c r="H105" s="1"/>
      <c r="I105" s="1"/>
    </row>
    <row r="106" spans="1:9" x14ac:dyDescent="0.35">
      <c r="A106" s="1"/>
      <c r="B106" s="1"/>
      <c r="C106" s="1"/>
      <c r="D106" s="1"/>
      <c r="E106" s="1"/>
      <c r="F106" s="1"/>
      <c r="G106" s="1"/>
      <c r="H106" s="1"/>
      <c r="I106" s="1"/>
    </row>
    <row r="107" spans="1:9" x14ac:dyDescent="0.35">
      <c r="A107" s="1"/>
      <c r="B107" s="1"/>
      <c r="C107" s="1"/>
      <c r="D107" s="1"/>
      <c r="E107" s="1"/>
      <c r="F107" s="1"/>
      <c r="G107" s="1"/>
      <c r="H107" s="1"/>
      <c r="I107" s="1"/>
    </row>
    <row r="108" spans="1:9" x14ac:dyDescent="0.35">
      <c r="A108" s="1"/>
      <c r="B108" s="1"/>
      <c r="C108" s="1"/>
      <c r="D108" s="1"/>
      <c r="E108" s="1"/>
      <c r="F108" s="1"/>
      <c r="G108" s="1"/>
      <c r="H108" s="1"/>
      <c r="I108" s="1"/>
    </row>
    <row r="109" spans="1:9" x14ac:dyDescent="0.35">
      <c r="A109" s="1"/>
      <c r="B109" s="1"/>
      <c r="C109" s="1"/>
      <c r="D109" s="1"/>
      <c r="E109" s="1"/>
      <c r="F109" s="1"/>
      <c r="G109" s="1"/>
      <c r="H109" s="1"/>
      <c r="I109" s="1"/>
    </row>
    <row r="110" spans="1:9" x14ac:dyDescent="0.35">
      <c r="A110" s="1"/>
      <c r="B110" s="1"/>
      <c r="C110" s="1"/>
      <c r="D110" s="1"/>
      <c r="E110" s="1"/>
      <c r="F110" s="1"/>
      <c r="G110" s="1"/>
      <c r="H110" s="1"/>
      <c r="I110" s="1"/>
    </row>
    <row r="111" spans="1:9" x14ac:dyDescent="0.35">
      <c r="A111" s="1"/>
      <c r="B111" s="1"/>
      <c r="C111" s="1"/>
      <c r="D111" s="1"/>
      <c r="E111" s="1"/>
      <c r="F111" s="1"/>
      <c r="G111" s="1"/>
      <c r="H111" s="1"/>
      <c r="I111" s="1"/>
    </row>
    <row r="112" spans="1:9" x14ac:dyDescent="0.35">
      <c r="A112" s="1"/>
      <c r="B112" s="1"/>
      <c r="C112" s="1"/>
      <c r="D112" s="1"/>
      <c r="E112" s="1"/>
      <c r="F112" s="1"/>
      <c r="G112" s="1"/>
      <c r="H112" s="1"/>
      <c r="I112" s="1"/>
    </row>
    <row r="113" spans="1:9" x14ac:dyDescent="0.35">
      <c r="A113" s="1"/>
      <c r="B113" s="1"/>
      <c r="C113" s="1"/>
      <c r="D113" s="1"/>
      <c r="E113" s="1"/>
      <c r="F113" s="1"/>
      <c r="G113" s="1"/>
      <c r="H113" s="1"/>
      <c r="I113" s="1"/>
    </row>
    <row r="114" spans="1:9" x14ac:dyDescent="0.35">
      <c r="A114" s="1"/>
      <c r="B114" s="1"/>
      <c r="C114" s="1"/>
      <c r="D114" s="1"/>
      <c r="E114" s="1"/>
      <c r="F114" s="1"/>
      <c r="G114" s="1"/>
      <c r="H114" s="1"/>
      <c r="I114" s="1"/>
    </row>
    <row r="115" spans="1:9" x14ac:dyDescent="0.35">
      <c r="A115" s="1"/>
      <c r="B115" s="1"/>
      <c r="C115" s="1"/>
      <c r="D115" s="1"/>
      <c r="E115" s="1"/>
      <c r="F115" s="1"/>
      <c r="G115" s="1"/>
      <c r="H115" s="1"/>
      <c r="I115" s="1"/>
    </row>
    <row r="116" spans="1:9" x14ac:dyDescent="0.35">
      <c r="A116" s="1"/>
      <c r="B116" s="1"/>
      <c r="C116" s="1"/>
      <c r="D116" s="1"/>
      <c r="E116" s="1"/>
      <c r="F116" s="1"/>
      <c r="G116" s="1"/>
      <c r="H116" s="1"/>
      <c r="I116" s="1"/>
    </row>
    <row r="117" spans="1:9" x14ac:dyDescent="0.35">
      <c r="A117" s="1"/>
      <c r="B117" s="1"/>
      <c r="C117" s="1"/>
      <c r="D117" s="1"/>
      <c r="E117" s="1"/>
      <c r="F117" s="1"/>
      <c r="G117" s="1"/>
      <c r="H117" s="1"/>
      <c r="I117" s="1"/>
    </row>
    <row r="118" spans="1:9" x14ac:dyDescent="0.35">
      <c r="A118" s="1"/>
      <c r="B118" s="1"/>
      <c r="C118" s="1"/>
      <c r="D118" s="1"/>
      <c r="E118" s="1"/>
      <c r="F118" s="1"/>
      <c r="G118" s="1"/>
      <c r="H118" s="1"/>
      <c r="I118" s="1"/>
    </row>
    <row r="119" spans="1:9" x14ac:dyDescent="0.35">
      <c r="A119" s="1"/>
      <c r="B119" s="1"/>
      <c r="C119" s="1"/>
      <c r="D119" s="1"/>
      <c r="E119" s="1"/>
      <c r="F119" s="1"/>
      <c r="G119" s="1"/>
      <c r="H119" s="1"/>
      <c r="I119" s="1"/>
    </row>
    <row r="120" spans="1:9" x14ac:dyDescent="0.35">
      <c r="A120" s="1"/>
      <c r="B120" s="1"/>
      <c r="C120" s="1"/>
      <c r="D120" s="1"/>
      <c r="E120" s="1"/>
      <c r="F120" s="1"/>
      <c r="G120" s="1"/>
      <c r="H120" s="1"/>
      <c r="I120" s="1"/>
    </row>
    <row r="121" spans="1:9" x14ac:dyDescent="0.35">
      <c r="A121" s="1"/>
      <c r="B121" s="1"/>
      <c r="C121" s="1"/>
      <c r="D121" s="1"/>
      <c r="E121" s="1"/>
      <c r="F121" s="1"/>
      <c r="G121" s="1"/>
      <c r="H121" s="1"/>
      <c r="I121" s="1"/>
    </row>
    <row r="122" spans="1:9" x14ac:dyDescent="0.35">
      <c r="A122" s="1"/>
      <c r="B122" s="1"/>
      <c r="C122" s="1"/>
      <c r="D122" s="1"/>
      <c r="E122" s="1"/>
      <c r="F122" s="1"/>
      <c r="G122" s="1"/>
      <c r="H122" s="1"/>
      <c r="I122" s="1"/>
    </row>
    <row r="123" spans="1:9" x14ac:dyDescent="0.35">
      <c r="A123" s="1"/>
      <c r="B123" s="1"/>
      <c r="C123" s="1"/>
      <c r="D123" s="1"/>
      <c r="E123" s="1"/>
      <c r="F123" s="1"/>
      <c r="G123" s="1"/>
      <c r="H123" s="1"/>
      <c r="I123" s="1"/>
    </row>
    <row r="124" spans="1:9" x14ac:dyDescent="0.35">
      <c r="A124" s="1"/>
      <c r="B124" s="1"/>
      <c r="C124" s="1"/>
      <c r="D124" s="1"/>
      <c r="E124" s="1"/>
      <c r="F124" s="1"/>
      <c r="G124" s="1"/>
      <c r="H124" s="1"/>
      <c r="I124" s="1"/>
    </row>
    <row r="125" spans="1:9" x14ac:dyDescent="0.35">
      <c r="A125" s="1"/>
      <c r="B125" s="1"/>
      <c r="C125" s="1"/>
      <c r="D125" s="1"/>
      <c r="E125" s="1"/>
      <c r="F125" s="1"/>
      <c r="G125" s="1"/>
      <c r="H125" s="1"/>
      <c r="I125" s="1"/>
    </row>
    <row r="126" spans="1:9" x14ac:dyDescent="0.35">
      <c r="A126" s="1"/>
      <c r="B126" s="1"/>
      <c r="C126" s="1"/>
      <c r="D126" s="1"/>
      <c r="E126" s="1"/>
      <c r="F126" s="1"/>
      <c r="G126" s="1"/>
      <c r="H126" s="1"/>
      <c r="I126" s="1"/>
    </row>
    <row r="127" spans="1:9" x14ac:dyDescent="0.35">
      <c r="A127" s="1"/>
      <c r="B127" s="1"/>
      <c r="C127" s="1"/>
      <c r="D127" s="1"/>
      <c r="E127" s="1"/>
      <c r="F127" s="1"/>
      <c r="G127" s="1"/>
      <c r="H127" s="1"/>
      <c r="I127" s="1"/>
    </row>
    <row r="128" spans="1:9" x14ac:dyDescent="0.35">
      <c r="A128" s="1"/>
      <c r="B128" s="1"/>
      <c r="C128" s="1"/>
      <c r="D128" s="1"/>
      <c r="E128" s="1"/>
      <c r="F128" s="1"/>
      <c r="G128" s="1"/>
      <c r="H128" s="1"/>
      <c r="I128" s="1"/>
    </row>
    <row r="129" spans="1:9" x14ac:dyDescent="0.35">
      <c r="A129" s="1"/>
      <c r="B129" s="1"/>
      <c r="C129" s="1"/>
      <c r="D129" s="1"/>
      <c r="E129" s="1"/>
      <c r="F129" s="1"/>
      <c r="G129" s="1"/>
      <c r="H129" s="1"/>
      <c r="I129" s="1"/>
    </row>
    <row r="130" spans="1:9" x14ac:dyDescent="0.35">
      <c r="A130" s="1"/>
      <c r="B130" s="1"/>
      <c r="C130" s="1"/>
      <c r="D130" s="1"/>
      <c r="E130" s="1"/>
      <c r="F130" s="1"/>
      <c r="G130" s="1"/>
      <c r="H130" s="1"/>
      <c r="I130" s="1"/>
    </row>
    <row r="131" spans="1:9" x14ac:dyDescent="0.35">
      <c r="A131" s="1"/>
      <c r="B131" s="1"/>
      <c r="C131" s="1"/>
      <c r="D131" s="1"/>
      <c r="E131" s="1"/>
      <c r="F131" s="1"/>
      <c r="G131" s="1"/>
      <c r="H131" s="1"/>
      <c r="I131" s="1"/>
    </row>
    <row r="132" spans="1:9" x14ac:dyDescent="0.35">
      <c r="A132" s="1"/>
      <c r="B132" s="1"/>
      <c r="C132" s="1"/>
      <c r="D132" s="1"/>
      <c r="E132" s="1"/>
      <c r="F132" s="1"/>
      <c r="G132" s="1"/>
      <c r="H132" s="1"/>
      <c r="I132" s="1"/>
    </row>
    <row r="133" spans="1:9" x14ac:dyDescent="0.35">
      <c r="A133" s="1"/>
      <c r="B133" s="1"/>
      <c r="C133" s="1"/>
      <c r="D133" s="1"/>
      <c r="E133" s="1"/>
      <c r="F133" s="1"/>
      <c r="G133" s="1"/>
      <c r="H133" s="1"/>
      <c r="I133" s="1"/>
    </row>
    <row r="134" spans="1:9" x14ac:dyDescent="0.35">
      <c r="A134" s="1"/>
      <c r="B134" s="1"/>
      <c r="C134" s="1"/>
      <c r="D134" s="1"/>
      <c r="E134" s="1"/>
      <c r="F134" s="1"/>
      <c r="G134" s="1"/>
      <c r="H134" s="1"/>
      <c r="I134" s="1"/>
    </row>
    <row r="135" spans="1:9" x14ac:dyDescent="0.35">
      <c r="A135" s="1"/>
      <c r="B135" s="1"/>
      <c r="C135" s="1"/>
      <c r="D135" s="1"/>
      <c r="E135" s="1"/>
      <c r="F135" s="1"/>
      <c r="G135" s="1"/>
      <c r="H135" s="1"/>
      <c r="I135" s="1"/>
    </row>
    <row r="136" spans="1:9" x14ac:dyDescent="0.35">
      <c r="A136" s="1"/>
      <c r="B136" s="1"/>
      <c r="C136" s="1"/>
      <c r="D136" s="1"/>
      <c r="E136" s="1"/>
      <c r="F136" s="1"/>
      <c r="G136" s="1"/>
      <c r="H136" s="1"/>
      <c r="I136" s="1"/>
    </row>
    <row r="137" spans="1:9" x14ac:dyDescent="0.35">
      <c r="A137" s="1"/>
      <c r="B137" s="1"/>
      <c r="C137" s="1"/>
      <c r="D137" s="1"/>
      <c r="E137" s="1"/>
      <c r="F137" s="1"/>
      <c r="G137" s="1"/>
      <c r="H137" s="1"/>
      <c r="I137" s="1"/>
    </row>
    <row r="138" spans="1:9" x14ac:dyDescent="0.35">
      <c r="A138" s="1"/>
      <c r="B138" s="1"/>
      <c r="C138" s="1"/>
      <c r="D138" s="1"/>
      <c r="E138" s="1"/>
      <c r="F138" s="1"/>
      <c r="G138" s="1"/>
      <c r="H138" s="1"/>
      <c r="I138" s="1"/>
    </row>
    <row r="139" spans="1:9" x14ac:dyDescent="0.35">
      <c r="A139" s="1"/>
      <c r="B139" s="1"/>
      <c r="C139" s="1"/>
      <c r="D139" s="1"/>
      <c r="E139" s="1"/>
      <c r="F139" s="1"/>
      <c r="G139" s="1"/>
      <c r="H139" s="1"/>
      <c r="I139" s="1"/>
    </row>
    <row r="140" spans="1:9" x14ac:dyDescent="0.35">
      <c r="A140" s="1"/>
      <c r="B140" s="1"/>
      <c r="C140" s="1"/>
      <c r="D140" s="1"/>
      <c r="E140" s="1"/>
      <c r="F140" s="1"/>
      <c r="G140" s="1"/>
      <c r="H140" s="1"/>
      <c r="I140" s="1"/>
    </row>
    <row r="141" spans="1:9" x14ac:dyDescent="0.35">
      <c r="A141" s="1"/>
      <c r="B141" s="1"/>
      <c r="C141" s="1"/>
      <c r="D141" s="1"/>
      <c r="E141" s="1"/>
      <c r="F141" s="1"/>
      <c r="G141" s="1"/>
      <c r="H141" s="1"/>
      <c r="I141" s="1"/>
    </row>
    <row r="142" spans="1:9" x14ac:dyDescent="0.35">
      <c r="A142" s="1"/>
      <c r="B142" s="1"/>
      <c r="C142" s="1"/>
      <c r="D142" s="1"/>
      <c r="E142" s="1"/>
      <c r="F142" s="1"/>
      <c r="G142" s="1"/>
      <c r="H142" s="1"/>
      <c r="I142" s="1"/>
    </row>
    <row r="143" spans="1:9" x14ac:dyDescent="0.35">
      <c r="A143" s="1"/>
      <c r="B143" s="1"/>
      <c r="C143" s="1"/>
      <c r="D143" s="1"/>
      <c r="E143" s="1"/>
      <c r="F143" s="1"/>
      <c r="G143" s="1"/>
      <c r="H143" s="1"/>
      <c r="I143" s="1"/>
    </row>
    <row r="144" spans="1:9" x14ac:dyDescent="0.35">
      <c r="A144" s="1"/>
      <c r="B144" s="1"/>
      <c r="C144" s="1"/>
      <c r="D144" s="1"/>
      <c r="E144" s="1"/>
      <c r="F144" s="1"/>
      <c r="G144" s="1"/>
      <c r="H144" s="1"/>
      <c r="I144" s="1"/>
    </row>
    <row r="145" spans="1:9" x14ac:dyDescent="0.35">
      <c r="A145" s="1"/>
      <c r="B145" s="1"/>
      <c r="C145" s="1"/>
      <c r="D145" s="1"/>
      <c r="E145" s="1"/>
      <c r="F145" s="1"/>
      <c r="G145" s="1"/>
      <c r="H145" s="1"/>
      <c r="I145" s="1"/>
    </row>
    <row r="146" spans="1:9" x14ac:dyDescent="0.35">
      <c r="A146" s="1"/>
      <c r="B146" s="1"/>
      <c r="C146" s="1"/>
      <c r="D146" s="1"/>
      <c r="E146" s="1"/>
      <c r="F146" s="1"/>
      <c r="G146" s="1"/>
      <c r="H146" s="1"/>
      <c r="I146" s="1"/>
    </row>
    <row r="147" spans="1:9" x14ac:dyDescent="0.35">
      <c r="A147" s="1"/>
      <c r="B147" s="1"/>
      <c r="C147" s="1"/>
      <c r="D147" s="1"/>
      <c r="E147" s="1"/>
      <c r="F147" s="1"/>
      <c r="G147" s="1"/>
      <c r="H147" s="1"/>
      <c r="I147" s="1"/>
    </row>
    <row r="148" spans="1:9" x14ac:dyDescent="0.35">
      <c r="A148" s="1"/>
      <c r="B148" s="1"/>
      <c r="C148" s="1"/>
      <c r="D148" s="1"/>
      <c r="E148" s="1"/>
      <c r="F148" s="1"/>
      <c r="G148" s="1"/>
      <c r="H148" s="1"/>
      <c r="I148" s="1"/>
    </row>
    <row r="149" spans="1:9" x14ac:dyDescent="0.35">
      <c r="A149" s="1"/>
      <c r="B149" s="1"/>
      <c r="C149" s="1"/>
      <c r="D149" s="1"/>
      <c r="E149" s="1"/>
      <c r="F149" s="1"/>
      <c r="G149" s="1"/>
      <c r="H149" s="1"/>
      <c r="I149" s="1"/>
    </row>
    <row r="150" spans="1:9" x14ac:dyDescent="0.35">
      <c r="A150" s="1"/>
      <c r="B150" s="1"/>
      <c r="C150" s="1"/>
      <c r="D150" s="1"/>
      <c r="E150" s="1"/>
      <c r="F150" s="1"/>
      <c r="G150" s="1"/>
      <c r="H150" s="1"/>
      <c r="I150" s="1"/>
    </row>
    <row r="151" spans="1:9" x14ac:dyDescent="0.35">
      <c r="A151" s="1"/>
      <c r="B151" s="1"/>
      <c r="C151" s="1"/>
      <c r="D151" s="1"/>
      <c r="E151" s="1"/>
      <c r="F151" s="1"/>
      <c r="G151" s="1"/>
      <c r="H151" s="1"/>
      <c r="I151" s="1"/>
    </row>
    <row r="152" spans="1:9" x14ac:dyDescent="0.35">
      <c r="A152" s="1"/>
      <c r="B152" s="1"/>
      <c r="C152" s="1"/>
      <c r="D152" s="1"/>
      <c r="E152" s="1"/>
      <c r="F152" s="1"/>
      <c r="G152" s="1"/>
      <c r="H152" s="1"/>
      <c r="I152" s="1"/>
    </row>
    <row r="153" spans="1:9" x14ac:dyDescent="0.35">
      <c r="A153" s="1"/>
      <c r="B153" s="1"/>
      <c r="C153" s="1"/>
      <c r="D153" s="1"/>
      <c r="E153" s="1"/>
      <c r="F153" s="1"/>
      <c r="G153" s="1"/>
      <c r="H153" s="1"/>
      <c r="I153" s="1"/>
    </row>
    <row r="154" spans="1:9" x14ac:dyDescent="0.35">
      <c r="A154" s="1"/>
      <c r="B154" s="1"/>
      <c r="C154" s="1"/>
      <c r="D154" s="1"/>
      <c r="E154" s="1"/>
      <c r="F154" s="1"/>
      <c r="G154" s="1"/>
      <c r="H154" s="1"/>
      <c r="I154" s="1"/>
    </row>
    <row r="155" spans="1:9" x14ac:dyDescent="0.35">
      <c r="A155" s="1"/>
      <c r="B155" s="1"/>
      <c r="C155" s="1"/>
      <c r="D155" s="1"/>
      <c r="E155" s="1"/>
      <c r="F155" s="1"/>
      <c r="G155" s="1"/>
      <c r="H155" s="1"/>
      <c r="I155" s="1"/>
    </row>
    <row r="156" spans="1:9" x14ac:dyDescent="0.35">
      <c r="A156" s="1"/>
      <c r="B156" s="1"/>
      <c r="C156" s="1"/>
      <c r="D156" s="1"/>
      <c r="E156" s="1"/>
      <c r="F156" s="1"/>
      <c r="G156" s="1"/>
      <c r="H156" s="1"/>
      <c r="I156" s="1"/>
    </row>
    <row r="157" spans="1:9" x14ac:dyDescent="0.35">
      <c r="A157" s="1"/>
      <c r="B157" s="1"/>
      <c r="C157" s="1"/>
      <c r="D157" s="1"/>
      <c r="E157" s="1"/>
      <c r="F157" s="1"/>
      <c r="G157" s="1"/>
      <c r="H157" s="1"/>
      <c r="I157" s="1"/>
    </row>
    <row r="158" spans="1:9" x14ac:dyDescent="0.35">
      <c r="A158" s="1"/>
      <c r="B158" s="1"/>
      <c r="C158" s="1"/>
      <c r="D158" s="1"/>
      <c r="E158" s="1"/>
      <c r="F158" s="1"/>
      <c r="G158" s="1"/>
      <c r="H158" s="1"/>
      <c r="I158" s="1"/>
    </row>
    <row r="159" spans="1:9" x14ac:dyDescent="0.35">
      <c r="A159" s="1"/>
      <c r="B159" s="1"/>
      <c r="C159" s="1"/>
      <c r="D159" s="1"/>
      <c r="E159" s="1"/>
      <c r="F159" s="1"/>
      <c r="G159" s="1"/>
      <c r="H159" s="1"/>
      <c r="I159" s="1"/>
    </row>
    <row r="160" spans="1:9" x14ac:dyDescent="0.35">
      <c r="A160" s="1"/>
      <c r="B160" s="1"/>
      <c r="C160" s="1"/>
      <c r="D160" s="1"/>
      <c r="E160" s="1"/>
      <c r="F160" s="1"/>
      <c r="G160" s="1"/>
      <c r="H160" s="1"/>
      <c r="I160" s="1"/>
    </row>
    <row r="161" spans="1:9" x14ac:dyDescent="0.35">
      <c r="A161" s="1"/>
      <c r="B161" s="1"/>
      <c r="C161" s="1"/>
      <c r="D161" s="1"/>
      <c r="E161" s="1"/>
      <c r="F161" s="1"/>
      <c r="G161" s="1"/>
      <c r="H161" s="1"/>
      <c r="I161" s="1"/>
    </row>
    <row r="162" spans="1:9" x14ac:dyDescent="0.35">
      <c r="A162" s="1"/>
      <c r="B162" s="1"/>
      <c r="C162" s="1"/>
      <c r="D162" s="1"/>
      <c r="E162" s="1"/>
      <c r="F162" s="1"/>
      <c r="G162" s="1"/>
      <c r="H162" s="1"/>
      <c r="I162" s="1"/>
    </row>
    <row r="163" spans="1:9" x14ac:dyDescent="0.35">
      <c r="A163" s="1"/>
      <c r="B163" s="1"/>
      <c r="C163" s="1"/>
      <c r="D163" s="1"/>
      <c r="E163" s="1"/>
      <c r="F163" s="1"/>
      <c r="G163" s="1"/>
      <c r="H163" s="1"/>
      <c r="I163" s="1"/>
    </row>
    <row r="164" spans="1:9" x14ac:dyDescent="0.35">
      <c r="A164" s="1"/>
      <c r="B164" s="1"/>
      <c r="C164" s="1"/>
      <c r="D164" s="1"/>
      <c r="E164" s="1"/>
      <c r="F164" s="1"/>
      <c r="G164" s="1"/>
      <c r="H164" s="1"/>
      <c r="I164" s="1"/>
    </row>
    <row r="165" spans="1:9" x14ac:dyDescent="0.35">
      <c r="A165" s="1"/>
      <c r="B165" s="1"/>
      <c r="C165" s="1"/>
      <c r="D165" s="1"/>
      <c r="E165" s="1"/>
      <c r="F165" s="1"/>
      <c r="G165" s="1"/>
      <c r="H165" s="1"/>
      <c r="I165" s="1"/>
    </row>
    <row r="166" spans="1:9" x14ac:dyDescent="0.35">
      <c r="A166" s="1"/>
      <c r="B166" s="1"/>
      <c r="C166" s="1"/>
      <c r="D166" s="1"/>
      <c r="E166" s="1"/>
      <c r="F166" s="1"/>
      <c r="G166" s="1"/>
      <c r="H166" s="1"/>
      <c r="I166" s="1"/>
    </row>
    <row r="167" spans="1:9" x14ac:dyDescent="0.35">
      <c r="A167" s="1"/>
      <c r="B167" s="1"/>
      <c r="C167" s="1"/>
      <c r="D167" s="1"/>
      <c r="E167" s="1"/>
      <c r="F167" s="1"/>
      <c r="G167" s="1"/>
      <c r="H167" s="1"/>
      <c r="I167" s="1"/>
    </row>
    <row r="168" spans="1:9" x14ac:dyDescent="0.35">
      <c r="A168" s="1"/>
      <c r="B168" s="1"/>
      <c r="C168" s="1"/>
      <c r="D168" s="1"/>
      <c r="E168" s="1"/>
      <c r="F168" s="1"/>
      <c r="G168" s="1"/>
      <c r="H168" s="1"/>
      <c r="I168" s="1"/>
    </row>
    <row r="169" spans="1:9" x14ac:dyDescent="0.35">
      <c r="A169" s="1"/>
      <c r="B169" s="1"/>
      <c r="C169" s="1"/>
      <c r="D169" s="1"/>
      <c r="E169" s="1"/>
      <c r="F169" s="1"/>
      <c r="G169" s="1"/>
      <c r="H169" s="1"/>
      <c r="I169" s="1"/>
    </row>
    <row r="170" spans="1:9" x14ac:dyDescent="0.35">
      <c r="A170" s="1"/>
      <c r="B170" s="1"/>
      <c r="C170" s="1"/>
      <c r="D170" s="1"/>
      <c r="E170" s="1"/>
      <c r="F170" s="1"/>
      <c r="G170" s="1"/>
      <c r="H170" s="1"/>
      <c r="I170" s="1"/>
    </row>
    <row r="171" spans="1:9" x14ac:dyDescent="0.35">
      <c r="A171" s="1"/>
      <c r="B171" s="1"/>
      <c r="C171" s="1"/>
      <c r="D171" s="1"/>
      <c r="E171" s="1"/>
      <c r="F171" s="1"/>
      <c r="G171" s="1"/>
      <c r="H171" s="1"/>
      <c r="I171" s="1"/>
    </row>
    <row r="172" spans="1:9" x14ac:dyDescent="0.35">
      <c r="A172" s="1"/>
      <c r="B172" s="1"/>
      <c r="C172" s="1"/>
      <c r="D172" s="1"/>
      <c r="E172" s="1"/>
      <c r="F172" s="1"/>
      <c r="G172" s="1"/>
      <c r="H172" s="1"/>
      <c r="I172" s="1"/>
    </row>
    <row r="173" spans="1:9" x14ac:dyDescent="0.35">
      <c r="A173" s="1"/>
      <c r="B173" s="1"/>
      <c r="C173" s="1"/>
      <c r="D173" s="1"/>
      <c r="E173" s="1"/>
      <c r="F173" s="1"/>
      <c r="G173" s="1"/>
      <c r="H173" s="1"/>
      <c r="I173" s="1"/>
    </row>
    <row r="174" spans="1:9" x14ac:dyDescent="0.35">
      <c r="A174" s="1"/>
      <c r="B174" s="1"/>
      <c r="C174" s="1"/>
      <c r="D174" s="1"/>
      <c r="E174" s="1"/>
      <c r="F174" s="1"/>
      <c r="G174" s="1"/>
      <c r="H174" s="1"/>
      <c r="I174" s="1"/>
    </row>
    <row r="175" spans="1:9" x14ac:dyDescent="0.35">
      <c r="A175" s="1"/>
      <c r="B175" s="1"/>
      <c r="C175" s="1"/>
      <c r="D175" s="1"/>
      <c r="E175" s="1"/>
      <c r="F175" s="1"/>
      <c r="G175" s="1"/>
      <c r="H175" s="1"/>
      <c r="I175" s="1"/>
    </row>
    <row r="176" spans="1:9" x14ac:dyDescent="0.35">
      <c r="A176" s="1"/>
      <c r="B176" s="1"/>
      <c r="C176" s="1"/>
      <c r="D176" s="1"/>
      <c r="E176" s="1"/>
      <c r="F176" s="1"/>
      <c r="G176" s="1"/>
      <c r="H176" s="1"/>
      <c r="I176" s="1"/>
    </row>
    <row r="177" spans="1:9" x14ac:dyDescent="0.35">
      <c r="A177" s="1"/>
      <c r="B177" s="1"/>
      <c r="C177" s="1"/>
      <c r="D177" s="1"/>
      <c r="E177" s="1"/>
      <c r="F177" s="1"/>
      <c r="G177" s="1"/>
      <c r="H177" s="1"/>
      <c r="I177" s="1"/>
    </row>
    <row r="178" spans="1:9" x14ac:dyDescent="0.35">
      <c r="A178" s="1"/>
      <c r="B178" s="1"/>
      <c r="C178" s="1"/>
      <c r="D178" s="1"/>
      <c r="E178" s="1"/>
      <c r="F178" s="1"/>
      <c r="G178" s="1"/>
      <c r="H178" s="1"/>
      <c r="I178" s="1"/>
    </row>
    <row r="179" spans="1:9" x14ac:dyDescent="0.35">
      <c r="A179" s="1"/>
      <c r="B179" s="1"/>
      <c r="C179" s="1"/>
      <c r="D179" s="1"/>
      <c r="E179" s="1"/>
      <c r="F179" s="1"/>
      <c r="G179" s="1"/>
      <c r="H179" s="1"/>
      <c r="I179" s="1"/>
    </row>
    <row r="180" spans="1:9" x14ac:dyDescent="0.35">
      <c r="A180" s="1"/>
      <c r="B180" s="1"/>
      <c r="C180" s="1"/>
      <c r="D180" s="1"/>
      <c r="E180" s="1"/>
      <c r="F180" s="1"/>
      <c r="G180" s="1"/>
      <c r="H180" s="1"/>
      <c r="I180" s="1"/>
    </row>
    <row r="181" spans="1:9" x14ac:dyDescent="0.35">
      <c r="A181" s="1"/>
      <c r="B181" s="1"/>
      <c r="C181" s="1"/>
      <c r="D181" s="1"/>
      <c r="E181" s="1"/>
      <c r="F181" s="1"/>
      <c r="G181" s="1"/>
      <c r="H181" s="1"/>
      <c r="I181" s="1"/>
    </row>
    <row r="182" spans="1:9" x14ac:dyDescent="0.35">
      <c r="A182" s="1"/>
      <c r="B182" s="1"/>
      <c r="C182" s="1"/>
      <c r="D182" s="1"/>
      <c r="E182" s="1"/>
      <c r="F182" s="1"/>
      <c r="G182" s="1"/>
      <c r="H182" s="1"/>
      <c r="I182" s="1"/>
    </row>
    <row r="183" spans="1:9" x14ac:dyDescent="0.35">
      <c r="A183" s="1"/>
      <c r="B183" s="1"/>
      <c r="C183" s="1"/>
      <c r="D183" s="1"/>
      <c r="E183" s="1"/>
      <c r="F183" s="1"/>
      <c r="G183" s="1"/>
      <c r="H183" s="1"/>
      <c r="I183" s="1"/>
    </row>
    <row r="184" spans="1:9" x14ac:dyDescent="0.35">
      <c r="A184" s="1"/>
      <c r="B184" s="1"/>
      <c r="C184" s="1"/>
      <c r="D184" s="1"/>
      <c r="E184" s="1"/>
      <c r="F184" s="1"/>
      <c r="G184" s="1"/>
      <c r="H184" s="1"/>
      <c r="I184" s="1"/>
    </row>
    <row r="185" spans="1:9" x14ac:dyDescent="0.35">
      <c r="A185" s="1"/>
      <c r="B185" s="1"/>
      <c r="C185" s="1"/>
      <c r="D185" s="1"/>
      <c r="E185" s="1"/>
      <c r="F185" s="1"/>
      <c r="G185" s="1"/>
      <c r="H185" s="1"/>
      <c r="I185" s="1"/>
    </row>
    <row r="186" spans="1:9" x14ac:dyDescent="0.35">
      <c r="A186" s="1"/>
      <c r="B186" s="1"/>
      <c r="C186" s="1"/>
      <c r="D186" s="1"/>
      <c r="E186" s="1"/>
      <c r="F186" s="1"/>
      <c r="G186" s="1"/>
      <c r="H186" s="1"/>
      <c r="I186" s="1"/>
    </row>
    <row r="187" spans="1:9" x14ac:dyDescent="0.35">
      <c r="A187" s="1"/>
      <c r="B187" s="1"/>
      <c r="C187" s="1"/>
      <c r="D187" s="1"/>
      <c r="E187" s="1"/>
      <c r="F187" s="1"/>
      <c r="G187" s="1"/>
      <c r="H187" s="1"/>
      <c r="I187" s="1"/>
    </row>
    <row r="188" spans="1:9" x14ac:dyDescent="0.35">
      <c r="A188" s="1"/>
      <c r="B188" s="1"/>
      <c r="C188" s="1"/>
      <c r="D188" s="1"/>
      <c r="E188" s="1"/>
      <c r="F188" s="1"/>
      <c r="G188" s="1"/>
      <c r="H188" s="1"/>
      <c r="I188" s="1"/>
    </row>
    <row r="189" spans="1:9" x14ac:dyDescent="0.35">
      <c r="A189" s="1"/>
      <c r="B189" s="1"/>
      <c r="C189" s="1"/>
      <c r="D189" s="1"/>
      <c r="E189" s="1"/>
      <c r="F189" s="1"/>
      <c r="G189" s="1"/>
      <c r="H189" s="1"/>
      <c r="I189" s="1"/>
    </row>
    <row r="190" spans="1:9" x14ac:dyDescent="0.35">
      <c r="A190" s="1"/>
      <c r="B190" s="1"/>
      <c r="C190" s="1"/>
      <c r="D190" s="1"/>
      <c r="E190" s="1"/>
      <c r="F190" s="1"/>
      <c r="G190" s="1"/>
      <c r="H190" s="1"/>
      <c r="I190" s="1"/>
    </row>
    <row r="191" spans="1:9" x14ac:dyDescent="0.35">
      <c r="A191" s="1"/>
      <c r="B191" s="1"/>
      <c r="C191" s="1"/>
      <c r="D191" s="1"/>
      <c r="E191" s="1"/>
      <c r="F191" s="1"/>
      <c r="G191" s="1"/>
      <c r="H191" s="1"/>
      <c r="I191" s="1"/>
    </row>
    <row r="192" spans="1:9" x14ac:dyDescent="0.35">
      <c r="A192" s="1"/>
      <c r="B192" s="1"/>
      <c r="C192" s="1"/>
      <c r="D192" s="1"/>
      <c r="E192" s="1"/>
      <c r="F192" s="1"/>
      <c r="G192" s="1"/>
      <c r="H192" s="1"/>
      <c r="I192" s="1"/>
    </row>
    <row r="193" spans="1:9" x14ac:dyDescent="0.35">
      <c r="A193" s="1"/>
      <c r="B193" s="1"/>
      <c r="C193" s="1"/>
      <c r="D193" s="1"/>
      <c r="E193" s="1"/>
      <c r="F193" s="1"/>
      <c r="G193" s="1"/>
      <c r="H193" s="1"/>
      <c r="I193" s="1"/>
    </row>
    <row r="194" spans="1:9" x14ac:dyDescent="0.35">
      <c r="A194" s="1"/>
      <c r="B194" s="1"/>
      <c r="C194" s="1"/>
      <c r="D194" s="1"/>
      <c r="E194" s="1"/>
      <c r="F194" s="1"/>
      <c r="G194" s="1"/>
      <c r="H194" s="1"/>
      <c r="I194" s="1"/>
    </row>
    <row r="195" spans="1:9" x14ac:dyDescent="0.35">
      <c r="A195" s="1"/>
      <c r="B195" s="1"/>
      <c r="C195" s="1"/>
      <c r="D195" s="1"/>
      <c r="E195" s="1"/>
      <c r="F195" s="1"/>
      <c r="G195" s="1"/>
      <c r="H195" s="1"/>
      <c r="I195" s="1"/>
    </row>
    <row r="196" spans="1:9" x14ac:dyDescent="0.35">
      <c r="A196" s="1"/>
      <c r="B196" s="1"/>
      <c r="C196" s="1"/>
      <c r="D196" s="1"/>
      <c r="E196" s="1"/>
      <c r="F196" s="1"/>
      <c r="G196" s="1"/>
      <c r="H196" s="1"/>
      <c r="I196" s="1"/>
    </row>
    <row r="197" spans="1:9" x14ac:dyDescent="0.35">
      <c r="A197" s="1"/>
      <c r="B197" s="1"/>
      <c r="C197" s="1"/>
      <c r="D197" s="1"/>
      <c r="E197" s="1"/>
      <c r="F197" s="1"/>
      <c r="G197" s="1"/>
      <c r="H197" s="1"/>
      <c r="I197" s="1"/>
    </row>
    <row r="198" spans="1:9" x14ac:dyDescent="0.35">
      <c r="A198" s="1"/>
      <c r="B198" s="1"/>
      <c r="C198" s="1"/>
      <c r="D198" s="1"/>
      <c r="E198" s="1"/>
      <c r="F198" s="1"/>
      <c r="G198" s="1"/>
      <c r="H198" s="1"/>
      <c r="I198" s="1"/>
    </row>
    <row r="199" spans="1:9" x14ac:dyDescent="0.35">
      <c r="A199" s="1"/>
      <c r="B199" s="1"/>
      <c r="C199" s="1"/>
      <c r="D199" s="1"/>
      <c r="E199" s="1"/>
      <c r="F199" s="1"/>
      <c r="G199" s="1"/>
      <c r="H199" s="1"/>
      <c r="I199" s="1"/>
    </row>
    <row r="200" spans="1:9" x14ac:dyDescent="0.35">
      <c r="A200" s="1"/>
      <c r="B200" s="1"/>
      <c r="C200" s="1"/>
      <c r="D200" s="1"/>
      <c r="E200" s="1"/>
      <c r="F200" s="1"/>
      <c r="G200" s="1"/>
      <c r="H200" s="1"/>
      <c r="I200" s="1"/>
    </row>
    <row r="201" spans="1:9" x14ac:dyDescent="0.35">
      <c r="A201" s="1"/>
      <c r="B201" s="1"/>
      <c r="C201" s="1"/>
      <c r="D201" s="1"/>
      <c r="E201" s="1"/>
      <c r="F201" s="1"/>
      <c r="G201" s="1"/>
      <c r="H201" s="1"/>
      <c r="I201" s="1"/>
    </row>
    <row r="202" spans="1:9" x14ac:dyDescent="0.35">
      <c r="A202" s="1"/>
      <c r="B202" s="1"/>
      <c r="C202" s="1"/>
      <c r="D202" s="1"/>
      <c r="E202" s="1"/>
      <c r="F202" s="1"/>
      <c r="G202" s="1"/>
      <c r="H202" s="1"/>
      <c r="I202" s="1"/>
    </row>
    <row r="203" spans="1:9" x14ac:dyDescent="0.35">
      <c r="A203" s="1"/>
      <c r="B203" s="1"/>
      <c r="C203" s="1"/>
      <c r="D203" s="1"/>
      <c r="E203" s="1"/>
      <c r="F203" s="1"/>
      <c r="G203" s="1"/>
      <c r="H203" s="1"/>
      <c r="I203" s="1"/>
    </row>
    <row r="204" spans="1:9" x14ac:dyDescent="0.35">
      <c r="A204" s="1"/>
      <c r="B204" s="1"/>
      <c r="C204" s="1"/>
      <c r="D204" s="1"/>
      <c r="E204" s="1"/>
      <c r="F204" s="1"/>
      <c r="G204" s="1"/>
      <c r="H204" s="1"/>
      <c r="I204" s="1"/>
    </row>
    <row r="205" spans="1:9" x14ac:dyDescent="0.35">
      <c r="A205" s="1"/>
      <c r="B205" s="1"/>
      <c r="C205" s="1"/>
      <c r="D205" s="1"/>
      <c r="E205" s="1"/>
      <c r="F205" s="1"/>
      <c r="G205" s="1"/>
      <c r="H205" s="1"/>
      <c r="I205" s="1"/>
    </row>
    <row r="206" spans="1:9" x14ac:dyDescent="0.35">
      <c r="A206" s="1"/>
      <c r="B206" s="1"/>
      <c r="C206" s="1"/>
      <c r="D206" s="1"/>
      <c r="E206" s="1"/>
      <c r="F206" s="1"/>
      <c r="G206" s="1"/>
      <c r="H206" s="1"/>
      <c r="I206" s="1"/>
    </row>
    <row r="207" spans="1:9" x14ac:dyDescent="0.35">
      <c r="A207" s="1"/>
      <c r="B207" s="1"/>
      <c r="C207" s="1"/>
      <c r="D207" s="1"/>
      <c r="E207" s="1"/>
      <c r="F207" s="1"/>
      <c r="G207" s="1"/>
      <c r="H207" s="1"/>
      <c r="I207" s="1"/>
    </row>
    <row r="208" spans="1:9" x14ac:dyDescent="0.35">
      <c r="A208" s="1"/>
      <c r="B208" s="1"/>
      <c r="C208" s="1"/>
      <c r="D208" s="1"/>
      <c r="E208" s="1"/>
      <c r="F208" s="1"/>
      <c r="G208" s="1"/>
      <c r="H208" s="1"/>
      <c r="I208" s="1"/>
    </row>
    <row r="209" spans="1:9" x14ac:dyDescent="0.35">
      <c r="A209" s="1"/>
      <c r="B209" s="1"/>
      <c r="C209" s="1"/>
      <c r="D209" s="1"/>
      <c r="E209" s="1"/>
      <c r="F209" s="1"/>
      <c r="G209" s="1"/>
      <c r="H209" s="1"/>
      <c r="I209" s="1"/>
    </row>
    <row r="210" spans="1:9" x14ac:dyDescent="0.35">
      <c r="A210" s="1"/>
      <c r="B210" s="1"/>
      <c r="C210" s="1"/>
      <c r="D210" s="1"/>
      <c r="E210" s="1"/>
      <c r="F210" s="1"/>
      <c r="G210" s="1"/>
      <c r="H210" s="1"/>
      <c r="I210" s="1"/>
    </row>
    <row r="211" spans="1:9" x14ac:dyDescent="0.35">
      <c r="A211" s="1"/>
      <c r="B211" s="1"/>
      <c r="C211" s="1"/>
      <c r="D211" s="1"/>
      <c r="E211" s="1"/>
      <c r="F211" s="1"/>
      <c r="G211" s="1"/>
      <c r="H211" s="1"/>
      <c r="I211" s="1"/>
    </row>
    <row r="212" spans="1:9" x14ac:dyDescent="0.35">
      <c r="A212" s="1"/>
      <c r="B212" s="1"/>
      <c r="C212" s="1"/>
      <c r="D212" s="1"/>
      <c r="E212" s="1"/>
      <c r="F212" s="1"/>
      <c r="G212" s="1"/>
      <c r="H212" s="1"/>
      <c r="I212" s="1"/>
    </row>
    <row r="213" spans="1:9" x14ac:dyDescent="0.35">
      <c r="A213" s="1"/>
      <c r="B213" s="1"/>
      <c r="C213" s="1"/>
      <c r="D213" s="1"/>
      <c r="E213" s="1"/>
      <c r="F213" s="1"/>
      <c r="G213" s="1"/>
      <c r="H213" s="1"/>
      <c r="I213" s="1"/>
    </row>
    <row r="214" spans="1:9" x14ac:dyDescent="0.35">
      <c r="A214" s="1"/>
      <c r="B214" s="1"/>
      <c r="C214" s="1"/>
      <c r="D214" s="1"/>
      <c r="E214" s="1"/>
      <c r="F214" s="1"/>
      <c r="G214" s="1"/>
      <c r="H214" s="1"/>
      <c r="I214" s="1"/>
    </row>
    <row r="215" spans="1:9" x14ac:dyDescent="0.35">
      <c r="A215" s="1"/>
      <c r="B215" s="1"/>
      <c r="C215" s="1"/>
      <c r="D215" s="1"/>
      <c r="E215" s="1"/>
      <c r="F215" s="1"/>
      <c r="G215" s="1"/>
      <c r="H215" s="1"/>
      <c r="I215" s="1"/>
    </row>
    <row r="216" spans="1:9" x14ac:dyDescent="0.35">
      <c r="A216" s="1"/>
      <c r="B216" s="1"/>
      <c r="C216" s="1"/>
      <c r="D216" s="1"/>
      <c r="E216" s="1"/>
      <c r="F216" s="1"/>
      <c r="G216" s="1"/>
      <c r="H216" s="1"/>
      <c r="I216" s="1"/>
    </row>
    <row r="217" spans="1:9" x14ac:dyDescent="0.35">
      <c r="A217" s="1"/>
      <c r="B217" s="1"/>
      <c r="C217" s="1"/>
      <c r="D217" s="1"/>
      <c r="E217" s="1"/>
      <c r="F217" s="1"/>
      <c r="G217" s="1"/>
      <c r="H217" s="1"/>
      <c r="I217" s="1"/>
    </row>
    <row r="218" spans="1:9" x14ac:dyDescent="0.35">
      <c r="A218" s="1"/>
      <c r="B218" s="1"/>
      <c r="C218" s="1"/>
      <c r="D218" s="1"/>
      <c r="E218" s="1"/>
      <c r="F218" s="1"/>
      <c r="G218" s="1"/>
      <c r="H218" s="1"/>
      <c r="I218" s="1"/>
    </row>
    <row r="219" spans="1:9" x14ac:dyDescent="0.35">
      <c r="A219" s="1"/>
      <c r="B219" s="1"/>
      <c r="C219" s="1"/>
      <c r="D219" s="1"/>
      <c r="E219" s="1"/>
      <c r="F219" s="1"/>
      <c r="G219" s="1"/>
      <c r="H219" s="1"/>
      <c r="I219" s="1"/>
    </row>
    <row r="220" spans="1:9" x14ac:dyDescent="0.35">
      <c r="A220" s="1"/>
      <c r="B220" s="1"/>
      <c r="C220" s="1"/>
      <c r="D220" s="1"/>
      <c r="E220" s="1"/>
      <c r="F220" s="1"/>
      <c r="G220" s="1"/>
      <c r="H220" s="1"/>
      <c r="I220" s="1"/>
    </row>
    <row r="221" spans="1:9" x14ac:dyDescent="0.35">
      <c r="A221" s="1"/>
      <c r="B221" s="1"/>
      <c r="C221" s="1"/>
      <c r="D221" s="1"/>
      <c r="E221" s="1"/>
      <c r="F221" s="1"/>
      <c r="G221" s="1"/>
      <c r="H221" s="1"/>
      <c r="I221" s="1"/>
    </row>
    <row r="222" spans="1:9" x14ac:dyDescent="0.35">
      <c r="A222" s="1"/>
      <c r="B222" s="1"/>
      <c r="C222" s="1"/>
      <c r="D222" s="1"/>
      <c r="E222" s="1"/>
      <c r="F222" s="1"/>
      <c r="G222" s="1"/>
      <c r="H222" s="1"/>
      <c r="I222" s="1"/>
    </row>
    <row r="223" spans="1:9" x14ac:dyDescent="0.35">
      <c r="A223" s="1"/>
      <c r="B223" s="1"/>
      <c r="C223" s="1"/>
      <c r="D223" s="1"/>
      <c r="E223" s="1"/>
      <c r="F223" s="1"/>
      <c r="G223" s="1"/>
      <c r="H223" s="1"/>
      <c r="I223" s="1"/>
    </row>
    <row r="224" spans="1:9" x14ac:dyDescent="0.35">
      <c r="A224" s="1"/>
      <c r="B224" s="1"/>
      <c r="C224" s="1"/>
      <c r="D224" s="1"/>
      <c r="E224" s="1"/>
      <c r="F224" s="1"/>
      <c r="G224" s="1"/>
      <c r="H224" s="1"/>
      <c r="I224" s="1"/>
    </row>
    <row r="225" spans="1:9" x14ac:dyDescent="0.35">
      <c r="A225" s="1"/>
      <c r="B225" s="1"/>
      <c r="C225" s="1"/>
      <c r="D225" s="1"/>
      <c r="E225" s="1"/>
      <c r="F225" s="1"/>
      <c r="G225" s="1"/>
      <c r="H225" s="1"/>
      <c r="I225" s="1"/>
    </row>
    <row r="226" spans="1:9" x14ac:dyDescent="0.35">
      <c r="A226" s="1"/>
      <c r="B226" s="1"/>
      <c r="C226" s="1"/>
      <c r="D226" s="1"/>
      <c r="E226" s="1"/>
      <c r="F226" s="1"/>
      <c r="G226" s="1"/>
      <c r="H226" s="1"/>
      <c r="I226" s="1"/>
    </row>
    <row r="227" spans="1:9" x14ac:dyDescent="0.35">
      <c r="A227" s="1"/>
      <c r="B227" s="1"/>
      <c r="C227" s="1"/>
      <c r="D227" s="1"/>
      <c r="E227" s="1"/>
      <c r="F227" s="1"/>
      <c r="G227" s="1"/>
      <c r="H227" s="1"/>
      <c r="I227" s="1"/>
    </row>
    <row r="228" spans="1:9" x14ac:dyDescent="0.35">
      <c r="A228" s="1"/>
      <c r="B228" s="1"/>
      <c r="C228" s="1"/>
      <c r="D228" s="1"/>
      <c r="E228" s="1"/>
      <c r="F228" s="1"/>
      <c r="G228" s="1"/>
      <c r="H228" s="1"/>
      <c r="I228" s="1"/>
    </row>
    <row r="229" spans="1:9" x14ac:dyDescent="0.35">
      <c r="A229" s="1"/>
      <c r="B229" s="1"/>
      <c r="C229" s="1"/>
      <c r="D229" s="1"/>
      <c r="E229" s="1"/>
      <c r="F229" s="1"/>
      <c r="G229" s="1"/>
      <c r="H229" s="1"/>
      <c r="I229" s="1"/>
    </row>
    <row r="230" spans="1:9" x14ac:dyDescent="0.35">
      <c r="A230" s="1"/>
      <c r="B230" s="1"/>
      <c r="C230" s="1"/>
      <c r="D230" s="1"/>
      <c r="E230" s="1"/>
      <c r="F230" s="1"/>
      <c r="G230" s="1"/>
      <c r="H230" s="1"/>
      <c r="I230" s="1"/>
    </row>
    <row r="231" spans="1:9" x14ac:dyDescent="0.35">
      <c r="A231" s="1"/>
      <c r="B231" s="1"/>
      <c r="C231" s="1"/>
      <c r="D231" s="1"/>
      <c r="E231" s="1"/>
      <c r="F231" s="1"/>
      <c r="G231" s="1"/>
      <c r="H231" s="1"/>
      <c r="I231" s="1"/>
    </row>
    <row r="232" spans="1:9" x14ac:dyDescent="0.35">
      <c r="A232" s="1"/>
      <c r="B232" s="1"/>
      <c r="C232" s="1"/>
      <c r="D232" s="1"/>
      <c r="E232" s="1"/>
      <c r="F232" s="1"/>
      <c r="G232" s="1"/>
      <c r="H232" s="1"/>
      <c r="I232" s="1"/>
    </row>
    <row r="233" spans="1:9" x14ac:dyDescent="0.35">
      <c r="A233" s="1"/>
      <c r="B233" s="1"/>
      <c r="C233" s="1"/>
      <c r="D233" s="1"/>
      <c r="E233" s="1"/>
      <c r="F233" s="1"/>
      <c r="G233" s="1"/>
      <c r="H233" s="1"/>
      <c r="I233" s="1"/>
    </row>
    <row r="234" spans="1:9" x14ac:dyDescent="0.35">
      <c r="A234" s="1"/>
      <c r="B234" s="1"/>
      <c r="C234" s="1"/>
      <c r="D234" s="1"/>
      <c r="E234" s="1"/>
      <c r="F234" s="1"/>
      <c r="G234" s="1"/>
      <c r="H234" s="1"/>
      <c r="I234" s="1"/>
    </row>
    <row r="235" spans="1:9" x14ac:dyDescent="0.35">
      <c r="A235" s="1"/>
      <c r="B235" s="1"/>
      <c r="C235" s="1"/>
      <c r="D235" s="1"/>
      <c r="E235" s="1"/>
      <c r="F235" s="1"/>
      <c r="G235" s="1"/>
      <c r="H235" s="1"/>
      <c r="I235" s="1"/>
    </row>
    <row r="236" spans="1:9" x14ac:dyDescent="0.35">
      <c r="A236" s="1"/>
      <c r="B236" s="1"/>
      <c r="C236" s="1"/>
      <c r="D236" s="1"/>
      <c r="E236" s="1"/>
      <c r="F236" s="1"/>
      <c r="G236" s="1"/>
      <c r="H236" s="1"/>
      <c r="I236" s="1"/>
    </row>
    <row r="237" spans="1:9" x14ac:dyDescent="0.35">
      <c r="A237" s="1"/>
      <c r="B237" s="1"/>
      <c r="C237" s="1"/>
      <c r="D237" s="1"/>
      <c r="E237" s="1"/>
      <c r="F237" s="1"/>
      <c r="G237" s="1"/>
      <c r="H237" s="1"/>
      <c r="I237" s="1"/>
    </row>
    <row r="238" spans="1:9" x14ac:dyDescent="0.35">
      <c r="A238" s="1"/>
      <c r="B238" s="1"/>
      <c r="C238" s="1"/>
      <c r="D238" s="1"/>
      <c r="E238" s="1"/>
      <c r="F238" s="1"/>
      <c r="G238" s="1"/>
      <c r="H238" s="1"/>
      <c r="I238" s="1"/>
    </row>
    <row r="239" spans="1:9" x14ac:dyDescent="0.35">
      <c r="A239" s="1"/>
      <c r="B239" s="1"/>
      <c r="C239" s="1"/>
      <c r="D239" s="1"/>
      <c r="E239" s="1"/>
      <c r="F239" s="1"/>
      <c r="G239" s="1"/>
      <c r="H239" s="1"/>
      <c r="I239" s="1"/>
    </row>
    <row r="240" spans="1:9" x14ac:dyDescent="0.35">
      <c r="A240" s="1"/>
      <c r="B240" s="1"/>
      <c r="C240" s="1"/>
      <c r="D240" s="1"/>
      <c r="E240" s="1"/>
      <c r="F240" s="1"/>
      <c r="G240" s="1"/>
      <c r="H240" s="1"/>
      <c r="I240" s="1"/>
    </row>
    <row r="241" spans="1:9" x14ac:dyDescent="0.35">
      <c r="A241" s="1"/>
      <c r="B241" s="1"/>
      <c r="C241" s="1"/>
      <c r="D241" s="1"/>
      <c r="E241" s="1"/>
      <c r="F241" s="1"/>
      <c r="G241" s="1"/>
      <c r="H241" s="1"/>
      <c r="I241" s="1"/>
    </row>
    <row r="242" spans="1:9" x14ac:dyDescent="0.35">
      <c r="A242" s="1"/>
      <c r="B242" s="1"/>
      <c r="C242" s="1"/>
      <c r="D242" s="1"/>
      <c r="E242" s="1"/>
      <c r="F242" s="1"/>
      <c r="G242" s="1"/>
      <c r="H242" s="1"/>
      <c r="I242" s="1"/>
    </row>
    <row r="243" spans="1:9" x14ac:dyDescent="0.35">
      <c r="A243" s="1"/>
      <c r="B243" s="1"/>
      <c r="C243" s="1"/>
      <c r="D243" s="1"/>
      <c r="E243" s="1"/>
      <c r="F243" s="1"/>
      <c r="G243" s="1"/>
      <c r="H243" s="1"/>
      <c r="I243" s="1"/>
    </row>
    <row r="244" spans="1:9" x14ac:dyDescent="0.35">
      <c r="A244" s="1"/>
      <c r="B244" s="1"/>
      <c r="C244" s="1"/>
      <c r="D244" s="1"/>
      <c r="E244" s="1"/>
      <c r="F244" s="1"/>
      <c r="G244" s="1"/>
      <c r="H244" s="1"/>
      <c r="I244" s="1"/>
    </row>
    <row r="245" spans="1:9" x14ac:dyDescent="0.35">
      <c r="A245" s="1"/>
      <c r="B245" s="1"/>
      <c r="C245" s="1"/>
      <c r="D245" s="1"/>
      <c r="E245" s="1"/>
      <c r="F245" s="1"/>
      <c r="G245" s="1"/>
      <c r="H245" s="1"/>
      <c r="I245" s="1"/>
    </row>
    <row r="246" spans="1:9" x14ac:dyDescent="0.35">
      <c r="A246" s="1"/>
      <c r="B246" s="1"/>
      <c r="C246" s="1"/>
      <c r="D246" s="1"/>
      <c r="E246" s="1"/>
      <c r="F246" s="1"/>
      <c r="G246" s="1"/>
      <c r="H246" s="1"/>
      <c r="I246" s="1"/>
    </row>
    <row r="247" spans="1:9" x14ac:dyDescent="0.35">
      <c r="A247" s="1"/>
      <c r="B247" s="1"/>
      <c r="C247" s="1"/>
      <c r="D247" s="1"/>
      <c r="E247" s="1"/>
      <c r="F247" s="1"/>
      <c r="G247" s="1"/>
      <c r="H247" s="1"/>
      <c r="I247" s="1"/>
    </row>
    <row r="248" spans="1:9" x14ac:dyDescent="0.35">
      <c r="A248" s="1"/>
      <c r="B248" s="1"/>
      <c r="C248" s="1"/>
      <c r="D248" s="1"/>
      <c r="E248" s="1"/>
      <c r="F248" s="1"/>
      <c r="G248" s="1"/>
      <c r="H248" s="1"/>
      <c r="I248" s="1"/>
    </row>
    <row r="249" spans="1:9" x14ac:dyDescent="0.35">
      <c r="A249" s="1"/>
      <c r="B249" s="1"/>
      <c r="C249" s="1"/>
      <c r="D249" s="1"/>
      <c r="E249" s="1"/>
      <c r="F249" s="1"/>
      <c r="G249" s="1"/>
      <c r="H249" s="1"/>
      <c r="I249" s="1"/>
    </row>
    <row r="250" spans="1:9" x14ac:dyDescent="0.35">
      <c r="A250" s="1"/>
      <c r="B250" s="1"/>
      <c r="C250" s="1"/>
      <c r="D250" s="1"/>
      <c r="E250" s="1"/>
      <c r="F250" s="1"/>
      <c r="G250" s="1"/>
      <c r="H250" s="1"/>
      <c r="I250" s="1"/>
    </row>
    <row r="251" spans="1:9" x14ac:dyDescent="0.35">
      <c r="A251" s="1"/>
      <c r="B251" s="1"/>
      <c r="C251" s="1"/>
      <c r="D251" s="1"/>
      <c r="E251" s="1"/>
      <c r="F251" s="1"/>
      <c r="G251" s="1"/>
      <c r="H251" s="1"/>
      <c r="I251" s="1"/>
    </row>
    <row r="252" spans="1:9" x14ac:dyDescent="0.35">
      <c r="A252" s="1"/>
      <c r="B252" s="1"/>
      <c r="C252" s="1"/>
      <c r="D252" s="1"/>
      <c r="E252" s="1"/>
      <c r="F252" s="1"/>
      <c r="G252" s="1"/>
      <c r="H252" s="1"/>
      <c r="I252" s="1"/>
    </row>
    <row r="253" spans="1:9" x14ac:dyDescent="0.35">
      <c r="A253" s="1"/>
      <c r="B253" s="1"/>
      <c r="C253" s="1"/>
      <c r="D253" s="1"/>
      <c r="E253" s="1"/>
      <c r="F253" s="1"/>
      <c r="G253" s="1"/>
      <c r="H253" s="1"/>
      <c r="I253" s="1"/>
    </row>
    <row r="254" spans="1:9" x14ac:dyDescent="0.35">
      <c r="A254" s="1"/>
      <c r="B254" s="1"/>
      <c r="C254" s="1"/>
      <c r="D254" s="1"/>
      <c r="E254" s="1"/>
      <c r="F254" s="1"/>
      <c r="G254" s="1"/>
      <c r="H254" s="1"/>
      <c r="I254" s="1"/>
    </row>
    <row r="255" spans="1:9" x14ac:dyDescent="0.35">
      <c r="A255" s="1"/>
      <c r="B255" s="1"/>
      <c r="C255" s="1"/>
      <c r="D255" s="1"/>
      <c r="E255" s="1"/>
      <c r="F255" s="1"/>
      <c r="G255" s="1"/>
      <c r="H255" s="1"/>
      <c r="I255" s="1"/>
    </row>
    <row r="256" spans="1:9" x14ac:dyDescent="0.35">
      <c r="A256" s="1"/>
      <c r="B256" s="1"/>
      <c r="C256" s="1"/>
      <c r="D256" s="1"/>
      <c r="E256" s="1"/>
      <c r="F256" s="1"/>
      <c r="G256" s="1"/>
      <c r="H256" s="1"/>
      <c r="I256" s="1"/>
    </row>
    <row r="257" spans="1:9" x14ac:dyDescent="0.35">
      <c r="A257" s="1"/>
      <c r="B257" s="1"/>
      <c r="C257" s="1"/>
      <c r="D257" s="1"/>
      <c r="E257" s="1"/>
      <c r="F257" s="1"/>
      <c r="G257" s="1"/>
      <c r="H257" s="1"/>
      <c r="I257" s="1"/>
    </row>
    <row r="258" spans="1:9" x14ac:dyDescent="0.35">
      <c r="A258" s="1"/>
      <c r="B258" s="1"/>
      <c r="C258" s="1"/>
      <c r="D258" s="1"/>
      <c r="E258" s="1"/>
      <c r="F258" s="1"/>
      <c r="G258" s="1"/>
      <c r="H258" s="1"/>
      <c r="I258" s="1"/>
    </row>
    <row r="259" spans="1:9" x14ac:dyDescent="0.35">
      <c r="A259" s="1"/>
      <c r="B259" s="1"/>
      <c r="C259" s="1"/>
      <c r="D259" s="1"/>
      <c r="E259" s="1"/>
      <c r="F259" s="1"/>
      <c r="G259" s="1"/>
      <c r="H259" s="1"/>
      <c r="I259" s="1"/>
    </row>
    <row r="260" spans="1:9" x14ac:dyDescent="0.35">
      <c r="A260" s="1"/>
      <c r="B260" s="1"/>
      <c r="C260" s="1"/>
      <c r="D260" s="1"/>
      <c r="E260" s="1"/>
      <c r="F260" s="1"/>
      <c r="G260" s="1"/>
      <c r="H260" s="1"/>
      <c r="I260" s="1"/>
    </row>
    <row r="261" spans="1:9" x14ac:dyDescent="0.35">
      <c r="A261" s="1"/>
      <c r="B261" s="1"/>
      <c r="C261" s="1"/>
      <c r="D261" s="1"/>
      <c r="E261" s="1"/>
      <c r="F261" s="1"/>
      <c r="G261" s="1"/>
      <c r="H261" s="1"/>
      <c r="I261" s="1"/>
    </row>
    <row r="262" spans="1:9" x14ac:dyDescent="0.35">
      <c r="A262" s="1"/>
      <c r="B262" s="1"/>
      <c r="C262" s="1"/>
      <c r="D262" s="1"/>
      <c r="E262" s="1"/>
      <c r="F262" s="1"/>
      <c r="G262" s="1"/>
      <c r="H262" s="1"/>
      <c r="I262" s="1"/>
    </row>
    <row r="263" spans="1:9" x14ac:dyDescent="0.35">
      <c r="A263" s="1"/>
      <c r="B263" s="1"/>
      <c r="C263" s="1"/>
      <c r="D263" s="1"/>
      <c r="E263" s="1"/>
      <c r="F263" s="1"/>
      <c r="G263" s="1"/>
      <c r="H263" s="1"/>
      <c r="I263" s="1"/>
    </row>
    <row r="264" spans="1:9" x14ac:dyDescent="0.35">
      <c r="A264" s="1"/>
      <c r="B264" s="1"/>
      <c r="C264" s="1"/>
      <c r="D264" s="1"/>
      <c r="E264" s="1"/>
      <c r="F264" s="1"/>
      <c r="G264" s="1"/>
      <c r="H264" s="1"/>
      <c r="I264" s="1"/>
    </row>
    <row r="265" spans="1:9" x14ac:dyDescent="0.35">
      <c r="A265" s="1"/>
      <c r="B265" s="1"/>
      <c r="C265" s="1"/>
      <c r="D265" s="1"/>
      <c r="E265" s="1"/>
      <c r="F265" s="1"/>
      <c r="G265" s="1"/>
      <c r="H265" s="1"/>
      <c r="I265" s="1"/>
    </row>
    <row r="266" spans="1:9" x14ac:dyDescent="0.35">
      <c r="A266" s="1"/>
      <c r="B266" s="1"/>
      <c r="C266" s="1"/>
      <c r="D266" s="1"/>
      <c r="E266" s="1"/>
      <c r="F266" s="1"/>
      <c r="G266" s="1"/>
      <c r="H266" s="1"/>
      <c r="I266" s="1"/>
    </row>
    <row r="267" spans="1:9" x14ac:dyDescent="0.35">
      <c r="A267" s="1"/>
      <c r="B267" s="1"/>
      <c r="C267" s="1"/>
      <c r="D267" s="1"/>
      <c r="E267" s="1"/>
      <c r="F267" s="1"/>
      <c r="G267" s="1"/>
      <c r="H267" s="1"/>
      <c r="I267" s="1"/>
    </row>
    <row r="268" spans="1:9" x14ac:dyDescent="0.35">
      <c r="A268" s="1"/>
      <c r="B268" s="1"/>
      <c r="C268" s="1"/>
      <c r="D268" s="1"/>
      <c r="E268" s="1"/>
      <c r="F268" s="1"/>
      <c r="G268" s="1"/>
      <c r="H268" s="1"/>
      <c r="I268" s="1"/>
    </row>
    <row r="269" spans="1:9" x14ac:dyDescent="0.35">
      <c r="A269" s="1"/>
      <c r="B269" s="1"/>
      <c r="C269" s="1"/>
      <c r="D269" s="1"/>
      <c r="E269" s="1"/>
      <c r="F269" s="1"/>
      <c r="G269" s="1"/>
      <c r="H269" s="1"/>
      <c r="I269" s="1"/>
    </row>
    <row r="270" spans="1:9" x14ac:dyDescent="0.35">
      <c r="A270" s="1"/>
      <c r="B270" s="1"/>
      <c r="C270" s="1"/>
      <c r="D270" s="1"/>
      <c r="E270" s="1"/>
      <c r="F270" s="1"/>
      <c r="G270" s="1"/>
      <c r="H270" s="1"/>
      <c r="I270" s="1"/>
    </row>
    <row r="271" spans="1:9" x14ac:dyDescent="0.35">
      <c r="A271" s="1"/>
      <c r="B271" s="1"/>
      <c r="C271" s="1"/>
      <c r="D271" s="1"/>
      <c r="E271" s="1"/>
      <c r="F271" s="1"/>
      <c r="G271" s="1"/>
      <c r="H271" s="1"/>
      <c r="I271" s="1"/>
    </row>
    <row r="272" spans="1:9" x14ac:dyDescent="0.35">
      <c r="A272" s="1"/>
      <c r="B272" s="1"/>
      <c r="C272" s="1"/>
      <c r="D272" s="1"/>
      <c r="E272" s="1"/>
      <c r="F272" s="1"/>
      <c r="G272" s="1"/>
      <c r="H272" s="1"/>
      <c r="I272" s="1"/>
    </row>
    <row r="273" spans="1:9" x14ac:dyDescent="0.35">
      <c r="A273" s="1"/>
      <c r="B273" s="1"/>
      <c r="C273" s="1"/>
      <c r="D273" s="1"/>
      <c r="E273" s="1"/>
      <c r="F273" s="1"/>
      <c r="G273" s="1"/>
      <c r="H273" s="1"/>
      <c r="I273" s="1"/>
    </row>
    <row r="274" spans="1:9" x14ac:dyDescent="0.35">
      <c r="A274" s="1"/>
      <c r="B274" s="1"/>
      <c r="C274" s="1"/>
      <c r="D274" s="1"/>
      <c r="E274" s="1"/>
      <c r="F274" s="1"/>
      <c r="G274" s="1"/>
      <c r="H274" s="1"/>
      <c r="I274" s="1"/>
    </row>
    <row r="275" spans="1:9" x14ac:dyDescent="0.35">
      <c r="A275" s="1"/>
      <c r="B275" s="1"/>
      <c r="C275" s="1"/>
      <c r="D275" s="1"/>
      <c r="E275" s="1"/>
      <c r="F275" s="1"/>
      <c r="G275" s="1"/>
      <c r="H275" s="1"/>
      <c r="I275" s="1"/>
    </row>
    <row r="276" spans="1:9" x14ac:dyDescent="0.35">
      <c r="A276" s="1"/>
      <c r="B276" s="1"/>
      <c r="C276" s="1"/>
      <c r="D276" s="1"/>
      <c r="E276" s="1"/>
      <c r="F276" s="1"/>
      <c r="G276" s="1"/>
      <c r="H276" s="1"/>
      <c r="I276" s="1"/>
    </row>
    <row r="277" spans="1:9" x14ac:dyDescent="0.35">
      <c r="A277" s="1"/>
      <c r="B277" s="1"/>
      <c r="C277" s="1"/>
      <c r="D277" s="1"/>
      <c r="E277" s="1"/>
      <c r="F277" s="1"/>
      <c r="G277" s="1"/>
      <c r="H277" s="1"/>
      <c r="I277" s="1"/>
    </row>
    <row r="278" spans="1:9" x14ac:dyDescent="0.35">
      <c r="A278" s="1"/>
      <c r="B278" s="1"/>
      <c r="C278" s="1"/>
      <c r="D278" s="1"/>
      <c r="E278" s="1"/>
      <c r="F278" s="1"/>
      <c r="G278" s="1"/>
      <c r="H278" s="1"/>
      <c r="I278" s="1"/>
    </row>
    <row r="279" spans="1:9" x14ac:dyDescent="0.35">
      <c r="A279" s="1"/>
      <c r="B279" s="1"/>
      <c r="C279" s="1"/>
      <c r="D279" s="1"/>
      <c r="E279" s="1"/>
      <c r="F279" s="1"/>
      <c r="G279" s="1"/>
      <c r="H279" s="1"/>
      <c r="I279" s="1"/>
    </row>
    <row r="280" spans="1:9" x14ac:dyDescent="0.35">
      <c r="A280" s="1"/>
      <c r="B280" s="1"/>
      <c r="C280" s="1"/>
      <c r="D280" s="1"/>
      <c r="E280" s="1"/>
      <c r="F280" s="1"/>
      <c r="G280" s="1"/>
      <c r="H280" s="1"/>
      <c r="I280" s="1"/>
    </row>
    <row r="281" spans="1:9" x14ac:dyDescent="0.35">
      <c r="A281" s="1"/>
      <c r="B281" s="1"/>
      <c r="C281" s="1"/>
      <c r="D281" s="1"/>
      <c r="E281" s="1"/>
      <c r="F281" s="1"/>
      <c r="G281" s="1"/>
      <c r="H281" s="1"/>
      <c r="I281" s="1"/>
    </row>
    <row r="282" spans="1:9" x14ac:dyDescent="0.35">
      <c r="A282" s="1"/>
      <c r="B282" s="1"/>
      <c r="C282" s="1"/>
      <c r="D282" s="1"/>
      <c r="E282" s="1"/>
      <c r="F282" s="1"/>
      <c r="G282" s="1"/>
      <c r="H282" s="1"/>
      <c r="I282" s="1"/>
    </row>
    <row r="283" spans="1:9" x14ac:dyDescent="0.35">
      <c r="A283" s="1"/>
      <c r="B283" s="1"/>
      <c r="C283" s="1"/>
      <c r="D283" s="1"/>
      <c r="E283" s="1"/>
      <c r="F283" s="1"/>
      <c r="G283" s="1"/>
      <c r="H283" s="1"/>
      <c r="I283" s="1"/>
    </row>
    <row r="284" spans="1:9" x14ac:dyDescent="0.35">
      <c r="A284" s="1"/>
      <c r="B284" s="1"/>
      <c r="C284" s="1"/>
      <c r="D284" s="1"/>
      <c r="E284" s="1"/>
      <c r="F284" s="1"/>
      <c r="G284" s="1"/>
      <c r="H284" s="1"/>
      <c r="I284" s="1"/>
    </row>
    <row r="285" spans="1:9" x14ac:dyDescent="0.35">
      <c r="A285" s="1"/>
      <c r="B285" s="1"/>
      <c r="C285" s="1"/>
      <c r="D285" s="1"/>
      <c r="E285" s="1"/>
      <c r="F285" s="1"/>
      <c r="G285" s="1"/>
      <c r="H285" s="1"/>
      <c r="I285" s="1"/>
    </row>
    <row r="286" spans="1:9" x14ac:dyDescent="0.35">
      <c r="A286" s="1"/>
      <c r="B286" s="1"/>
      <c r="C286" s="1"/>
      <c r="D286" s="1"/>
      <c r="E286" s="1"/>
      <c r="F286" s="1"/>
      <c r="G286" s="1"/>
      <c r="H286" s="1"/>
      <c r="I286" s="1"/>
    </row>
    <row r="287" spans="1:9" x14ac:dyDescent="0.35">
      <c r="A287" s="1"/>
      <c r="B287" s="1"/>
      <c r="C287" s="1"/>
      <c r="D287" s="1"/>
      <c r="E287" s="1"/>
      <c r="F287" s="1"/>
      <c r="G287" s="1"/>
      <c r="H287" s="1"/>
      <c r="I287" s="1"/>
    </row>
    <row r="288" spans="1:9" x14ac:dyDescent="0.35">
      <c r="A288" s="1"/>
      <c r="B288" s="1"/>
      <c r="C288" s="1"/>
      <c r="D288" s="1"/>
      <c r="E288" s="1"/>
      <c r="F288" s="1"/>
      <c r="G288" s="1"/>
      <c r="H288" s="1"/>
      <c r="I288" s="1"/>
    </row>
    <row r="289" spans="1:9" x14ac:dyDescent="0.35">
      <c r="A289" s="1"/>
      <c r="B289" s="1"/>
      <c r="C289" s="1"/>
      <c r="D289" s="1"/>
      <c r="E289" s="1"/>
      <c r="F289" s="1"/>
      <c r="G289" s="1"/>
      <c r="H289" s="1"/>
      <c r="I289" s="1"/>
    </row>
    <row r="290" spans="1:9" x14ac:dyDescent="0.35">
      <c r="A290" s="1"/>
      <c r="B290" s="1"/>
      <c r="C290" s="1"/>
      <c r="D290" s="1"/>
      <c r="E290" s="1"/>
      <c r="F290" s="1"/>
      <c r="G290" s="1"/>
      <c r="H290" s="1"/>
      <c r="I290" s="1"/>
    </row>
    <row r="291" spans="1:9" x14ac:dyDescent="0.35">
      <c r="A291" s="1"/>
      <c r="B291" s="1"/>
      <c r="C291" s="1"/>
      <c r="D291" s="1"/>
      <c r="E291" s="1"/>
      <c r="F291" s="1"/>
      <c r="G291" s="1"/>
      <c r="H291" s="1"/>
      <c r="I291" s="1"/>
    </row>
    <row r="292" spans="1:9" x14ac:dyDescent="0.35">
      <c r="A292" s="1"/>
      <c r="B292" s="1"/>
      <c r="C292" s="1"/>
      <c r="D292" s="1"/>
      <c r="E292" s="1"/>
      <c r="F292" s="1"/>
      <c r="G292" s="1"/>
      <c r="H292" s="1"/>
      <c r="I292" s="1"/>
    </row>
    <row r="293" spans="1:9" x14ac:dyDescent="0.35">
      <c r="A293" s="1"/>
      <c r="B293" s="1"/>
      <c r="C293" s="1"/>
      <c r="D293" s="1"/>
      <c r="E293" s="1"/>
      <c r="F293" s="1"/>
      <c r="G293" s="1"/>
      <c r="H293" s="1"/>
      <c r="I293" s="1"/>
    </row>
    <row r="294" spans="1:9" x14ac:dyDescent="0.35">
      <c r="A294" s="1"/>
      <c r="B294" s="1"/>
      <c r="C294" s="1"/>
      <c r="D294" s="1"/>
      <c r="E294" s="1"/>
      <c r="F294" s="1"/>
      <c r="G294" s="1"/>
      <c r="H294" s="1"/>
      <c r="I294" s="1"/>
    </row>
    <row r="295" spans="1:9" x14ac:dyDescent="0.35">
      <c r="A295" s="1"/>
      <c r="B295" s="1"/>
      <c r="C295" s="1"/>
      <c r="D295" s="1"/>
      <c r="E295" s="1"/>
      <c r="F295" s="1"/>
      <c r="G295" s="1"/>
      <c r="H295" s="1"/>
      <c r="I295" s="1"/>
    </row>
    <row r="296" spans="1:9" x14ac:dyDescent="0.35">
      <c r="A296" s="1"/>
      <c r="B296" s="1"/>
      <c r="C296" s="1"/>
      <c r="D296" s="1"/>
      <c r="E296" s="1"/>
      <c r="F296" s="1"/>
      <c r="G296" s="1"/>
      <c r="H296" s="1"/>
      <c r="I296" s="1"/>
    </row>
    <row r="297" spans="1:9" x14ac:dyDescent="0.35">
      <c r="A297" s="1"/>
      <c r="B297" s="1"/>
      <c r="C297" s="1"/>
      <c r="D297" s="1"/>
      <c r="E297" s="1"/>
      <c r="F297" s="1"/>
      <c r="G297" s="1"/>
      <c r="H297" s="1"/>
      <c r="I297" s="1"/>
    </row>
    <row r="298" spans="1:9" x14ac:dyDescent="0.35">
      <c r="A298" s="1"/>
      <c r="B298" s="1"/>
      <c r="C298" s="1"/>
      <c r="D298" s="1"/>
      <c r="E298" s="1"/>
      <c r="F298" s="1"/>
      <c r="G298" s="1"/>
      <c r="H298" s="1"/>
      <c r="I298" s="1"/>
    </row>
    <row r="299" spans="1:9" x14ac:dyDescent="0.35">
      <c r="A299" s="1"/>
      <c r="B299" s="1"/>
      <c r="C299" s="1"/>
      <c r="D299" s="1"/>
      <c r="E299" s="1"/>
      <c r="F299" s="1"/>
      <c r="G299" s="1"/>
      <c r="H299" s="1"/>
      <c r="I299" s="1"/>
    </row>
    <row r="300" spans="1:9" x14ac:dyDescent="0.35">
      <c r="A300" s="1"/>
      <c r="B300" s="1"/>
      <c r="C300" s="1"/>
      <c r="D300" s="1"/>
      <c r="E300" s="1"/>
      <c r="F300" s="1"/>
      <c r="G300" s="1"/>
      <c r="H300" s="1"/>
      <c r="I300" s="1"/>
    </row>
    <row r="301" spans="1:9" x14ac:dyDescent="0.35">
      <c r="A301" s="1"/>
      <c r="B301" s="1"/>
      <c r="C301" s="1"/>
      <c r="D301" s="1"/>
      <c r="E301" s="1"/>
      <c r="F301" s="1"/>
      <c r="G301" s="1"/>
      <c r="H301" s="1"/>
      <c r="I301" s="1"/>
    </row>
    <row r="302" spans="1:9" x14ac:dyDescent="0.35">
      <c r="A302" s="1"/>
      <c r="B302" s="1"/>
      <c r="C302" s="1"/>
      <c r="D302" s="1"/>
      <c r="E302" s="1"/>
      <c r="F302" s="1"/>
      <c r="G302" s="1"/>
      <c r="H302" s="1"/>
      <c r="I302" s="1"/>
    </row>
    <row r="303" spans="1:9" x14ac:dyDescent="0.35">
      <c r="A303" s="1"/>
      <c r="B303" s="1"/>
      <c r="C303" s="1"/>
      <c r="D303" s="1"/>
      <c r="E303" s="1"/>
      <c r="F303" s="1"/>
      <c r="G303" s="1"/>
      <c r="H303" s="1"/>
      <c r="I303" s="1"/>
    </row>
    <row r="304" spans="1:9" x14ac:dyDescent="0.35">
      <c r="A304" s="1"/>
      <c r="B304" s="1"/>
      <c r="C304" s="1"/>
      <c r="D304" s="1"/>
      <c r="E304" s="1"/>
      <c r="F304" s="1"/>
      <c r="G304" s="1"/>
      <c r="H304" s="1"/>
      <c r="I304" s="1"/>
    </row>
    <row r="305" spans="1:9" x14ac:dyDescent="0.35">
      <c r="A305" s="1"/>
      <c r="B305" s="1"/>
      <c r="C305" s="1"/>
      <c r="D305" s="1"/>
      <c r="E305" s="1"/>
      <c r="F305" s="1"/>
      <c r="G305" s="1"/>
      <c r="H305" s="1"/>
      <c r="I305" s="1"/>
    </row>
    <row r="306" spans="1:9" x14ac:dyDescent="0.35">
      <c r="A306" s="1"/>
      <c r="B306" s="1"/>
      <c r="C306" s="1"/>
      <c r="D306" s="1"/>
      <c r="E306" s="1"/>
      <c r="F306" s="1"/>
      <c r="G306" s="1"/>
      <c r="H306" s="1"/>
      <c r="I306" s="1"/>
    </row>
    <row r="307" spans="1:9" x14ac:dyDescent="0.35">
      <c r="A307" s="1"/>
      <c r="B307" s="1"/>
      <c r="C307" s="1"/>
      <c r="D307" s="1"/>
      <c r="E307" s="1"/>
      <c r="F307" s="1"/>
      <c r="G307" s="1"/>
      <c r="H307" s="1"/>
      <c r="I307" s="1"/>
    </row>
    <row r="308" spans="1:9" x14ac:dyDescent="0.35">
      <c r="A308" s="1"/>
      <c r="B308" s="1"/>
      <c r="C308" s="1"/>
      <c r="D308" s="1"/>
      <c r="E308" s="1"/>
      <c r="F308" s="1"/>
      <c r="G308" s="1"/>
      <c r="H308" s="1"/>
      <c r="I308" s="1"/>
    </row>
    <row r="309" spans="1:9" x14ac:dyDescent="0.35">
      <c r="A309" s="1"/>
      <c r="B309" s="1"/>
      <c r="C309" s="1"/>
      <c r="D309" s="1"/>
      <c r="E309" s="1"/>
      <c r="F309" s="1"/>
      <c r="G309" s="1"/>
      <c r="H309" s="1"/>
      <c r="I309" s="1"/>
    </row>
    <row r="310" spans="1:9" x14ac:dyDescent="0.35">
      <c r="A310" s="1"/>
      <c r="B310" s="1"/>
      <c r="C310" s="1"/>
      <c r="D310" s="1"/>
      <c r="E310" s="1"/>
      <c r="F310" s="1"/>
      <c r="G310" s="1"/>
      <c r="H310" s="1"/>
      <c r="I310" s="1"/>
    </row>
    <row r="311" spans="1:9" x14ac:dyDescent="0.35">
      <c r="A311" s="1"/>
      <c r="B311" s="1"/>
      <c r="C311" s="1"/>
      <c r="D311" s="1"/>
      <c r="E311" s="1"/>
      <c r="F311" s="1"/>
      <c r="G311" s="1"/>
      <c r="H311" s="1"/>
      <c r="I311" s="1"/>
    </row>
    <row r="312" spans="1:9" x14ac:dyDescent="0.35">
      <c r="A312" s="1"/>
      <c r="B312" s="1"/>
      <c r="C312" s="1"/>
      <c r="D312" s="1"/>
      <c r="E312" s="1"/>
      <c r="F312" s="1"/>
      <c r="G312" s="1"/>
      <c r="H312" s="1"/>
      <c r="I312" s="1"/>
    </row>
    <row r="313" spans="1:9" x14ac:dyDescent="0.35">
      <c r="A313" s="1"/>
      <c r="B313" s="1"/>
      <c r="C313" s="1"/>
      <c r="D313" s="1"/>
      <c r="E313" s="1"/>
      <c r="F313" s="1"/>
      <c r="G313" s="1"/>
      <c r="H313" s="1"/>
      <c r="I313" s="1"/>
    </row>
    <row r="314" spans="1:9" x14ac:dyDescent="0.35">
      <c r="A314" s="1"/>
      <c r="B314" s="1"/>
      <c r="C314" s="1"/>
      <c r="D314" s="1"/>
      <c r="E314" s="1"/>
      <c r="F314" s="1"/>
      <c r="G314" s="1"/>
      <c r="H314" s="1"/>
      <c r="I314" s="1"/>
    </row>
    <row r="315" spans="1:9" x14ac:dyDescent="0.35">
      <c r="A315" s="1"/>
      <c r="B315" s="1"/>
      <c r="C315" s="1"/>
      <c r="D315" s="1"/>
      <c r="E315" s="1"/>
      <c r="F315" s="1"/>
      <c r="G315" s="1"/>
      <c r="H315" s="1"/>
      <c r="I315" s="1"/>
    </row>
    <row r="316" spans="1:9" x14ac:dyDescent="0.35">
      <c r="A316" s="1"/>
      <c r="B316" s="1"/>
      <c r="C316" s="1"/>
      <c r="D316" s="1"/>
      <c r="E316" s="1"/>
      <c r="F316" s="1"/>
      <c r="G316" s="1"/>
      <c r="H316" s="1"/>
      <c r="I316" s="1"/>
    </row>
    <row r="317" spans="1:9" x14ac:dyDescent="0.35">
      <c r="A317" s="1"/>
      <c r="B317" s="1"/>
      <c r="C317" s="1"/>
      <c r="D317" s="1"/>
      <c r="E317" s="1"/>
      <c r="F317" s="1"/>
      <c r="G317" s="1"/>
      <c r="H317" s="1"/>
      <c r="I317" s="1"/>
    </row>
    <row r="318" spans="1:9" x14ac:dyDescent="0.35">
      <c r="A318" s="1"/>
      <c r="B318" s="1"/>
      <c r="C318" s="1"/>
      <c r="D318" s="1"/>
      <c r="E318" s="1"/>
      <c r="F318" s="1"/>
      <c r="G318" s="1"/>
      <c r="H318" s="1"/>
      <c r="I318" s="1"/>
    </row>
    <row r="319" spans="1:9" x14ac:dyDescent="0.35">
      <c r="A319" s="1"/>
      <c r="B319" s="1"/>
      <c r="C319" s="1"/>
      <c r="D319" s="1"/>
      <c r="E319" s="1"/>
      <c r="F319" s="1"/>
      <c r="G319" s="1"/>
      <c r="H319" s="1"/>
      <c r="I319" s="1"/>
    </row>
    <row r="320" spans="1:9" x14ac:dyDescent="0.35">
      <c r="A320" s="1"/>
      <c r="B320" s="1"/>
      <c r="C320" s="1"/>
      <c r="D320" s="1"/>
      <c r="E320" s="1"/>
      <c r="F320" s="1"/>
      <c r="G320" s="1"/>
      <c r="H320" s="1"/>
      <c r="I320" s="1"/>
    </row>
    <row r="321" spans="1:9" x14ac:dyDescent="0.35">
      <c r="A321" s="1"/>
      <c r="B321" s="1"/>
      <c r="C321" s="1"/>
      <c r="D321" s="1"/>
      <c r="E321" s="1"/>
      <c r="F321" s="1"/>
      <c r="G321" s="1"/>
      <c r="H321" s="1"/>
      <c r="I321" s="1"/>
    </row>
    <row r="322" spans="1:9" x14ac:dyDescent="0.35">
      <c r="A322" s="1"/>
      <c r="B322" s="1"/>
      <c r="C322" s="1"/>
      <c r="D322" s="1"/>
      <c r="E322" s="1"/>
      <c r="F322" s="1"/>
      <c r="G322" s="1"/>
      <c r="H322" s="1"/>
      <c r="I322" s="1"/>
    </row>
    <row r="323" spans="1:9" x14ac:dyDescent="0.35">
      <c r="A323" s="1"/>
      <c r="B323" s="1"/>
      <c r="C323" s="1"/>
      <c r="D323" s="1"/>
      <c r="E323" s="1"/>
      <c r="F323" s="1"/>
      <c r="G323" s="1"/>
      <c r="H323" s="1"/>
      <c r="I323" s="1"/>
    </row>
    <row r="324" spans="1:9" x14ac:dyDescent="0.35">
      <c r="A324" s="1"/>
      <c r="B324" s="1"/>
      <c r="C324" s="1"/>
      <c r="D324" s="1"/>
      <c r="E324" s="1"/>
      <c r="F324" s="1"/>
      <c r="G324" s="1"/>
      <c r="H324" s="1"/>
      <c r="I324" s="1"/>
    </row>
    <row r="325" spans="1:9" x14ac:dyDescent="0.35">
      <c r="A325" s="1"/>
      <c r="B325" s="1"/>
      <c r="C325" s="1"/>
      <c r="D325" s="1"/>
      <c r="E325" s="1"/>
      <c r="F325" s="1"/>
      <c r="G325" s="1"/>
      <c r="H325" s="1"/>
      <c r="I325" s="1"/>
    </row>
    <row r="326" spans="1:9" x14ac:dyDescent="0.35">
      <c r="A326" s="1"/>
      <c r="B326" s="1"/>
      <c r="C326" s="1"/>
      <c r="D326" s="1"/>
      <c r="E326" s="1"/>
      <c r="F326" s="1"/>
      <c r="G326" s="1"/>
      <c r="H326" s="1"/>
      <c r="I326" s="1"/>
    </row>
    <row r="327" spans="1:9" x14ac:dyDescent="0.35">
      <c r="A327" s="1"/>
      <c r="B327" s="1"/>
      <c r="C327" s="1"/>
      <c r="D327" s="1"/>
      <c r="E327" s="1"/>
      <c r="F327" s="1"/>
      <c r="G327" s="1"/>
      <c r="H327" s="1"/>
      <c r="I327" s="1"/>
    </row>
    <row r="328" spans="1:9" x14ac:dyDescent="0.35">
      <c r="A328" s="1"/>
      <c r="B328" s="1"/>
      <c r="C328" s="1"/>
      <c r="D328" s="1"/>
      <c r="E328" s="1"/>
      <c r="F328" s="1"/>
      <c r="G328" s="1"/>
      <c r="H328" s="1"/>
      <c r="I328" s="1"/>
    </row>
    <row r="329" spans="1:9" x14ac:dyDescent="0.35">
      <c r="A329" s="1"/>
      <c r="B329" s="1"/>
      <c r="C329" s="1"/>
      <c r="D329" s="1"/>
      <c r="E329" s="1"/>
      <c r="F329" s="1"/>
      <c r="G329" s="1"/>
      <c r="H329" s="1"/>
      <c r="I329" s="1"/>
    </row>
    <row r="330" spans="1:9" x14ac:dyDescent="0.35">
      <c r="A330" s="1"/>
      <c r="B330" s="1"/>
      <c r="C330" s="1"/>
      <c r="D330" s="1"/>
      <c r="E330" s="1"/>
      <c r="F330" s="1"/>
      <c r="G330" s="1"/>
      <c r="H330" s="1"/>
      <c r="I330" s="1"/>
    </row>
    <row r="331" spans="1:9" x14ac:dyDescent="0.35">
      <c r="A331" s="1"/>
      <c r="B331" s="1"/>
      <c r="C331" s="1"/>
      <c r="D331" s="1"/>
      <c r="E331" s="1"/>
      <c r="F331" s="1"/>
      <c r="G331" s="1"/>
      <c r="H331" s="1"/>
      <c r="I331" s="1"/>
    </row>
    <row r="332" spans="1:9" x14ac:dyDescent="0.35">
      <c r="A332" s="1"/>
      <c r="B332" s="1"/>
      <c r="C332" s="1"/>
      <c r="D332" s="1"/>
      <c r="E332" s="1"/>
      <c r="F332" s="1"/>
      <c r="G332" s="1"/>
      <c r="H332" s="1"/>
      <c r="I332" s="1"/>
    </row>
    <row r="333" spans="1:9" x14ac:dyDescent="0.35">
      <c r="A333" s="1"/>
      <c r="B333" s="1"/>
      <c r="C333" s="1"/>
      <c r="D333" s="1"/>
      <c r="E333" s="1"/>
      <c r="F333" s="1"/>
      <c r="G333" s="1"/>
      <c r="H333" s="1"/>
      <c r="I333" s="1"/>
    </row>
    <row r="334" spans="1:9" x14ac:dyDescent="0.35">
      <c r="A334" s="1"/>
      <c r="B334" s="1"/>
      <c r="C334" s="1"/>
      <c r="D334" s="1"/>
      <c r="E334" s="1"/>
      <c r="F334" s="1"/>
      <c r="G334" s="1"/>
      <c r="H334" s="1"/>
      <c r="I334" s="1"/>
    </row>
    <row r="335" spans="1:9" x14ac:dyDescent="0.35">
      <c r="A335" s="1"/>
      <c r="B335" s="1"/>
      <c r="C335" s="1"/>
      <c r="D335" s="1"/>
      <c r="E335" s="1"/>
      <c r="F335" s="1"/>
      <c r="G335" s="1"/>
      <c r="H335" s="1"/>
      <c r="I335" s="1"/>
    </row>
    <row r="336" spans="1:9" x14ac:dyDescent="0.35">
      <c r="A336" s="1"/>
      <c r="B336" s="1"/>
      <c r="C336" s="1"/>
      <c r="D336" s="1"/>
      <c r="E336" s="1"/>
      <c r="F336" s="1"/>
      <c r="G336" s="1"/>
      <c r="H336" s="1"/>
      <c r="I336" s="1"/>
    </row>
    <row r="337" spans="1:9" x14ac:dyDescent="0.35">
      <c r="A337" s="1"/>
      <c r="B337" s="1"/>
      <c r="C337" s="1"/>
      <c r="D337" s="1"/>
      <c r="E337" s="1"/>
      <c r="F337" s="1"/>
      <c r="G337" s="1"/>
      <c r="H337" s="1"/>
      <c r="I337" s="1"/>
    </row>
    <row r="338" spans="1:9" x14ac:dyDescent="0.35">
      <c r="A338" s="1"/>
      <c r="B338" s="1"/>
      <c r="C338" s="1"/>
      <c r="D338" s="1"/>
      <c r="E338" s="1"/>
      <c r="F338" s="1"/>
      <c r="G338" s="1"/>
      <c r="H338" s="1"/>
      <c r="I338" s="1"/>
    </row>
    <row r="339" spans="1:9" x14ac:dyDescent="0.35">
      <c r="A339" s="1"/>
      <c r="B339" s="1"/>
      <c r="C339" s="1"/>
      <c r="D339" s="1"/>
      <c r="E339" s="1"/>
      <c r="F339" s="1"/>
      <c r="G339" s="1"/>
      <c r="H339" s="1"/>
      <c r="I339" s="1"/>
    </row>
    <row r="340" spans="1:9" x14ac:dyDescent="0.35">
      <c r="A340" s="1"/>
      <c r="B340" s="1"/>
      <c r="C340" s="1"/>
      <c r="D340" s="1"/>
      <c r="E340" s="1"/>
      <c r="F340" s="1"/>
      <c r="G340" s="1"/>
      <c r="H340" s="1"/>
      <c r="I340" s="1"/>
    </row>
    <row r="341" spans="1:9" x14ac:dyDescent="0.35">
      <c r="A341" s="1"/>
      <c r="B341" s="1"/>
      <c r="C341" s="1"/>
      <c r="D341" s="1"/>
      <c r="E341" s="1"/>
      <c r="F341" s="1"/>
      <c r="G341" s="1"/>
      <c r="H341" s="1"/>
      <c r="I341" s="1"/>
    </row>
    <row r="342" spans="1:9" x14ac:dyDescent="0.35">
      <c r="A342" s="1"/>
      <c r="B342" s="1"/>
      <c r="C342" s="1"/>
      <c r="D342" s="1"/>
      <c r="E342" s="1"/>
      <c r="F342" s="1"/>
      <c r="G342" s="1"/>
      <c r="H342" s="1"/>
      <c r="I342" s="1"/>
    </row>
    <row r="343" spans="1:9" x14ac:dyDescent="0.35">
      <c r="A343" s="1"/>
      <c r="B343" s="1"/>
      <c r="C343" s="1"/>
      <c r="D343" s="1"/>
      <c r="E343" s="1"/>
      <c r="F343" s="1"/>
      <c r="G343" s="1"/>
      <c r="H343" s="1"/>
      <c r="I343" s="1"/>
    </row>
    <row r="344" spans="1:9" x14ac:dyDescent="0.35">
      <c r="A344" s="1"/>
      <c r="B344" s="1"/>
      <c r="C344" s="1"/>
      <c r="D344" s="1"/>
      <c r="E344" s="1"/>
      <c r="F344" s="1"/>
      <c r="G344" s="1"/>
      <c r="H344" s="1"/>
      <c r="I344" s="1"/>
    </row>
    <row r="345" spans="1:9" x14ac:dyDescent="0.35">
      <c r="A345" s="1"/>
      <c r="B345" s="1"/>
      <c r="C345" s="1"/>
      <c r="D345" s="1"/>
      <c r="E345" s="1"/>
      <c r="F345" s="1"/>
      <c r="G345" s="1"/>
      <c r="H345" s="1"/>
      <c r="I345" s="1"/>
    </row>
    <row r="346" spans="1:9" x14ac:dyDescent="0.35">
      <c r="A346" s="1"/>
      <c r="B346" s="1"/>
      <c r="C346" s="1"/>
      <c r="D346" s="1"/>
      <c r="E346" s="1"/>
      <c r="F346" s="1"/>
      <c r="G346" s="1"/>
      <c r="H346" s="1"/>
      <c r="I346" s="1"/>
    </row>
    <row r="347" spans="1:9" x14ac:dyDescent="0.35">
      <c r="A347" s="1"/>
      <c r="B347" s="1"/>
      <c r="C347" s="1"/>
      <c r="D347" s="1"/>
      <c r="E347" s="1"/>
      <c r="F347" s="1"/>
      <c r="G347" s="1"/>
      <c r="H347" s="1"/>
      <c r="I347" s="1"/>
    </row>
    <row r="348" spans="1:9" x14ac:dyDescent="0.35">
      <c r="A348" s="1"/>
      <c r="B348" s="1"/>
      <c r="C348" s="1"/>
      <c r="D348" s="1"/>
      <c r="E348" s="1"/>
      <c r="F348" s="1"/>
      <c r="G348" s="1"/>
      <c r="H348" s="1"/>
      <c r="I348" s="1"/>
    </row>
    <row r="349" spans="1:9" x14ac:dyDescent="0.35">
      <c r="A349" s="1"/>
      <c r="B349" s="1"/>
      <c r="C349" s="1"/>
      <c r="D349" s="1"/>
      <c r="E349" s="1"/>
      <c r="F349" s="1"/>
      <c r="G349" s="1"/>
      <c r="H349" s="1"/>
      <c r="I349" s="1"/>
    </row>
    <row r="350" spans="1:9" x14ac:dyDescent="0.35">
      <c r="A350" s="1"/>
      <c r="B350" s="1"/>
      <c r="C350" s="1"/>
      <c r="D350" s="1"/>
      <c r="E350" s="1"/>
      <c r="F350" s="1"/>
      <c r="G350" s="1"/>
      <c r="H350" s="1"/>
      <c r="I350" s="1"/>
    </row>
    <row r="351" spans="1:9" x14ac:dyDescent="0.35">
      <c r="A351" s="1"/>
      <c r="B351" s="1"/>
      <c r="C351" s="1"/>
      <c r="D351" s="1"/>
      <c r="E351" s="1"/>
      <c r="F351" s="1"/>
      <c r="G351" s="1"/>
      <c r="H351" s="1"/>
      <c r="I351" s="1"/>
    </row>
    <row r="352" spans="1:9" x14ac:dyDescent="0.35">
      <c r="A352" s="1"/>
      <c r="B352" s="1"/>
      <c r="C352" s="1"/>
      <c r="D352" s="1"/>
      <c r="E352" s="1"/>
      <c r="F352" s="1"/>
      <c r="G352" s="1"/>
      <c r="H352" s="1"/>
      <c r="I352" s="1"/>
    </row>
    <row r="353" spans="1:9" x14ac:dyDescent="0.35">
      <c r="A353" s="1"/>
      <c r="B353" s="1"/>
      <c r="C353" s="1"/>
      <c r="D353" s="1"/>
      <c r="E353" s="1"/>
      <c r="F353" s="1"/>
      <c r="G353" s="1"/>
      <c r="H353" s="1"/>
      <c r="I353" s="1"/>
    </row>
    <row r="354" spans="1:9" x14ac:dyDescent="0.35">
      <c r="A354" s="1"/>
      <c r="B354" s="1"/>
      <c r="C354" s="1"/>
      <c r="D354" s="1"/>
      <c r="E354" s="1"/>
      <c r="F354" s="1"/>
      <c r="G354" s="1"/>
      <c r="H354" s="1"/>
      <c r="I354" s="1"/>
    </row>
    <row r="355" spans="1:9" x14ac:dyDescent="0.35">
      <c r="A355" s="1"/>
      <c r="B355" s="1"/>
      <c r="C355" s="1"/>
      <c r="D355" s="1"/>
      <c r="E355" s="1"/>
      <c r="F355" s="1"/>
      <c r="G355" s="1"/>
      <c r="H355" s="1"/>
      <c r="I355" s="1"/>
    </row>
    <row r="356" spans="1:9" x14ac:dyDescent="0.35">
      <c r="A356" s="1"/>
      <c r="B356" s="1"/>
      <c r="C356" s="1"/>
      <c r="D356" s="1"/>
      <c r="E356" s="1"/>
      <c r="F356" s="1"/>
      <c r="G356" s="1"/>
      <c r="H356" s="1"/>
      <c r="I356" s="1"/>
    </row>
    <row r="357" spans="1:9" x14ac:dyDescent="0.35">
      <c r="A357" s="1"/>
      <c r="B357" s="1"/>
      <c r="C357" s="1"/>
      <c r="D357" s="1"/>
      <c r="E357" s="1"/>
      <c r="F357" s="1"/>
      <c r="G357" s="1"/>
      <c r="H357" s="1"/>
      <c r="I357" s="1"/>
    </row>
    <row r="358" spans="1:9" x14ac:dyDescent="0.35">
      <c r="A358" s="1"/>
      <c r="B358" s="1"/>
      <c r="C358" s="1"/>
      <c r="D358" s="1"/>
      <c r="E358" s="1"/>
      <c r="F358" s="1"/>
      <c r="G358" s="1"/>
      <c r="H358" s="1"/>
      <c r="I358" s="1"/>
    </row>
    <row r="359" spans="1:9" x14ac:dyDescent="0.35">
      <c r="A359" s="1"/>
      <c r="B359" s="1"/>
      <c r="C359" s="1"/>
      <c r="D359" s="1"/>
      <c r="E359" s="1"/>
      <c r="F359" s="1"/>
      <c r="G359" s="1"/>
      <c r="H359" s="1"/>
      <c r="I359" s="1"/>
    </row>
    <row r="360" spans="1:9" x14ac:dyDescent="0.35">
      <c r="A360" s="1"/>
      <c r="B360" s="1"/>
      <c r="C360" s="1"/>
      <c r="D360" s="1"/>
      <c r="E360" s="1"/>
      <c r="F360" s="1"/>
      <c r="G360" s="1"/>
      <c r="H360" s="1"/>
      <c r="I360" s="1"/>
    </row>
    <row r="361" spans="1:9" x14ac:dyDescent="0.35">
      <c r="A361" s="1"/>
      <c r="B361" s="1"/>
      <c r="C361" s="1"/>
      <c r="D361" s="1"/>
      <c r="E361" s="1"/>
      <c r="F361" s="1"/>
      <c r="G361" s="1"/>
      <c r="H361" s="1"/>
      <c r="I361" s="1"/>
    </row>
    <row r="362" spans="1:9" x14ac:dyDescent="0.35">
      <c r="A362" s="1"/>
      <c r="B362" s="1"/>
      <c r="C362" s="1"/>
      <c r="D362" s="1"/>
      <c r="E362" s="1"/>
      <c r="F362" s="1"/>
      <c r="G362" s="1"/>
      <c r="H362" s="1"/>
      <c r="I362" s="1"/>
    </row>
    <row r="363" spans="1:9" x14ac:dyDescent="0.35">
      <c r="A363" s="1"/>
      <c r="B363" s="1"/>
      <c r="C363" s="1"/>
      <c r="D363" s="1"/>
      <c r="E363" s="1"/>
      <c r="F363" s="1"/>
      <c r="G363" s="1"/>
      <c r="H363" s="1"/>
      <c r="I363" s="1"/>
    </row>
    <row r="364" spans="1:9" x14ac:dyDescent="0.35">
      <c r="A364" s="1"/>
      <c r="B364" s="1"/>
      <c r="C364" s="1"/>
      <c r="D364" s="1"/>
      <c r="E364" s="1"/>
      <c r="F364" s="1"/>
      <c r="G364" s="1"/>
      <c r="H364" s="1"/>
      <c r="I364" s="1"/>
    </row>
    <row r="365" spans="1:9" x14ac:dyDescent="0.35">
      <c r="A365" s="1"/>
      <c r="B365" s="1"/>
      <c r="C365" s="1"/>
      <c r="D365" s="1"/>
      <c r="E365" s="1"/>
      <c r="F365" s="1"/>
      <c r="G365" s="1"/>
      <c r="H365" s="1"/>
      <c r="I365" s="1"/>
    </row>
    <row r="366" spans="1:9" x14ac:dyDescent="0.35">
      <c r="A366" s="1"/>
      <c r="B366" s="1"/>
      <c r="C366" s="1"/>
      <c r="D366" s="1"/>
      <c r="E366" s="1"/>
      <c r="F366" s="1"/>
      <c r="G366" s="1"/>
      <c r="H366" s="1"/>
      <c r="I366" s="1"/>
    </row>
    <row r="367" spans="1:9" x14ac:dyDescent="0.35">
      <c r="A367" s="1"/>
      <c r="B367" s="1"/>
      <c r="C367" s="1"/>
      <c r="D367" s="1"/>
      <c r="E367" s="1"/>
      <c r="F367" s="1"/>
      <c r="G367" s="1"/>
      <c r="H367" s="1"/>
      <c r="I367" s="1"/>
    </row>
    <row r="368" spans="1:9" x14ac:dyDescent="0.35">
      <c r="A368" s="1"/>
      <c r="B368" s="1"/>
      <c r="C368" s="1"/>
      <c r="D368" s="1"/>
      <c r="E368" s="1"/>
      <c r="F368" s="1"/>
      <c r="G368" s="1"/>
      <c r="H368" s="1"/>
      <c r="I368" s="1"/>
    </row>
    <row r="369" spans="1:9" x14ac:dyDescent="0.35">
      <c r="A369" s="1"/>
      <c r="B369" s="1"/>
      <c r="C369" s="1"/>
      <c r="D369" s="1"/>
      <c r="E369" s="1"/>
      <c r="F369" s="1"/>
      <c r="G369" s="1"/>
      <c r="H369" s="1"/>
      <c r="I369" s="1"/>
    </row>
    <row r="370" spans="1:9" x14ac:dyDescent="0.35">
      <c r="A370" s="1"/>
      <c r="B370" s="1"/>
      <c r="C370" s="1"/>
      <c r="D370" s="1"/>
      <c r="E370" s="1"/>
      <c r="F370" s="1"/>
      <c r="G370" s="1"/>
      <c r="H370" s="1"/>
      <c r="I370" s="1"/>
    </row>
    <row r="371" spans="1:9" x14ac:dyDescent="0.35">
      <c r="A371" s="1"/>
      <c r="B371" s="1"/>
      <c r="C371" s="1"/>
      <c r="D371" s="1"/>
      <c r="E371" s="1"/>
      <c r="F371" s="1"/>
      <c r="G371" s="1"/>
      <c r="H371" s="1"/>
      <c r="I371" s="1"/>
    </row>
    <row r="372" spans="1:9" x14ac:dyDescent="0.35">
      <c r="A372" s="1"/>
      <c r="B372" s="1"/>
      <c r="C372" s="1"/>
      <c r="D372" s="1"/>
      <c r="E372" s="1"/>
      <c r="F372" s="1"/>
      <c r="G372" s="1"/>
      <c r="H372" s="1"/>
      <c r="I372" s="1"/>
    </row>
    <row r="373" spans="1:9" x14ac:dyDescent="0.35">
      <c r="A373" s="1"/>
      <c r="B373" s="1"/>
      <c r="C373" s="1"/>
      <c r="D373" s="1"/>
      <c r="E373" s="1"/>
      <c r="F373" s="1"/>
      <c r="G373" s="1"/>
      <c r="H373" s="1"/>
      <c r="I373" s="1"/>
    </row>
    <row r="374" spans="1:9" x14ac:dyDescent="0.35">
      <c r="A374" s="1"/>
      <c r="B374" s="1"/>
      <c r="C374" s="1"/>
      <c r="D374" s="1"/>
      <c r="E374" s="1"/>
      <c r="F374" s="1"/>
      <c r="G374" s="1"/>
      <c r="H374" s="1"/>
      <c r="I374" s="1"/>
    </row>
    <row r="375" spans="1:9" x14ac:dyDescent="0.35">
      <c r="A375" s="1"/>
      <c r="B375" s="1"/>
      <c r="C375" s="1"/>
      <c r="D375" s="1"/>
      <c r="E375" s="1"/>
      <c r="F375" s="1"/>
      <c r="G375" s="1"/>
      <c r="H375" s="1"/>
      <c r="I375" s="1"/>
    </row>
    <row r="376" spans="1:9" x14ac:dyDescent="0.35">
      <c r="A376" s="1"/>
      <c r="B376" s="1"/>
      <c r="C376" s="1"/>
      <c r="D376" s="1"/>
      <c r="E376" s="1"/>
      <c r="F376" s="1"/>
      <c r="G376" s="1"/>
      <c r="H376" s="1"/>
      <c r="I376" s="1"/>
    </row>
    <row r="377" spans="1:9" x14ac:dyDescent="0.35">
      <c r="A377" s="1"/>
      <c r="B377" s="1"/>
      <c r="C377" s="1"/>
      <c r="D377" s="1"/>
      <c r="E377" s="1"/>
      <c r="F377" s="1"/>
      <c r="G377" s="1"/>
      <c r="H377" s="1"/>
      <c r="I377" s="1"/>
    </row>
    <row r="378" spans="1:9" x14ac:dyDescent="0.35">
      <c r="A378" s="1"/>
      <c r="B378" s="1"/>
      <c r="C378" s="1"/>
      <c r="D378" s="1"/>
      <c r="E378" s="1"/>
      <c r="F378" s="1"/>
      <c r="G378" s="1"/>
      <c r="H378" s="1"/>
      <c r="I378" s="1"/>
    </row>
    <row r="379" spans="1:9" x14ac:dyDescent="0.35">
      <c r="A379" s="1"/>
      <c r="B379" s="1"/>
      <c r="C379" s="1"/>
      <c r="D379" s="1"/>
      <c r="E379" s="1"/>
      <c r="F379" s="1"/>
      <c r="G379" s="1"/>
      <c r="H379" s="1"/>
      <c r="I379" s="1"/>
    </row>
    <row r="380" spans="1:9" x14ac:dyDescent="0.35">
      <c r="A380" s="1"/>
      <c r="B380" s="1"/>
      <c r="C380" s="1"/>
      <c r="D380" s="1"/>
      <c r="E380" s="1"/>
      <c r="F380" s="1"/>
      <c r="G380" s="1"/>
      <c r="H380" s="1"/>
      <c r="I380" s="1"/>
    </row>
    <row r="381" spans="1:9" x14ac:dyDescent="0.35">
      <c r="A381" s="1"/>
      <c r="B381" s="1"/>
      <c r="C381" s="1"/>
      <c r="D381" s="1"/>
      <c r="E381" s="1"/>
      <c r="F381" s="1"/>
      <c r="G381" s="1"/>
      <c r="H381" s="1"/>
      <c r="I381" s="1"/>
    </row>
    <row r="382" spans="1:9" x14ac:dyDescent="0.35">
      <c r="A382" s="1"/>
      <c r="B382" s="1"/>
      <c r="C382" s="1"/>
      <c r="D382" s="1"/>
      <c r="E382" s="1"/>
      <c r="F382" s="1"/>
      <c r="G382" s="1"/>
      <c r="H382" s="1"/>
      <c r="I382" s="1"/>
    </row>
    <row r="383" spans="1:9" x14ac:dyDescent="0.35">
      <c r="A383" s="1"/>
      <c r="B383" s="1"/>
      <c r="C383" s="1"/>
      <c r="D383" s="1"/>
      <c r="E383" s="1"/>
      <c r="F383" s="1"/>
      <c r="G383" s="1"/>
      <c r="H383" s="1"/>
      <c r="I383" s="1"/>
    </row>
    <row r="384" spans="1:9" x14ac:dyDescent="0.35">
      <c r="A384" s="1"/>
      <c r="B384" s="1"/>
      <c r="C384" s="1"/>
      <c r="D384" s="1"/>
      <c r="E384" s="1"/>
      <c r="F384" s="1"/>
      <c r="G384" s="1"/>
      <c r="H384" s="1"/>
      <c r="I384" s="1"/>
    </row>
    <row r="385" spans="1:9" x14ac:dyDescent="0.35">
      <c r="A385" s="1"/>
      <c r="B385" s="1"/>
      <c r="C385" s="1"/>
      <c r="D385" s="1"/>
      <c r="E385" s="1"/>
      <c r="F385" s="1"/>
      <c r="G385" s="1"/>
      <c r="H385" s="1"/>
      <c r="I385" s="1"/>
    </row>
    <row r="386" spans="1:9" x14ac:dyDescent="0.35">
      <c r="A386" s="1"/>
      <c r="B386" s="1"/>
      <c r="C386" s="1"/>
      <c r="D386" s="1"/>
      <c r="E386" s="1"/>
      <c r="F386" s="1"/>
      <c r="G386" s="1"/>
      <c r="H386" s="1"/>
      <c r="I386" s="1"/>
    </row>
    <row r="387" spans="1:9" x14ac:dyDescent="0.35">
      <c r="A387" s="1"/>
      <c r="B387" s="1"/>
      <c r="C387" s="1"/>
      <c r="D387" s="1"/>
      <c r="E387" s="1"/>
      <c r="F387" s="1"/>
      <c r="G387" s="1"/>
      <c r="H387" s="1"/>
      <c r="I387" s="1"/>
    </row>
    <row r="388" spans="1:9" x14ac:dyDescent="0.35">
      <c r="A388" s="1"/>
      <c r="B388" s="1"/>
      <c r="C388" s="1"/>
      <c r="D388" s="1"/>
      <c r="E388" s="1"/>
      <c r="F388" s="1"/>
      <c r="G388" s="1"/>
      <c r="H388" s="1"/>
      <c r="I388" s="1"/>
    </row>
    <row r="389" spans="1:9" x14ac:dyDescent="0.35">
      <c r="A389" s="1"/>
      <c r="B389" s="1"/>
      <c r="C389" s="1"/>
      <c r="D389" s="1"/>
      <c r="E389" s="1"/>
      <c r="F389" s="1"/>
      <c r="G389" s="1"/>
      <c r="H389" s="1"/>
      <c r="I389" s="1"/>
    </row>
    <row r="390" spans="1:9" x14ac:dyDescent="0.35">
      <c r="A390" s="1"/>
      <c r="B390" s="1"/>
      <c r="C390" s="1"/>
      <c r="D390" s="1"/>
      <c r="E390" s="1"/>
      <c r="F390" s="1"/>
      <c r="G390" s="1"/>
      <c r="H390" s="1"/>
      <c r="I390" s="1"/>
    </row>
    <row r="391" spans="1:9" x14ac:dyDescent="0.35">
      <c r="A391" s="1"/>
      <c r="B391" s="1"/>
      <c r="C391" s="1"/>
      <c r="D391" s="1"/>
      <c r="E391" s="1"/>
      <c r="F391" s="1"/>
      <c r="G391" s="1"/>
      <c r="H391" s="1"/>
      <c r="I391" s="1"/>
    </row>
    <row r="392" spans="1:9" x14ac:dyDescent="0.35">
      <c r="A392" s="1"/>
      <c r="B392" s="1"/>
      <c r="C392" s="1"/>
      <c r="D392" s="1"/>
      <c r="E392" s="1"/>
      <c r="F392" s="1"/>
      <c r="G392" s="1"/>
      <c r="H392" s="1"/>
      <c r="I392" s="1"/>
    </row>
    <row r="393" spans="1:9" x14ac:dyDescent="0.35">
      <c r="A393" s="1"/>
      <c r="B393" s="1"/>
      <c r="C393" s="1"/>
      <c r="D393" s="1"/>
      <c r="E393" s="1"/>
      <c r="F393" s="1"/>
      <c r="G393" s="1"/>
      <c r="H393" s="1"/>
      <c r="I393" s="1"/>
    </row>
    <row r="394" spans="1:9" x14ac:dyDescent="0.35">
      <c r="A394" s="1"/>
      <c r="B394" s="1"/>
      <c r="C394" s="1"/>
      <c r="D394" s="1"/>
      <c r="E394" s="1"/>
      <c r="F394" s="1"/>
      <c r="G394" s="1"/>
      <c r="H394" s="1"/>
      <c r="I394" s="1"/>
    </row>
    <row r="395" spans="1:9" x14ac:dyDescent="0.35">
      <c r="A395" s="1"/>
      <c r="B395" s="1"/>
      <c r="C395" s="1"/>
      <c r="D395" s="1"/>
      <c r="E395" s="1"/>
      <c r="F395" s="1"/>
      <c r="G395" s="1"/>
      <c r="H395" s="1"/>
      <c r="I395" s="1"/>
    </row>
    <row r="396" spans="1:9" x14ac:dyDescent="0.35">
      <c r="A396" s="1"/>
      <c r="B396" s="1"/>
      <c r="C396" s="1"/>
      <c r="D396" s="1"/>
      <c r="E396" s="1"/>
      <c r="F396" s="1"/>
      <c r="G396" s="1"/>
      <c r="H396" s="1"/>
      <c r="I396" s="1"/>
    </row>
    <row r="397" spans="1:9" x14ac:dyDescent="0.35">
      <c r="A397" s="1"/>
      <c r="B397" s="1"/>
      <c r="C397" s="1"/>
      <c r="D397" s="1"/>
      <c r="E397" s="1"/>
      <c r="F397" s="1"/>
      <c r="G397" s="1"/>
      <c r="H397" s="1"/>
      <c r="I397" s="1"/>
    </row>
    <row r="398" spans="1:9" x14ac:dyDescent="0.35">
      <c r="A398" s="1"/>
      <c r="B398" s="1"/>
      <c r="C398" s="1"/>
      <c r="D398" s="1"/>
      <c r="E398" s="1"/>
      <c r="F398" s="1"/>
      <c r="G398" s="1"/>
      <c r="H398" s="1"/>
      <c r="I398" s="1"/>
    </row>
    <row r="399" spans="1:9" x14ac:dyDescent="0.35">
      <c r="A399" s="1"/>
      <c r="B399" s="1"/>
      <c r="C399" s="1"/>
      <c r="D399" s="1"/>
      <c r="E399" s="1"/>
      <c r="F399" s="1"/>
      <c r="G399" s="1"/>
      <c r="H399" s="1"/>
      <c r="I399" s="1"/>
    </row>
    <row r="400" spans="1:9" x14ac:dyDescent="0.35">
      <c r="A400" s="1"/>
      <c r="B400" s="1"/>
      <c r="C400" s="1"/>
      <c r="D400" s="1"/>
      <c r="E400" s="1"/>
      <c r="F400" s="1"/>
      <c r="G400" s="1"/>
      <c r="H400" s="1"/>
      <c r="I400" s="1"/>
    </row>
    <row r="401" spans="1:9" x14ac:dyDescent="0.35">
      <c r="A401" s="1"/>
      <c r="B401" s="1"/>
      <c r="C401" s="1"/>
      <c r="D401" s="1"/>
      <c r="E401" s="1"/>
      <c r="F401" s="1"/>
      <c r="G401" s="1"/>
      <c r="H401" s="1"/>
      <c r="I401" s="1"/>
    </row>
    <row r="402" spans="1:9" x14ac:dyDescent="0.35">
      <c r="A402" s="1"/>
      <c r="B402" s="1"/>
      <c r="C402" s="1"/>
      <c r="D402" s="1"/>
      <c r="E402" s="1"/>
      <c r="F402" s="1"/>
      <c r="G402" s="1"/>
      <c r="H402" s="1"/>
      <c r="I402" s="1"/>
    </row>
    <row r="403" spans="1:9" x14ac:dyDescent="0.35">
      <c r="A403" s="1"/>
      <c r="B403" s="1"/>
      <c r="C403" s="1"/>
      <c r="D403" s="1"/>
      <c r="E403" s="1"/>
      <c r="F403" s="1"/>
      <c r="G403" s="1"/>
      <c r="H403" s="1"/>
      <c r="I403" s="1"/>
    </row>
    <row r="404" spans="1:9" x14ac:dyDescent="0.35">
      <c r="A404" s="1"/>
      <c r="B404" s="1"/>
      <c r="C404" s="1"/>
      <c r="D404" s="1"/>
      <c r="E404" s="1"/>
      <c r="F404" s="1"/>
      <c r="G404" s="1"/>
      <c r="H404" s="1"/>
      <c r="I404" s="1"/>
    </row>
    <row r="405" spans="1:9" x14ac:dyDescent="0.35">
      <c r="A405" s="1"/>
      <c r="B405" s="1"/>
      <c r="C405" s="1"/>
      <c r="D405" s="1"/>
      <c r="E405" s="1"/>
      <c r="F405" s="1"/>
      <c r="G405" s="1"/>
      <c r="H405" s="1"/>
      <c r="I405" s="1"/>
    </row>
    <row r="406" spans="1:9" x14ac:dyDescent="0.35">
      <c r="A406" s="1"/>
      <c r="B406" s="1"/>
      <c r="C406" s="1"/>
      <c r="D406" s="1"/>
      <c r="E406" s="1"/>
      <c r="F406" s="1"/>
      <c r="G406" s="1"/>
      <c r="H406" s="1"/>
      <c r="I406" s="1"/>
    </row>
    <row r="407" spans="1:9" x14ac:dyDescent="0.35">
      <c r="A407" s="1"/>
      <c r="B407" s="1"/>
      <c r="C407" s="1"/>
      <c r="D407" s="1"/>
      <c r="E407" s="1"/>
      <c r="F407" s="1"/>
      <c r="G407" s="1"/>
      <c r="H407" s="1"/>
      <c r="I407" s="1"/>
    </row>
    <row r="408" spans="1:9" x14ac:dyDescent="0.35">
      <c r="A408" s="1"/>
      <c r="B408" s="1"/>
      <c r="C408" s="1"/>
      <c r="D408" s="1"/>
      <c r="E408" s="1"/>
      <c r="F408" s="1"/>
      <c r="G408" s="1"/>
      <c r="H408" s="1"/>
      <c r="I408" s="1"/>
    </row>
    <row r="409" spans="1:9" x14ac:dyDescent="0.35">
      <c r="A409" s="1"/>
      <c r="B409" s="1"/>
      <c r="C409" s="1"/>
      <c r="D409" s="1"/>
      <c r="E409" s="1"/>
      <c r="F409" s="1"/>
      <c r="G409" s="1"/>
      <c r="H409" s="1"/>
      <c r="I409" s="1"/>
    </row>
    <row r="410" spans="1:9" x14ac:dyDescent="0.35">
      <c r="A410" s="1"/>
      <c r="B410" s="1"/>
      <c r="C410" s="1"/>
      <c r="D410" s="1"/>
      <c r="E410" s="1"/>
      <c r="F410" s="1"/>
      <c r="G410" s="1"/>
      <c r="H410" s="1"/>
      <c r="I410" s="1"/>
    </row>
    <row r="411" spans="1:9" x14ac:dyDescent="0.35">
      <c r="A411" s="1"/>
      <c r="B411" s="1"/>
      <c r="C411" s="1"/>
      <c r="D411" s="1"/>
      <c r="E411" s="1"/>
      <c r="F411" s="1"/>
      <c r="G411" s="1"/>
      <c r="H411" s="1"/>
      <c r="I411" s="1"/>
    </row>
    <row r="412" spans="1:9" x14ac:dyDescent="0.35">
      <c r="A412" s="1"/>
      <c r="B412" s="1"/>
      <c r="C412" s="1"/>
      <c r="D412" s="1"/>
      <c r="E412" s="1"/>
      <c r="F412" s="1"/>
      <c r="G412" s="1"/>
      <c r="H412" s="1"/>
      <c r="I412" s="1"/>
    </row>
    <row r="413" spans="1:9" x14ac:dyDescent="0.35">
      <c r="A413" s="1"/>
      <c r="B413" s="1"/>
      <c r="C413" s="1"/>
      <c r="D413" s="1"/>
      <c r="E413" s="1"/>
      <c r="F413" s="1"/>
      <c r="G413" s="1"/>
      <c r="H413" s="1"/>
      <c r="I413" s="1"/>
    </row>
    <row r="414" spans="1:9" x14ac:dyDescent="0.35">
      <c r="A414" s="1"/>
      <c r="B414" s="1"/>
      <c r="C414" s="1"/>
      <c r="D414" s="1"/>
      <c r="E414" s="1"/>
      <c r="F414" s="1"/>
      <c r="G414" s="1"/>
      <c r="H414" s="1"/>
      <c r="I414" s="1"/>
    </row>
    <row r="415" spans="1:9" x14ac:dyDescent="0.35">
      <c r="A415" s="1"/>
      <c r="B415" s="1"/>
      <c r="C415" s="1"/>
      <c r="D415" s="1"/>
      <c r="E415" s="1"/>
      <c r="F415" s="1"/>
      <c r="G415" s="1"/>
      <c r="H415" s="1"/>
      <c r="I415" s="1"/>
    </row>
    <row r="416" spans="1:9" x14ac:dyDescent="0.35">
      <c r="A416" s="1"/>
      <c r="B416" s="1"/>
      <c r="C416" s="1"/>
      <c r="D416" s="1"/>
      <c r="E416" s="1"/>
      <c r="F416" s="1"/>
      <c r="G416" s="1"/>
      <c r="H416" s="1"/>
      <c r="I416" s="1"/>
    </row>
    <row r="417" spans="1:9" x14ac:dyDescent="0.35">
      <c r="A417" s="1"/>
      <c r="B417" s="1"/>
      <c r="C417" s="1"/>
      <c r="D417" s="1"/>
      <c r="E417" s="1"/>
      <c r="F417" s="1"/>
      <c r="G417" s="1"/>
      <c r="H417" s="1"/>
      <c r="I417" s="1"/>
    </row>
    <row r="418" spans="1:9" x14ac:dyDescent="0.35">
      <c r="A418" s="1"/>
      <c r="B418" s="1"/>
      <c r="C418" s="1"/>
      <c r="D418" s="1"/>
      <c r="E418" s="1"/>
      <c r="F418" s="1"/>
      <c r="G418" s="1"/>
      <c r="H418" s="1"/>
      <c r="I418" s="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3FADC-40AB-4E91-9C8F-08245537F386}">
  <sheetPr codeName="Sheet2"/>
  <dimension ref="A1:K21"/>
  <sheetViews>
    <sheetView topLeftCell="C1" zoomScale="82" workbookViewId="0">
      <selection activeCell="K7" sqref="K7"/>
    </sheetView>
  </sheetViews>
  <sheetFormatPr defaultRowHeight="14.5" x14ac:dyDescent="0.35"/>
  <cols>
    <col min="1" max="1" width="21.6328125" style="5" customWidth="1"/>
    <col min="2" max="2" width="20.6328125" style="7" customWidth="1"/>
    <col min="3" max="3" width="25.453125" customWidth="1"/>
    <col min="4" max="4" width="26.36328125" customWidth="1"/>
    <col min="5" max="5" width="38.7265625" customWidth="1"/>
    <col min="6" max="6" width="11.1796875" customWidth="1"/>
    <col min="7" max="8" width="9.90625" customWidth="1"/>
    <col min="9" max="9" width="28.08984375" customWidth="1"/>
    <col min="10" max="10" width="16.1796875" customWidth="1"/>
    <col min="11" max="11" width="11.453125" customWidth="1"/>
  </cols>
  <sheetData>
    <row r="1" spans="1:11" s="16" customFormat="1" ht="29" x14ac:dyDescent="0.35">
      <c r="A1" s="12" t="s">
        <v>5</v>
      </c>
      <c r="B1" s="18" t="s">
        <v>78</v>
      </c>
      <c r="C1" s="13" t="s">
        <v>1</v>
      </c>
      <c r="D1" s="14" t="s">
        <v>6</v>
      </c>
      <c r="E1" s="14" t="s">
        <v>7</v>
      </c>
      <c r="F1" s="14" t="s">
        <v>54</v>
      </c>
      <c r="G1" s="14" t="s">
        <v>77</v>
      </c>
      <c r="H1" s="22"/>
      <c r="I1" s="15" t="s">
        <v>69</v>
      </c>
      <c r="J1" s="19" t="s">
        <v>79</v>
      </c>
      <c r="K1" s="19"/>
    </row>
    <row r="2" spans="1:11" ht="26.5" customHeight="1" x14ac:dyDescent="0.35">
      <c r="A2" s="10" t="s">
        <v>8</v>
      </c>
      <c r="B2" s="6">
        <f>F2+G2+0.000001*ROW()</f>
        <v>19.000001999999999</v>
      </c>
      <c r="C2" s="3" t="s">
        <v>9</v>
      </c>
      <c r="D2" s="3" t="s">
        <v>10</v>
      </c>
      <c r="E2" s="3" t="s">
        <v>11</v>
      </c>
      <c r="F2">
        <v>10</v>
      </c>
      <c r="G2">
        <v>9</v>
      </c>
      <c r="I2" s="11" t="str">
        <f>INDEX($A$2:$B$20, MATCH(LARGE($B$2:$B$20, ROW()-1), $B$2:$B$20, 0),1)</f>
        <v>Median income growth</v>
      </c>
      <c r="J2">
        <f>VLOOKUP(I2,$A$2:$B$19,2,FALSE)</f>
        <v>19.000001999999999</v>
      </c>
    </row>
    <row r="3" spans="1:11" ht="26.5" customHeight="1" x14ac:dyDescent="0.35">
      <c r="A3" s="4" t="s">
        <v>12</v>
      </c>
      <c r="B3" s="6">
        <f t="shared" ref="B3:B19" si="0">F3+G3+0.000001*ROW()</f>
        <v>18.000003</v>
      </c>
      <c r="C3" s="3" t="s">
        <v>13</v>
      </c>
      <c r="D3" s="3" t="s">
        <v>14</v>
      </c>
      <c r="E3" s="3" t="s">
        <v>15</v>
      </c>
      <c r="F3">
        <v>10</v>
      </c>
      <c r="G3">
        <v>8</v>
      </c>
      <c r="I3" s="11" t="str">
        <f t="shared" ref="I3:I19" si="1">INDEX($A$2:$B$20, MATCH(LARGE($B$2:$B$20, ROW()-1), $B$2:$B$20, 0),1)</f>
        <v>Demographic shift (% White)</v>
      </c>
      <c r="J3">
        <f t="shared" ref="J3:J19" si="2">VLOOKUP(I3,$A$2:$B$19,2,FALSE)</f>
        <v>18.000005999999999</v>
      </c>
    </row>
    <row r="4" spans="1:11" ht="20" customHeight="1" x14ac:dyDescent="0.35">
      <c r="A4" s="4" t="s">
        <v>16</v>
      </c>
      <c r="B4" s="6">
        <f t="shared" si="0"/>
        <v>17.000004000000001</v>
      </c>
      <c r="C4" s="3" t="s">
        <v>17</v>
      </c>
      <c r="D4" s="3" t="s">
        <v>14</v>
      </c>
      <c r="E4" s="3" t="s">
        <v>18</v>
      </c>
      <c r="F4">
        <v>9</v>
      </c>
      <c r="G4">
        <v>8</v>
      </c>
      <c r="I4" s="11" t="str">
        <f t="shared" si="1"/>
        <v>Rent price growth</v>
      </c>
      <c r="J4">
        <f t="shared" si="2"/>
        <v>18.000003</v>
      </c>
    </row>
    <row r="5" spans="1:11" ht="43.5" x14ac:dyDescent="0.35">
      <c r="A5" s="8" t="s">
        <v>80</v>
      </c>
      <c r="B5" s="6">
        <f t="shared" si="0"/>
        <v>12.000005</v>
      </c>
      <c r="C5" s="3" t="s">
        <v>19</v>
      </c>
      <c r="D5" s="3" t="s">
        <v>70</v>
      </c>
      <c r="E5" s="3" t="s">
        <v>20</v>
      </c>
      <c r="F5">
        <v>7</v>
      </c>
      <c r="G5">
        <v>5</v>
      </c>
      <c r="I5" s="11" t="str">
        <f t="shared" si="1"/>
        <v>Vacancy rate</v>
      </c>
      <c r="J5">
        <f t="shared" si="2"/>
        <v>17.00001</v>
      </c>
    </row>
    <row r="6" spans="1:11" ht="29" x14ac:dyDescent="0.35">
      <c r="A6" s="4" t="s">
        <v>21</v>
      </c>
      <c r="B6" s="6">
        <f t="shared" si="0"/>
        <v>18.000005999999999</v>
      </c>
      <c r="C6" s="3" t="s">
        <v>22</v>
      </c>
      <c r="D6" s="3" t="s">
        <v>10</v>
      </c>
      <c r="E6" s="3" t="s">
        <v>23</v>
      </c>
      <c r="F6">
        <v>9</v>
      </c>
      <c r="G6">
        <v>9</v>
      </c>
      <c r="I6" s="11" t="str">
        <f t="shared" si="1"/>
        <v>% Bachelor's degree+</v>
      </c>
      <c r="J6">
        <f t="shared" si="2"/>
        <v>17.000007</v>
      </c>
    </row>
    <row r="7" spans="1:11" ht="30" customHeight="1" x14ac:dyDescent="0.35">
      <c r="A7" s="4" t="s">
        <v>24</v>
      </c>
      <c r="B7" s="6">
        <f t="shared" si="0"/>
        <v>17.000007</v>
      </c>
      <c r="C7" s="3" t="s">
        <v>25</v>
      </c>
      <c r="D7" s="3" t="s">
        <v>10</v>
      </c>
      <c r="E7" s="3" t="s">
        <v>26</v>
      </c>
      <c r="F7">
        <v>8</v>
      </c>
      <c r="G7">
        <v>9</v>
      </c>
      <c r="I7" s="11" t="str">
        <f t="shared" si="1"/>
        <v>Home value growth</v>
      </c>
      <c r="J7">
        <f t="shared" si="2"/>
        <v>17.000004000000001</v>
      </c>
    </row>
    <row r="8" spans="1:11" ht="29" x14ac:dyDescent="0.35">
      <c r="A8" s="4" t="s">
        <v>27</v>
      </c>
      <c r="B8" s="6">
        <f t="shared" si="0"/>
        <v>14.000007999999999</v>
      </c>
      <c r="C8" s="3" t="s">
        <v>28</v>
      </c>
      <c r="D8" s="3" t="s">
        <v>10</v>
      </c>
      <c r="E8" s="3" t="s">
        <v>29</v>
      </c>
      <c r="F8">
        <v>5</v>
      </c>
      <c r="G8">
        <v>9</v>
      </c>
      <c r="I8" s="11" t="str">
        <f>INDEX($A$2:$B$20, MATCH(LARGE($B$2:$B$20, ROW()-1), $B$2:$B$20, 0),1)</f>
        <v>Housing tenure change over time</v>
      </c>
      <c r="J8">
        <f t="shared" si="2"/>
        <v>16.000017</v>
      </c>
    </row>
    <row r="9" spans="1:11" ht="29" x14ac:dyDescent="0.35">
      <c r="A9" s="4" t="s">
        <v>30</v>
      </c>
      <c r="B9" s="6">
        <f t="shared" si="0"/>
        <v>14.000009</v>
      </c>
      <c r="C9" s="3" t="s">
        <v>31</v>
      </c>
      <c r="D9" s="3" t="s">
        <v>10</v>
      </c>
      <c r="E9" s="3" t="s">
        <v>32</v>
      </c>
      <c r="F9">
        <v>6</v>
      </c>
      <c r="G9">
        <v>8</v>
      </c>
      <c r="I9" s="21" t="str">
        <f t="shared" si="1"/>
        <v>311 complaints volume</v>
      </c>
      <c r="J9">
        <f t="shared" si="2"/>
        <v>14.000012</v>
      </c>
    </row>
    <row r="10" spans="1:11" ht="29" x14ac:dyDescent="0.35">
      <c r="A10" s="4" t="s">
        <v>33</v>
      </c>
      <c r="B10" s="6">
        <f t="shared" si="0"/>
        <v>17.00001</v>
      </c>
      <c r="C10" s="3" t="s">
        <v>34</v>
      </c>
      <c r="D10" s="3" t="s">
        <v>10</v>
      </c>
      <c r="E10" s="3" t="s">
        <v>35</v>
      </c>
      <c r="F10">
        <v>8</v>
      </c>
      <c r="G10">
        <v>9</v>
      </c>
      <c r="I10" s="20" t="str">
        <f t="shared" si="1"/>
        <v>% Rent-burdened households</v>
      </c>
      <c r="J10">
        <f t="shared" si="2"/>
        <v>14.000009</v>
      </c>
    </row>
    <row r="11" spans="1:11" ht="58" x14ac:dyDescent="0.35">
      <c r="A11" s="4" t="s">
        <v>36</v>
      </c>
      <c r="B11" s="6">
        <f t="shared" si="0"/>
        <v>12.000011000000001</v>
      </c>
      <c r="C11" s="3" t="s">
        <v>37</v>
      </c>
      <c r="D11" s="3" t="s">
        <v>71</v>
      </c>
      <c r="E11" s="3" t="s">
        <v>38</v>
      </c>
      <c r="F11">
        <v>6</v>
      </c>
      <c r="G11">
        <v>6</v>
      </c>
      <c r="I11" s="17" t="str">
        <f t="shared" si="1"/>
        <v>Owner-occupancy rate</v>
      </c>
      <c r="J11">
        <f t="shared" si="2"/>
        <v>14.000007999999999</v>
      </c>
    </row>
    <row r="12" spans="1:11" ht="40" customHeight="1" x14ac:dyDescent="0.35">
      <c r="A12" s="8" t="s">
        <v>39</v>
      </c>
      <c r="B12" s="6">
        <f t="shared" si="0"/>
        <v>14.000012</v>
      </c>
      <c r="C12" s="3" t="s">
        <v>40</v>
      </c>
      <c r="D12" s="3" t="s">
        <v>72</v>
      </c>
      <c r="E12" s="3" t="s">
        <v>41</v>
      </c>
      <c r="F12">
        <v>9</v>
      </c>
      <c r="G12">
        <v>5</v>
      </c>
      <c r="I12" s="17" t="str">
        <f t="shared" si="1"/>
        <v>Population density change</v>
      </c>
      <c r="J12">
        <f t="shared" si="2"/>
        <v>13.000018000000001</v>
      </c>
    </row>
    <row r="13" spans="1:11" ht="43.5" x14ac:dyDescent="0.35">
      <c r="A13" s="4" t="s">
        <v>42</v>
      </c>
      <c r="B13" s="6">
        <f t="shared" si="0"/>
        <v>9.0000129999999992</v>
      </c>
      <c r="C13" s="3" t="s">
        <v>43</v>
      </c>
      <c r="D13" s="3" t="s">
        <v>73</v>
      </c>
      <c r="E13" s="3" t="s">
        <v>44</v>
      </c>
      <c r="F13">
        <v>7</v>
      </c>
      <c r="G13">
        <v>2</v>
      </c>
      <c r="I13" s="17" t="str">
        <f t="shared" si="1"/>
        <v>Household size</v>
      </c>
      <c r="J13">
        <f t="shared" si="2"/>
        <v>12.000019</v>
      </c>
    </row>
    <row r="14" spans="1:11" ht="42" customHeight="1" x14ac:dyDescent="0.35">
      <c r="A14" s="4" t="s">
        <v>45</v>
      </c>
      <c r="B14" s="6">
        <f t="shared" si="0"/>
        <v>10.000014</v>
      </c>
      <c r="C14" s="3" t="s">
        <v>46</v>
      </c>
      <c r="D14" s="3" t="s">
        <v>74</v>
      </c>
      <c r="E14" s="3" t="s">
        <v>47</v>
      </c>
      <c r="F14">
        <v>6</v>
      </c>
      <c r="G14">
        <v>4</v>
      </c>
      <c r="I14" s="17" t="str">
        <f t="shared" si="1"/>
        <v>Internet access rate</v>
      </c>
      <c r="J14">
        <f t="shared" si="2"/>
        <v>12.000014999999999</v>
      </c>
    </row>
    <row r="15" spans="1:11" ht="29" x14ac:dyDescent="0.35">
      <c r="A15" s="4" t="s">
        <v>48</v>
      </c>
      <c r="B15" s="6">
        <f t="shared" si="0"/>
        <v>12.000014999999999</v>
      </c>
      <c r="C15" s="3" t="s">
        <v>49</v>
      </c>
      <c r="D15" s="3" t="s">
        <v>75</v>
      </c>
      <c r="E15" s="3" t="s">
        <v>50</v>
      </c>
      <c r="F15">
        <v>4</v>
      </c>
      <c r="G15">
        <v>8</v>
      </c>
      <c r="I15" s="17" t="str">
        <f t="shared" si="1"/>
        <v>Crime rate drop</v>
      </c>
      <c r="J15">
        <f t="shared" si="2"/>
        <v>12.000011000000001</v>
      </c>
    </row>
    <row r="16" spans="1:11" ht="60" customHeight="1" x14ac:dyDescent="0.35">
      <c r="A16" s="4" t="s">
        <v>51</v>
      </c>
      <c r="B16" s="6">
        <f t="shared" si="0"/>
        <v>11.000016</v>
      </c>
      <c r="C16" s="3" t="s">
        <v>52</v>
      </c>
      <c r="D16" s="3" t="s">
        <v>76</v>
      </c>
      <c r="E16" s="3" t="s">
        <v>53</v>
      </c>
      <c r="F16">
        <v>7</v>
      </c>
      <c r="G16">
        <v>4</v>
      </c>
      <c r="I16" s="17" t="str">
        <f t="shared" si="1"/>
        <v>Overall Permit volume</v>
      </c>
      <c r="J16">
        <f t="shared" si="2"/>
        <v>12.000005</v>
      </c>
    </row>
    <row r="17" spans="1:10" ht="43" customHeight="1" x14ac:dyDescent="0.35">
      <c r="A17" s="8" t="s">
        <v>56</v>
      </c>
      <c r="B17" s="6">
        <f t="shared" si="0"/>
        <v>16.000017</v>
      </c>
      <c r="C17" s="3" t="s">
        <v>61</v>
      </c>
      <c r="D17" s="3" t="s">
        <v>59</v>
      </c>
      <c r="E17" s="3" t="s">
        <v>64</v>
      </c>
      <c r="F17">
        <v>9</v>
      </c>
      <c r="G17">
        <v>7</v>
      </c>
      <c r="I17" s="17" t="str">
        <f t="shared" si="1"/>
        <v>School rating improvements</v>
      </c>
      <c r="J17">
        <f t="shared" si="2"/>
        <v>11.000016</v>
      </c>
    </row>
    <row r="18" spans="1:10" ht="30.5" customHeight="1" x14ac:dyDescent="0.35">
      <c r="A18" s="8" t="s">
        <v>57</v>
      </c>
      <c r="B18" s="6">
        <f t="shared" si="0"/>
        <v>13.000018000000001</v>
      </c>
      <c r="C18" s="3" t="s">
        <v>62</v>
      </c>
      <c r="D18" s="3" t="s">
        <v>60</v>
      </c>
      <c r="E18" s="3" t="s">
        <v>65</v>
      </c>
      <c r="F18">
        <v>6</v>
      </c>
      <c r="G18">
        <v>7</v>
      </c>
      <c r="I18" s="17" t="str">
        <f t="shared" si="1"/>
        <v>Small business permits</v>
      </c>
      <c r="J18">
        <f t="shared" si="2"/>
        <v>10.000014</v>
      </c>
    </row>
    <row r="19" spans="1:10" ht="46.5" customHeight="1" x14ac:dyDescent="0.35">
      <c r="A19" s="8" t="s">
        <v>58</v>
      </c>
      <c r="B19" s="6">
        <f t="shared" si="0"/>
        <v>12.000019</v>
      </c>
      <c r="C19" s="3" t="s">
        <v>63</v>
      </c>
      <c r="D19" s="3" t="s">
        <v>59</v>
      </c>
      <c r="E19" s="1" t="s">
        <v>66</v>
      </c>
      <c r="F19">
        <v>3</v>
      </c>
      <c r="G19">
        <v>9</v>
      </c>
      <c r="I19" s="17" t="str">
        <f t="shared" si="1"/>
        <v>Transit access improvements</v>
      </c>
      <c r="J19">
        <f t="shared" si="2"/>
        <v>9.0000129999999992</v>
      </c>
    </row>
    <row r="20" spans="1:10" ht="31.5" customHeight="1" x14ac:dyDescent="0.35">
      <c r="A20" s="9"/>
    </row>
    <row r="21" spans="1:10" x14ac:dyDescent="0.35">
      <c r="A21" s="9"/>
    </row>
  </sheetData>
  <phoneticPr fontId="2" type="noConversion"/>
  <pageMargins left="0.7" right="0.7" top="0.75" bottom="0.75" header="0.3" footer="0.3"/>
  <pageSetup orientation="portrait" horizontalDpi="360" verticalDpi="36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177FC-7EC4-40B8-892C-AE96055A6E9E}">
  <sheetPr codeName="Sheet3"/>
  <dimension ref="A1:D9"/>
  <sheetViews>
    <sheetView workbookViewId="0">
      <selection activeCell="C5" sqref="C5"/>
    </sheetView>
  </sheetViews>
  <sheetFormatPr defaultRowHeight="14.5" x14ac:dyDescent="0.35"/>
  <cols>
    <col min="1" max="1" width="27.54296875" customWidth="1"/>
    <col min="2" max="2" width="11.54296875" customWidth="1"/>
  </cols>
  <sheetData>
    <row r="1" spans="1:4" x14ac:dyDescent="0.35">
      <c r="A1" t="s">
        <v>125</v>
      </c>
      <c r="B1" t="s">
        <v>127</v>
      </c>
      <c r="C1" t="s">
        <v>126</v>
      </c>
    </row>
    <row r="2" spans="1:4" x14ac:dyDescent="0.35">
      <c r="A2" t="str">
        <f>'Indicator ranking'!I2</f>
        <v>Median income growth</v>
      </c>
      <c r="B2" t="s">
        <v>128</v>
      </c>
      <c r="C2" t="s">
        <v>128</v>
      </c>
    </row>
    <row r="3" spans="1:4" x14ac:dyDescent="0.35">
      <c r="A3" t="str">
        <f>'Indicator ranking'!I3</f>
        <v>Demographic shift (% White)</v>
      </c>
      <c r="B3" t="s">
        <v>128</v>
      </c>
      <c r="C3" t="s">
        <v>128</v>
      </c>
    </row>
    <row r="4" spans="1:4" x14ac:dyDescent="0.35">
      <c r="A4" t="str">
        <f>'Indicator ranking'!I4</f>
        <v>Rent price growth</v>
      </c>
      <c r="B4" t="s">
        <v>128</v>
      </c>
      <c r="C4" t="s">
        <v>128</v>
      </c>
    </row>
    <row r="5" spans="1:4" x14ac:dyDescent="0.35">
      <c r="A5" t="str">
        <f>'Indicator ranking'!I5</f>
        <v>Vacancy rate</v>
      </c>
      <c r="B5" t="s">
        <v>129</v>
      </c>
      <c r="C5" t="s">
        <v>129</v>
      </c>
    </row>
    <row r="6" spans="1:4" x14ac:dyDescent="0.35">
      <c r="A6" t="str">
        <f>'Indicator ranking'!I6</f>
        <v>% Bachelor's degree+</v>
      </c>
      <c r="B6" t="s">
        <v>128</v>
      </c>
      <c r="C6" t="s">
        <v>128</v>
      </c>
    </row>
    <row r="7" spans="1:4" x14ac:dyDescent="0.35">
      <c r="A7" t="str">
        <f>'Indicator ranking'!I7</f>
        <v>Home value growth</v>
      </c>
      <c r="B7" t="s">
        <v>128</v>
      </c>
      <c r="C7" t="s">
        <v>128</v>
      </c>
    </row>
    <row r="8" spans="1:4" x14ac:dyDescent="0.35">
      <c r="A8" t="str">
        <f>'Indicator ranking'!I8</f>
        <v>Housing tenure change over time</v>
      </c>
      <c r="B8" t="s">
        <v>128</v>
      </c>
      <c r="C8" t="s">
        <v>128</v>
      </c>
    </row>
    <row r="9" spans="1:4" x14ac:dyDescent="0.35">
      <c r="A9" t="str">
        <f>'Indicator ranking'!I9</f>
        <v>311 complaints volume</v>
      </c>
      <c r="B9" t="s">
        <v>128</v>
      </c>
      <c r="C9" t="s">
        <v>128</v>
      </c>
      <c r="D9" t="s">
        <v>144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2195-93A4-4750-994F-2BF656FF0A03}">
  <sheetPr codeName="Sheet4"/>
  <dimension ref="A1:K309"/>
  <sheetViews>
    <sheetView topLeftCell="A123" workbookViewId="0">
      <selection activeCell="L134" sqref="L134"/>
    </sheetView>
  </sheetViews>
  <sheetFormatPr defaultRowHeight="14.5" x14ac:dyDescent="0.35"/>
  <sheetData>
    <row r="1" spans="1:11" s="23" customFormat="1" x14ac:dyDescent="0.35">
      <c r="A1" s="23" t="s">
        <v>174</v>
      </c>
      <c r="B1" s="23" t="s">
        <v>173</v>
      </c>
      <c r="C1" s="23" t="s">
        <v>172</v>
      </c>
      <c r="D1" s="23" t="s">
        <v>171</v>
      </c>
      <c r="E1" s="23" t="s">
        <v>170</v>
      </c>
      <c r="F1" s="23" t="s">
        <v>169</v>
      </c>
      <c r="G1" s="23" t="s">
        <v>168</v>
      </c>
      <c r="H1" s="23" t="s">
        <v>167</v>
      </c>
      <c r="J1" s="23" t="s">
        <v>196</v>
      </c>
      <c r="K1" s="23" t="s">
        <v>197</v>
      </c>
    </row>
    <row r="2" spans="1:11" x14ac:dyDescent="0.35">
      <c r="A2">
        <v>18097310103</v>
      </c>
      <c r="B2">
        <v>1.2986157305133419</v>
      </c>
      <c r="C2">
        <v>-0.2142997126438119</v>
      </c>
      <c r="D2">
        <v>3.09029345999065</v>
      </c>
      <c r="E2">
        <v>7.3241066310434449E-2</v>
      </c>
      <c r="F2">
        <v>1.2905590335893751</v>
      </c>
      <c r="J2">
        <f t="shared" ref="J2:J66" si="0">SUM(B2:H2)</f>
        <v>5.5384095777599898</v>
      </c>
      <c r="K2">
        <f>IF(B2=0,0,1)+IF(C2=0,0,1)+IF(D2=0,0,1)+IF(E2=0,0,1)+IF(F2=0,0,1)+IF(G2=0,0,1)+IF(H2=0,0,1)</f>
        <v>5</v>
      </c>
    </row>
    <row r="3" spans="1:11" x14ac:dyDescent="0.35">
      <c r="A3">
        <v>18097310104</v>
      </c>
      <c r="B3">
        <v>1.1445219629560071</v>
      </c>
      <c r="C3">
        <v>-0.75470435694844762</v>
      </c>
      <c r="D3">
        <v>0.117183063852228</v>
      </c>
      <c r="E3">
        <v>0.55860461831374109</v>
      </c>
      <c r="F3">
        <v>-9.8065636616883126E-2</v>
      </c>
      <c r="G3">
        <v>0.23604949089386751</v>
      </c>
      <c r="H3">
        <v>0.97193231133569558</v>
      </c>
      <c r="J3">
        <f t="shared" si="0"/>
        <v>2.1755214537862084</v>
      </c>
      <c r="K3">
        <f>IF(B3=0,0,1)+IF(C3=0,0,1)+IF(D3=0,0,1)+IF(E3=0,0,1)+IF(F3=0,0,1)+IF(G3=0,0,1)+IF(H3=0,0,1)</f>
        <v>7</v>
      </c>
    </row>
    <row r="4" spans="1:11" x14ac:dyDescent="0.35">
      <c r="A4">
        <v>18097310105</v>
      </c>
      <c r="B4">
        <v>0.62906945227209554</v>
      </c>
      <c r="C4">
        <v>1.386443263317682</v>
      </c>
      <c r="D4">
        <v>-0.21738193850019799</v>
      </c>
      <c r="E4">
        <v>-0.53134967693618096</v>
      </c>
      <c r="F4">
        <v>0.96888776428704559</v>
      </c>
      <c r="G4">
        <v>1.0968676581980159</v>
      </c>
      <c r="H4">
        <v>0.97193231133569558</v>
      </c>
      <c r="J4">
        <f t="shared" si="0"/>
        <v>4.3044688339741555</v>
      </c>
      <c r="K4">
        <f t="shared" ref="K3:K66" si="1">IF(B4=0,0,1)+IF(C4=0,0,1)+IF(D4=0,0,1)+IF(E4=0,0,1)+IF(F4=0,0,1)+IF(G4=0,0,1)+IF(H4=0,0,1)</f>
        <v>7</v>
      </c>
    </row>
    <row r="5" spans="1:11" x14ac:dyDescent="0.35">
      <c r="A5">
        <v>18097310106</v>
      </c>
      <c r="B5">
        <v>0.4820856319174554</v>
      </c>
      <c r="C5">
        <v>-0.60868335319510014</v>
      </c>
      <c r="D5">
        <v>-0.20020450845908799</v>
      </c>
      <c r="E5">
        <v>-0.66782024556619191</v>
      </c>
      <c r="F5">
        <v>1.0906924043248321</v>
      </c>
      <c r="G5">
        <v>0.32683620477773617</v>
      </c>
      <c r="H5">
        <v>0.87477912533881785</v>
      </c>
      <c r="J5">
        <f t="shared" si="0"/>
        <v>1.2976852591384613</v>
      </c>
      <c r="K5">
        <f t="shared" si="1"/>
        <v>7</v>
      </c>
    </row>
    <row r="6" spans="1:11" x14ac:dyDescent="0.35">
      <c r="A6">
        <v>18097310108</v>
      </c>
      <c r="B6">
        <v>1.924947224189872</v>
      </c>
      <c r="C6">
        <v>-0.1070417190579073</v>
      </c>
      <c r="D6">
        <v>2.072251020945012</v>
      </c>
      <c r="E6">
        <v>0.61760641928202842</v>
      </c>
      <c r="F6">
        <v>1.0005912434975981</v>
      </c>
      <c r="G6">
        <v>0.32783889236829677</v>
      </c>
      <c r="H6">
        <v>1.3394234912806779</v>
      </c>
      <c r="J6">
        <f t="shared" si="0"/>
        <v>7.1756165725055769</v>
      </c>
      <c r="K6">
        <f t="shared" si="1"/>
        <v>7</v>
      </c>
    </row>
    <row r="7" spans="1:11" x14ac:dyDescent="0.35">
      <c r="A7">
        <v>18097310110</v>
      </c>
      <c r="B7">
        <v>0.8348846122390593</v>
      </c>
      <c r="C7">
        <v>-0.36357193580323588</v>
      </c>
      <c r="D7">
        <v>-0.17371441040718441</v>
      </c>
      <c r="E7">
        <v>-0.43967463170061483</v>
      </c>
      <c r="F7">
        <v>0.44457286025501352</v>
      </c>
      <c r="G7">
        <v>-0.21373504600337651</v>
      </c>
      <c r="H7">
        <v>0.68449806670121471</v>
      </c>
      <c r="J7">
        <f t="shared" si="0"/>
        <v>0.77325951528087589</v>
      </c>
      <c r="K7">
        <f t="shared" si="1"/>
        <v>7</v>
      </c>
    </row>
    <row r="8" spans="1:11" x14ac:dyDescent="0.35">
      <c r="A8">
        <v>18097310111</v>
      </c>
      <c r="B8">
        <v>0.15894422957594601</v>
      </c>
      <c r="C8">
        <v>-0.4627559389965441</v>
      </c>
      <c r="D8">
        <v>-0.44565747910399262</v>
      </c>
      <c r="E8">
        <v>-0.65929091203247336</v>
      </c>
      <c r="F8">
        <v>0.38326813295519369</v>
      </c>
      <c r="G8">
        <v>-0.21373504600337651</v>
      </c>
      <c r="H8">
        <v>0.68449806670121471</v>
      </c>
      <c r="J8">
        <f t="shared" si="0"/>
        <v>-0.55472894690403207</v>
      </c>
      <c r="K8">
        <f t="shared" si="1"/>
        <v>7</v>
      </c>
    </row>
    <row r="9" spans="1:11" x14ac:dyDescent="0.35">
      <c r="A9">
        <v>18097310112</v>
      </c>
      <c r="B9">
        <v>1.6540706863266419</v>
      </c>
      <c r="C9">
        <v>-0.70165692050912543</v>
      </c>
      <c r="D9">
        <v>2.6800424632042139</v>
      </c>
      <c r="E9">
        <v>0.392018050954485</v>
      </c>
      <c r="F9">
        <v>0.93813133810419003</v>
      </c>
      <c r="G9">
        <v>2.666004563136898</v>
      </c>
      <c r="J9">
        <f>SUM(B9:H9)</f>
        <v>7.6286101812173035</v>
      </c>
      <c r="K9">
        <f t="shared" si="1"/>
        <v>6</v>
      </c>
    </row>
    <row r="10" spans="1:11" x14ac:dyDescent="0.35">
      <c r="A10">
        <v>18097310113</v>
      </c>
      <c r="B10">
        <v>1.8024895493622051</v>
      </c>
      <c r="D10">
        <v>4.2650717214228928</v>
      </c>
      <c r="E10">
        <v>0.68790474524588108</v>
      </c>
      <c r="F10">
        <v>1.2905590335893751</v>
      </c>
      <c r="G10">
        <v>2.664786954843311</v>
      </c>
      <c r="H10">
        <v>1.8016276961293229</v>
      </c>
      <c r="J10">
        <f t="shared" si="0"/>
        <v>12.512439700592989</v>
      </c>
      <c r="K10">
        <f t="shared" si="1"/>
        <v>6</v>
      </c>
    </row>
    <row r="11" spans="1:11" x14ac:dyDescent="0.35">
      <c r="A11">
        <v>18097310201</v>
      </c>
      <c r="B11">
        <v>0.26174644560299037</v>
      </c>
      <c r="C11">
        <v>0.17543543083605029</v>
      </c>
      <c r="D11">
        <v>0.1262982901384109</v>
      </c>
      <c r="E11">
        <v>-0.84386274065942557</v>
      </c>
      <c r="F11">
        <v>0.50007024271939005</v>
      </c>
      <c r="G11">
        <v>0.23604949089386751</v>
      </c>
      <c r="H11">
        <v>0.97193231133569558</v>
      </c>
      <c r="J11">
        <f t="shared" si="0"/>
        <v>1.427669470866979</v>
      </c>
      <c r="K11">
        <f t="shared" si="1"/>
        <v>7</v>
      </c>
    </row>
    <row r="12" spans="1:11" x14ac:dyDescent="0.35">
      <c r="A12">
        <v>18097310203</v>
      </c>
      <c r="B12">
        <v>3.3697803235271259E-2</v>
      </c>
      <c r="C12">
        <v>1.1075493129779681</v>
      </c>
      <c r="D12">
        <v>-0.26095074573090637</v>
      </c>
      <c r="E12">
        <v>-0.878519065945777</v>
      </c>
      <c r="F12">
        <v>0.54555569822469407</v>
      </c>
      <c r="G12">
        <v>0.99509438074532064</v>
      </c>
      <c r="H12">
        <v>0.97193231133569558</v>
      </c>
      <c r="J12">
        <f t="shared" si="0"/>
        <v>2.5143596948422662</v>
      </c>
      <c r="K12">
        <f t="shared" si="1"/>
        <v>7</v>
      </c>
    </row>
    <row r="13" spans="1:11" x14ac:dyDescent="0.35">
      <c r="A13">
        <v>18097310204</v>
      </c>
      <c r="B13">
        <v>2.0704593676141001E-2</v>
      </c>
      <c r="C13">
        <v>0.96017340242336879</v>
      </c>
      <c r="D13">
        <v>0.86295336466004058</v>
      </c>
      <c r="E13">
        <v>-1.611928102118459</v>
      </c>
      <c r="F13">
        <v>0.88454301728383999</v>
      </c>
      <c r="G13">
        <v>0.25615193530638541</v>
      </c>
      <c r="H13">
        <v>0.95042017109566479</v>
      </c>
      <c r="J13">
        <f t="shared" si="0"/>
        <v>2.3230183823269819</v>
      </c>
      <c r="K13">
        <f t="shared" si="1"/>
        <v>7</v>
      </c>
    </row>
    <row r="14" spans="1:11" x14ac:dyDescent="0.35">
      <c r="A14">
        <v>18097310305</v>
      </c>
      <c r="B14">
        <v>-0.5447675284277671</v>
      </c>
      <c r="C14">
        <v>-0.41602825249985742</v>
      </c>
      <c r="D14">
        <v>-0.66185616755244736</v>
      </c>
      <c r="E14">
        <v>-1.8015611821575861</v>
      </c>
      <c r="F14">
        <v>0.4378031919774043</v>
      </c>
      <c r="G14">
        <v>-0.21373504600337609</v>
      </c>
      <c r="H14">
        <v>0.68449806670121471</v>
      </c>
      <c r="J14">
        <f t="shared" si="0"/>
        <v>-2.5156469179624148</v>
      </c>
      <c r="K14">
        <f t="shared" si="1"/>
        <v>7</v>
      </c>
    </row>
    <row r="15" spans="1:11" x14ac:dyDescent="0.35">
      <c r="A15">
        <v>18097310306</v>
      </c>
      <c r="B15">
        <v>-0.63013767075939719</v>
      </c>
      <c r="C15">
        <v>-0.73868899405658695</v>
      </c>
      <c r="D15">
        <v>-0.3764870615821278</v>
      </c>
      <c r="E15">
        <v>-1.9412737772446349</v>
      </c>
      <c r="F15">
        <v>0.61213298523899495</v>
      </c>
      <c r="G15">
        <v>-0.21373504600337651</v>
      </c>
      <c r="H15">
        <v>0.68449806670121471</v>
      </c>
      <c r="J15">
        <f t="shared" si="0"/>
        <v>-2.6036914977059138</v>
      </c>
      <c r="K15">
        <f t="shared" si="1"/>
        <v>7</v>
      </c>
    </row>
    <row r="16" spans="1:11" x14ac:dyDescent="0.35">
      <c r="A16">
        <v>18097310308</v>
      </c>
      <c r="B16">
        <v>0.32930064855122432</v>
      </c>
      <c r="C16">
        <v>-0.29174372473040111</v>
      </c>
      <c r="D16">
        <v>2.0436618793102119E-2</v>
      </c>
      <c r="E16">
        <v>-1.1816619251309051</v>
      </c>
      <c r="F16">
        <v>1.0455262195160939</v>
      </c>
      <c r="G16">
        <v>0.30908846320283112</v>
      </c>
      <c r="H16">
        <v>-2.8562046718523688</v>
      </c>
      <c r="J16">
        <f t="shared" si="0"/>
        <v>-2.6252583716504234</v>
      </c>
      <c r="K16">
        <f t="shared" si="1"/>
        <v>7</v>
      </c>
    </row>
    <row r="17" spans="1:11" x14ac:dyDescent="0.35">
      <c r="A17">
        <v>18097310309</v>
      </c>
      <c r="B17">
        <v>-0.45506135147598098</v>
      </c>
      <c r="C17">
        <v>-0.64277498195130855</v>
      </c>
      <c r="D17">
        <v>-0.80789722985598489</v>
      </c>
      <c r="E17">
        <v>-1.134876789451746</v>
      </c>
      <c r="F17">
        <v>-0.28541439237105398</v>
      </c>
      <c r="G17">
        <v>-0.21373504600337651</v>
      </c>
      <c r="H17">
        <v>0.68449806670121471</v>
      </c>
      <c r="J17">
        <f t="shared" si="0"/>
        <v>-2.8552617244082361</v>
      </c>
      <c r="K17">
        <f t="shared" si="1"/>
        <v>7</v>
      </c>
    </row>
    <row r="18" spans="1:11" x14ac:dyDescent="0.35">
      <c r="A18">
        <v>18097310310</v>
      </c>
      <c r="B18">
        <v>-0.17549819746304191</v>
      </c>
      <c r="C18">
        <v>0.90651292185306243</v>
      </c>
      <c r="D18">
        <v>0.33690279638956921</v>
      </c>
      <c r="E18">
        <v>-1.128693742043982</v>
      </c>
      <c r="F18">
        <v>1.2905590335893751</v>
      </c>
      <c r="G18">
        <v>-0.21373504600337651</v>
      </c>
      <c r="H18">
        <v>0.68449806670121471</v>
      </c>
      <c r="J18">
        <f t="shared" si="0"/>
        <v>1.7005458330228209</v>
      </c>
      <c r="K18">
        <f t="shared" si="1"/>
        <v>7</v>
      </c>
    </row>
    <row r="19" spans="1:11" x14ac:dyDescent="0.35">
      <c r="A19">
        <v>18097310311</v>
      </c>
      <c r="B19">
        <v>0.54378413714930784</v>
      </c>
      <c r="C19">
        <v>-1.3826621544700171</v>
      </c>
      <c r="D19">
        <v>0.97546224073390164</v>
      </c>
      <c r="E19">
        <v>-1.309596653690372</v>
      </c>
      <c r="F19">
        <v>0.88335767085121186</v>
      </c>
      <c r="G19">
        <v>0.420406043001193</v>
      </c>
      <c r="H19">
        <v>-3.6100775423352509</v>
      </c>
      <c r="J19">
        <f t="shared" si="0"/>
        <v>-3.4793262587600258</v>
      </c>
      <c r="K19">
        <f t="shared" si="1"/>
        <v>7</v>
      </c>
    </row>
    <row r="20" spans="1:11" x14ac:dyDescent="0.35">
      <c r="A20">
        <v>18097310312</v>
      </c>
      <c r="B20">
        <v>-0.1507152991292979</v>
      </c>
      <c r="C20">
        <v>0.6612420982552244</v>
      </c>
      <c r="D20">
        <v>-0.35302440330758472</v>
      </c>
      <c r="E20">
        <v>-1.5670108952752999</v>
      </c>
      <c r="F20">
        <v>1.0817383736419051</v>
      </c>
      <c r="G20">
        <v>-0.21373504600337651</v>
      </c>
      <c r="H20">
        <v>0.68449806670121471</v>
      </c>
      <c r="J20">
        <f t="shared" si="0"/>
        <v>0.1429928948827851</v>
      </c>
      <c r="K20">
        <f t="shared" si="1"/>
        <v>7</v>
      </c>
    </row>
    <row r="21" spans="1:11" x14ac:dyDescent="0.35">
      <c r="A21">
        <v>18097320105</v>
      </c>
      <c r="B21">
        <v>1.0516066457998801</v>
      </c>
      <c r="C21">
        <v>-1.040357315922946</v>
      </c>
      <c r="D21">
        <v>0.55705031933023319</v>
      </c>
      <c r="E21">
        <v>-5.236883262290605E-2</v>
      </c>
      <c r="F21">
        <v>0.75872616963382733</v>
      </c>
      <c r="G21">
        <v>1.0468029746745611</v>
      </c>
      <c r="H21">
        <v>0.1043242590372187</v>
      </c>
      <c r="J21">
        <f t="shared" si="0"/>
        <v>2.4257842199298687</v>
      </c>
      <c r="K21">
        <f t="shared" si="1"/>
        <v>7</v>
      </c>
    </row>
    <row r="22" spans="1:11" x14ac:dyDescent="0.35">
      <c r="A22">
        <v>18097320106</v>
      </c>
      <c r="B22">
        <v>0.32710064069130967</v>
      </c>
      <c r="C22">
        <v>-0.56836153951700141</v>
      </c>
      <c r="D22">
        <v>0.17177570070702039</v>
      </c>
      <c r="E22">
        <v>-0.37987446967304911</v>
      </c>
      <c r="F22">
        <v>0.68375943367253866</v>
      </c>
      <c r="G22">
        <v>1.0468029746745611</v>
      </c>
      <c r="H22">
        <v>0.1043242590372187</v>
      </c>
      <c r="J22">
        <f t="shared" si="0"/>
        <v>1.3855269995925978</v>
      </c>
      <c r="K22">
        <f t="shared" si="1"/>
        <v>7</v>
      </c>
    </row>
    <row r="23" spans="1:11" x14ac:dyDescent="0.35">
      <c r="A23">
        <v>18097320107</v>
      </c>
      <c r="B23">
        <v>1.6139466678144381</v>
      </c>
      <c r="C23">
        <v>-2.0203321682224402</v>
      </c>
      <c r="D23">
        <v>1.7363039265203131</v>
      </c>
      <c r="E23">
        <v>1.4884761775082169</v>
      </c>
      <c r="F23">
        <v>0.86470890154477642</v>
      </c>
      <c r="G23">
        <v>1.0468029746745611</v>
      </c>
      <c r="H23">
        <v>0.1043242590372187</v>
      </c>
      <c r="J23">
        <f t="shared" si="0"/>
        <v>4.8342307388770838</v>
      </c>
      <c r="K23">
        <f t="shared" si="1"/>
        <v>7</v>
      </c>
    </row>
    <row r="24" spans="1:11" x14ac:dyDescent="0.35">
      <c r="A24">
        <v>18097320108</v>
      </c>
      <c r="B24">
        <v>7.3712795554909801E-3</v>
      </c>
      <c r="C24">
        <v>0.47833498707560101</v>
      </c>
      <c r="D24">
        <v>-0.61937328980709649</v>
      </c>
      <c r="E24">
        <v>-0.4281290886638271</v>
      </c>
      <c r="F24">
        <v>-0.35118981866776999</v>
      </c>
      <c r="G24">
        <v>1.0468029746745611</v>
      </c>
      <c r="H24">
        <v>0.1043242590372187</v>
      </c>
      <c r="J24">
        <f t="shared" si="0"/>
        <v>0.2381413032041782</v>
      </c>
      <c r="K24">
        <f t="shared" si="1"/>
        <v>7</v>
      </c>
    </row>
    <row r="25" spans="1:11" x14ac:dyDescent="0.35">
      <c r="A25">
        <v>18097320109</v>
      </c>
      <c r="B25">
        <v>1.4127407663812901</v>
      </c>
      <c r="C25">
        <v>-1.903059325681111</v>
      </c>
      <c r="D25">
        <v>0.26941063352689332</v>
      </c>
      <c r="E25">
        <v>1.04678179602989</v>
      </c>
      <c r="F25">
        <v>1.0666711831670881</v>
      </c>
      <c r="G25">
        <v>1.0468029746745611</v>
      </c>
      <c r="H25">
        <v>0.1043242590372187</v>
      </c>
      <c r="J25">
        <f t="shared" si="0"/>
        <v>3.0436722871358302</v>
      </c>
      <c r="K25">
        <f t="shared" si="1"/>
        <v>7</v>
      </c>
    </row>
    <row r="26" spans="1:11" x14ac:dyDescent="0.35">
      <c r="A26">
        <v>18097320202</v>
      </c>
      <c r="B26">
        <v>1.906123561599872</v>
      </c>
      <c r="C26">
        <v>0.55917993513238717</v>
      </c>
      <c r="D26">
        <v>0.92136320819063522</v>
      </c>
      <c r="E26">
        <v>1.1999305856823479</v>
      </c>
      <c r="F26">
        <v>-0.37552778343629423</v>
      </c>
      <c r="G26">
        <v>1.6087216983872541</v>
      </c>
      <c r="H26">
        <v>0.34892577814529002</v>
      </c>
      <c r="J26">
        <f t="shared" si="0"/>
        <v>6.1687169837014917</v>
      </c>
      <c r="K26">
        <f t="shared" si="1"/>
        <v>7</v>
      </c>
    </row>
    <row r="27" spans="1:11" x14ac:dyDescent="0.35">
      <c r="A27">
        <v>18097320203</v>
      </c>
      <c r="B27">
        <v>0.74505548267482591</v>
      </c>
      <c r="C27">
        <v>-4.6387168198147302E-3</v>
      </c>
      <c r="D27">
        <v>-0.44638143209423098</v>
      </c>
      <c r="E27">
        <v>0.79774272027196147</v>
      </c>
      <c r="F27">
        <v>0.3726353699465898</v>
      </c>
      <c r="J27">
        <f t="shared" si="0"/>
        <v>1.4644134239793314</v>
      </c>
      <c r="K27">
        <f t="shared" si="1"/>
        <v>5</v>
      </c>
    </row>
    <row r="28" spans="1:11" x14ac:dyDescent="0.35">
      <c r="A28">
        <v>18097320204</v>
      </c>
      <c r="B28">
        <v>0.59464969173657656</v>
      </c>
      <c r="C28">
        <v>-0.83725951807861276</v>
      </c>
      <c r="D28">
        <v>-0.62598758758154693</v>
      </c>
      <c r="E28">
        <v>5.4230107665566477E-2</v>
      </c>
      <c r="F28">
        <v>-0.52672255278033853</v>
      </c>
      <c r="J28">
        <f t="shared" si="0"/>
        <v>-1.3410898590383553</v>
      </c>
      <c r="K28">
        <f t="shared" si="1"/>
        <v>5</v>
      </c>
    </row>
    <row r="29" spans="1:11" x14ac:dyDescent="0.35">
      <c r="A29">
        <v>18097320205</v>
      </c>
      <c r="B29">
        <v>1.62547933141356</v>
      </c>
      <c r="C29">
        <v>-1.1968966713629161</v>
      </c>
      <c r="D29">
        <v>8.5032969694824587E-2</v>
      </c>
      <c r="E29">
        <v>0.8300825250877002</v>
      </c>
      <c r="F29">
        <v>-1.2671511344873141</v>
      </c>
      <c r="J29">
        <f t="shared" si="0"/>
        <v>7.6547020345854699E-2</v>
      </c>
      <c r="K29">
        <f t="shared" si="1"/>
        <v>5</v>
      </c>
    </row>
    <row r="30" spans="1:11" x14ac:dyDescent="0.35">
      <c r="A30">
        <v>18097320206</v>
      </c>
      <c r="B30">
        <v>-0.21569768654719459</v>
      </c>
      <c r="C30">
        <v>0.2354107383421499</v>
      </c>
      <c r="D30">
        <v>-0.82425198604455141</v>
      </c>
      <c r="E30">
        <v>-0.5307165895601923</v>
      </c>
      <c r="F30">
        <v>-2.3244609283008111</v>
      </c>
      <c r="G30">
        <v>1.225595982378217</v>
      </c>
      <c r="J30">
        <f t="shared" si="0"/>
        <v>-2.4341204697323828</v>
      </c>
      <c r="K30">
        <f t="shared" si="1"/>
        <v>6</v>
      </c>
    </row>
    <row r="31" spans="1:11" x14ac:dyDescent="0.35">
      <c r="A31">
        <v>18097320301</v>
      </c>
      <c r="B31">
        <v>1.5271166580583559</v>
      </c>
      <c r="C31">
        <v>-0.25493717113234449</v>
      </c>
      <c r="D31">
        <v>0.5276315023632745</v>
      </c>
      <c r="E31">
        <v>1.4957661188223761</v>
      </c>
      <c r="F31">
        <v>0.95239052430909354</v>
      </c>
      <c r="G31">
        <v>1.6087216983872541</v>
      </c>
      <c r="H31">
        <v>0.34892577814529002</v>
      </c>
      <c r="J31">
        <f t="shared" si="0"/>
        <v>6.2056151089532996</v>
      </c>
      <c r="K31">
        <f t="shared" si="1"/>
        <v>7</v>
      </c>
    </row>
    <row r="32" spans="1:11" x14ac:dyDescent="0.35">
      <c r="A32">
        <v>18097320303</v>
      </c>
      <c r="B32">
        <v>0.33406199540047271</v>
      </c>
      <c r="C32">
        <v>-0.1728224940393184</v>
      </c>
      <c r="D32">
        <v>-0.27062539023681897</v>
      </c>
      <c r="E32">
        <v>-0.45351409177688728</v>
      </c>
      <c r="F32">
        <v>0.37819928666427399</v>
      </c>
      <c r="J32">
        <f t="shared" si="0"/>
        <v>-0.18470069398827799</v>
      </c>
      <c r="K32">
        <f t="shared" si="1"/>
        <v>5</v>
      </c>
    </row>
    <row r="33" spans="1:11" x14ac:dyDescent="0.35">
      <c r="A33">
        <v>18097320304</v>
      </c>
      <c r="B33">
        <v>1.8050457476652479</v>
      </c>
      <c r="C33">
        <v>-1.4475644721598899</v>
      </c>
      <c r="D33">
        <v>1.5868734479442961</v>
      </c>
      <c r="E33">
        <v>1.055926921486624</v>
      </c>
      <c r="F33">
        <v>1.2905590335893751</v>
      </c>
      <c r="J33">
        <f t="shared" si="0"/>
        <v>4.2908406785256528</v>
      </c>
      <c r="K33">
        <f t="shared" si="1"/>
        <v>5</v>
      </c>
    </row>
    <row r="34" spans="1:11" x14ac:dyDescent="0.35">
      <c r="A34">
        <v>18097320305</v>
      </c>
      <c r="B34">
        <v>1.613420560267248</v>
      </c>
      <c r="C34">
        <v>0.4194815792960509</v>
      </c>
      <c r="D34">
        <v>2.0633003294293379</v>
      </c>
      <c r="E34">
        <v>1.1934515423030341</v>
      </c>
      <c r="F34">
        <v>1.2905590335893751</v>
      </c>
      <c r="G34">
        <v>1.6087216983872541</v>
      </c>
      <c r="H34">
        <v>0.34892577814529002</v>
      </c>
      <c r="J34">
        <f t="shared" si="0"/>
        <v>8.5378605214175902</v>
      </c>
      <c r="K34">
        <f t="shared" si="1"/>
        <v>7</v>
      </c>
    </row>
    <row r="35" spans="1:11" x14ac:dyDescent="0.35">
      <c r="A35">
        <v>18097320306</v>
      </c>
      <c r="B35">
        <v>1.836196724665178</v>
      </c>
      <c r="C35">
        <v>-0.38118468108992343</v>
      </c>
      <c r="D35">
        <v>0.1756258143369244</v>
      </c>
      <c r="E35">
        <v>0.99549428005217522</v>
      </c>
      <c r="F35">
        <v>0.97671776727950566</v>
      </c>
      <c r="G35">
        <v>1.608721698387253</v>
      </c>
      <c r="H35">
        <v>0.34892577814529002</v>
      </c>
      <c r="J35">
        <f t="shared" si="0"/>
        <v>5.5604973817764023</v>
      </c>
      <c r="K35">
        <f t="shared" si="1"/>
        <v>7</v>
      </c>
    </row>
    <row r="36" spans="1:11" x14ac:dyDescent="0.35">
      <c r="A36">
        <v>18097320400</v>
      </c>
      <c r="B36">
        <v>1.2500435807908481</v>
      </c>
      <c r="C36">
        <v>0.47466490489795837</v>
      </c>
      <c r="D36">
        <v>0.25911075689304758</v>
      </c>
      <c r="E36">
        <v>0.43120722933879468</v>
      </c>
      <c r="F36">
        <v>0.12385009213299709</v>
      </c>
      <c r="G36">
        <v>1.6087216983872541</v>
      </c>
      <c r="H36">
        <v>0.34892577814529002</v>
      </c>
      <c r="J36">
        <f t="shared" si="0"/>
        <v>4.4965240405861895</v>
      </c>
      <c r="K36">
        <f t="shared" si="1"/>
        <v>7</v>
      </c>
    </row>
    <row r="37" spans="1:11" x14ac:dyDescent="0.35">
      <c r="A37">
        <v>18097320500</v>
      </c>
      <c r="B37">
        <v>1.4244529966089581</v>
      </c>
      <c r="C37">
        <v>1.1427835792483421</v>
      </c>
      <c r="D37">
        <v>0.16387803172260201</v>
      </c>
      <c r="E37">
        <v>0.63226602596075188</v>
      </c>
      <c r="F37">
        <v>0.30163736244160427</v>
      </c>
      <c r="G37">
        <v>1.6087216983872541</v>
      </c>
      <c r="H37">
        <v>0.34892577814529002</v>
      </c>
      <c r="J37">
        <f t="shared" si="0"/>
        <v>5.622665472514802</v>
      </c>
      <c r="K37">
        <f t="shared" si="1"/>
        <v>7</v>
      </c>
    </row>
    <row r="38" spans="1:11" x14ac:dyDescent="0.35">
      <c r="A38">
        <v>18097320600</v>
      </c>
      <c r="B38">
        <v>0.58013662359128826</v>
      </c>
      <c r="C38">
        <v>-0.59689937796088433</v>
      </c>
      <c r="D38">
        <v>7.6082278179150364E-2</v>
      </c>
      <c r="E38">
        <v>0.79466314860130727</v>
      </c>
      <c r="F38">
        <v>0.14124972199578731</v>
      </c>
      <c r="G38">
        <v>1.6087216983872541</v>
      </c>
      <c r="H38">
        <v>0.34892577814529002</v>
      </c>
      <c r="J38">
        <f t="shared" si="0"/>
        <v>2.952879870939193</v>
      </c>
      <c r="K38">
        <f t="shared" si="1"/>
        <v>7</v>
      </c>
    </row>
    <row r="39" spans="1:11" x14ac:dyDescent="0.35">
      <c r="A39">
        <v>18097320700</v>
      </c>
      <c r="B39">
        <v>2.3238713831611131</v>
      </c>
      <c r="C39">
        <v>-0.56332523222567021</v>
      </c>
      <c r="D39">
        <v>1.9499358725488309</v>
      </c>
      <c r="E39">
        <v>1.457726214551446</v>
      </c>
      <c r="F39">
        <v>0.21667609191169149</v>
      </c>
      <c r="G39">
        <v>1.6083035950789011</v>
      </c>
      <c r="H39">
        <v>0.34874377904105752</v>
      </c>
      <c r="J39">
        <f t="shared" si="0"/>
        <v>7.3419317040673695</v>
      </c>
      <c r="K39">
        <f t="shared" si="1"/>
        <v>7</v>
      </c>
    </row>
    <row r="40" spans="1:11" x14ac:dyDescent="0.35">
      <c r="A40">
        <v>18097320800</v>
      </c>
      <c r="B40">
        <v>2.3625741990711382</v>
      </c>
      <c r="C40">
        <v>-1.365642538451709</v>
      </c>
      <c r="D40">
        <v>4.1771114331089327</v>
      </c>
      <c r="E40">
        <v>1.5829458485572541</v>
      </c>
      <c r="F40">
        <v>0.32043697315784631</v>
      </c>
      <c r="G40">
        <v>1.096188923124678</v>
      </c>
      <c r="H40">
        <v>0.1258218128714769</v>
      </c>
      <c r="J40">
        <f t="shared" si="0"/>
        <v>8.2994366514396187</v>
      </c>
      <c r="K40">
        <f t="shared" si="1"/>
        <v>7</v>
      </c>
    </row>
    <row r="41" spans="1:11" x14ac:dyDescent="0.35">
      <c r="A41">
        <v>18097320901</v>
      </c>
      <c r="B41">
        <v>0.88307766756498718</v>
      </c>
      <c r="C41">
        <v>0.731761777439914</v>
      </c>
      <c r="D41">
        <v>0.66505094269215526</v>
      </c>
      <c r="E41">
        <v>3.1446150311779872E-2</v>
      </c>
      <c r="F41">
        <v>0.8918874628478084</v>
      </c>
      <c r="G41">
        <v>1.0468029746745611</v>
      </c>
      <c r="H41">
        <v>0.1043242590372187</v>
      </c>
      <c r="J41">
        <f t="shared" si="0"/>
        <v>4.3543512345684245</v>
      </c>
      <c r="K41">
        <f t="shared" si="1"/>
        <v>7</v>
      </c>
    </row>
    <row r="42" spans="1:11" x14ac:dyDescent="0.35">
      <c r="A42">
        <v>18097320902</v>
      </c>
      <c r="B42">
        <v>-0.2237094085361786</v>
      </c>
      <c r="C42">
        <v>0.91727462706599205</v>
      </c>
      <c r="D42">
        <v>-0.5652084433556267</v>
      </c>
      <c r="E42">
        <v>-0.98168568923295763</v>
      </c>
      <c r="F42">
        <v>-0.28521281999998549</v>
      </c>
      <c r="G42">
        <v>1.0468029746745611</v>
      </c>
      <c r="H42">
        <v>0.1043242590372187</v>
      </c>
      <c r="J42">
        <f t="shared" si="0"/>
        <v>1.2585499653023302E-2</v>
      </c>
      <c r="K42">
        <f t="shared" si="1"/>
        <v>7</v>
      </c>
    </row>
    <row r="43" spans="1:11" x14ac:dyDescent="0.35">
      <c r="A43">
        <v>18097320903</v>
      </c>
      <c r="B43">
        <v>-0.44878261646011008</v>
      </c>
      <c r="C43">
        <v>0.65849412569822452</v>
      </c>
      <c r="D43">
        <v>-0.71595520009571367</v>
      </c>
      <c r="E43">
        <v>-1.1501500106310381</v>
      </c>
      <c r="F43">
        <v>-0.77202442304019836</v>
      </c>
      <c r="G43">
        <v>1.0447672387968909</v>
      </c>
      <c r="H43">
        <v>0.10650275209972471</v>
      </c>
      <c r="J43">
        <f t="shared" si="0"/>
        <v>-1.2771481336322204</v>
      </c>
      <c r="K43">
        <f t="shared" si="1"/>
        <v>7</v>
      </c>
    </row>
    <row r="44" spans="1:11" x14ac:dyDescent="0.35">
      <c r="A44">
        <v>18097321001</v>
      </c>
      <c r="B44">
        <v>-0.62034821557600683</v>
      </c>
      <c r="C44">
        <v>-0.56769924405373695</v>
      </c>
      <c r="D44">
        <v>0.36487370737605118</v>
      </c>
      <c r="E44">
        <v>-0.7138722523183969</v>
      </c>
      <c r="F44">
        <v>0.36113006892802352</v>
      </c>
      <c r="G44">
        <v>0.51368803633609061</v>
      </c>
      <c r="H44">
        <v>-4.1041014356197607</v>
      </c>
      <c r="J44">
        <f t="shared" si="0"/>
        <v>-4.766329334927736</v>
      </c>
      <c r="K44">
        <f t="shared" si="1"/>
        <v>7</v>
      </c>
    </row>
    <row r="45" spans="1:11" x14ac:dyDescent="0.35">
      <c r="A45">
        <v>18097321002</v>
      </c>
      <c r="B45">
        <v>1.336642027731658</v>
      </c>
      <c r="C45">
        <v>0.75996657547818125</v>
      </c>
      <c r="D45">
        <v>1.1833025628405129</v>
      </c>
      <c r="E45">
        <v>0.47467350743556608</v>
      </c>
      <c r="F45">
        <v>0.20736048085135489</v>
      </c>
      <c r="G45">
        <v>0.50755068478767162</v>
      </c>
      <c r="H45">
        <v>-4.2012080564124341</v>
      </c>
      <c r="J45">
        <f t="shared" si="0"/>
        <v>0.26828778271251075</v>
      </c>
      <c r="K45">
        <f t="shared" si="1"/>
        <v>7</v>
      </c>
    </row>
    <row r="46" spans="1:11" x14ac:dyDescent="0.35">
      <c r="A46">
        <v>18097321100</v>
      </c>
      <c r="B46">
        <v>1.017898281167039</v>
      </c>
      <c r="C46">
        <v>-0.48613423440629261</v>
      </c>
      <c r="D46">
        <v>0.86821847731631963</v>
      </c>
      <c r="E46">
        <v>0.35701590136983108</v>
      </c>
      <c r="F46">
        <v>9.9632253074650595E-3</v>
      </c>
      <c r="G46">
        <v>0.40561098574907339</v>
      </c>
      <c r="H46">
        <v>-3.5128541876651962</v>
      </c>
      <c r="J46">
        <f t="shared" si="0"/>
        <v>-1.3402815511617607</v>
      </c>
      <c r="K46">
        <f t="shared" si="1"/>
        <v>7</v>
      </c>
    </row>
    <row r="47" spans="1:11" x14ac:dyDescent="0.35">
      <c r="A47">
        <v>18097321200</v>
      </c>
      <c r="B47">
        <v>2.188121245631677</v>
      </c>
      <c r="C47">
        <v>-0.67851241996545619</v>
      </c>
      <c r="D47">
        <v>2.3459052512551111</v>
      </c>
      <c r="E47">
        <v>1.5256151507451889</v>
      </c>
      <c r="F47">
        <v>0.16889845066139339</v>
      </c>
      <c r="G47">
        <v>1.264432327519837</v>
      </c>
      <c r="H47">
        <v>0.22503416837747689</v>
      </c>
      <c r="J47">
        <f t="shared" si="0"/>
        <v>7.0394941742252284</v>
      </c>
      <c r="K47">
        <f t="shared" si="1"/>
        <v>7</v>
      </c>
    </row>
    <row r="48" spans="1:11" x14ac:dyDescent="0.35">
      <c r="A48">
        <v>18097321300</v>
      </c>
      <c r="B48">
        <v>2.3012983001687539</v>
      </c>
      <c r="C48">
        <v>-1.2752874488049699</v>
      </c>
      <c r="D48">
        <v>1.441293082998182</v>
      </c>
      <c r="E48">
        <v>1.496304644149419</v>
      </c>
      <c r="F48">
        <v>1.0251653266561369</v>
      </c>
      <c r="G48">
        <v>1.6087216983872541</v>
      </c>
      <c r="H48">
        <v>0.34892577814529002</v>
      </c>
      <c r="J48">
        <f t="shared" si="0"/>
        <v>6.9464213817000653</v>
      </c>
      <c r="K48">
        <f t="shared" si="1"/>
        <v>7</v>
      </c>
    </row>
    <row r="49" spans="1:11" x14ac:dyDescent="0.35">
      <c r="A49">
        <v>18097321400</v>
      </c>
      <c r="B49">
        <v>1.3897984620229851</v>
      </c>
      <c r="C49">
        <v>-1.066854926495318</v>
      </c>
      <c r="D49">
        <v>0.27220772462554149</v>
      </c>
      <c r="E49">
        <v>0.72207989423193075</v>
      </c>
      <c r="F49">
        <v>1.2905590335893751</v>
      </c>
      <c r="G49">
        <v>1.6087216983872541</v>
      </c>
      <c r="H49">
        <v>0.34892577814529002</v>
      </c>
      <c r="J49">
        <f t="shared" si="0"/>
        <v>4.5654376645070585</v>
      </c>
      <c r="K49">
        <f t="shared" si="1"/>
        <v>7</v>
      </c>
    </row>
    <row r="50" spans="1:11" x14ac:dyDescent="0.35">
      <c r="A50">
        <v>18097321600</v>
      </c>
      <c r="B50">
        <v>0.51621006356977139</v>
      </c>
      <c r="C50">
        <v>1.16613291506128</v>
      </c>
      <c r="D50">
        <v>-0.28977723752403373</v>
      </c>
      <c r="E50">
        <v>-0.2483428355391607</v>
      </c>
      <c r="F50">
        <v>0.1242550923613652</v>
      </c>
      <c r="G50">
        <v>0.67326115058077352</v>
      </c>
      <c r="H50">
        <v>0.2363335613724849</v>
      </c>
      <c r="J50">
        <f t="shared" si="0"/>
        <v>2.178072709882481</v>
      </c>
      <c r="K50">
        <f t="shared" si="1"/>
        <v>7</v>
      </c>
    </row>
    <row r="51" spans="1:11" x14ac:dyDescent="0.35">
      <c r="A51">
        <v>18097321700</v>
      </c>
      <c r="B51">
        <v>1.5666035520652879</v>
      </c>
      <c r="C51">
        <v>1.786710427716943</v>
      </c>
      <c r="D51">
        <v>1.37972417187382</v>
      </c>
      <c r="E51">
        <v>1.2236977736986041</v>
      </c>
      <c r="F51">
        <v>-1.7861539402672318E-2</v>
      </c>
      <c r="G51">
        <v>1.3450865409877479</v>
      </c>
      <c r="H51">
        <v>0.37553886669111702</v>
      </c>
      <c r="J51">
        <f t="shared" si="0"/>
        <v>7.6594997936308475</v>
      </c>
      <c r="K51">
        <f t="shared" si="1"/>
        <v>7</v>
      </c>
    </row>
    <row r="52" spans="1:11" x14ac:dyDescent="0.35">
      <c r="A52">
        <v>18097321800</v>
      </c>
      <c r="B52">
        <v>2.3750261472905811</v>
      </c>
      <c r="C52">
        <v>8.193954643685486E-2</v>
      </c>
      <c r="D52">
        <v>2.3864795256625611</v>
      </c>
      <c r="E52">
        <v>1.7266030079080401</v>
      </c>
      <c r="F52">
        <v>0.58793481974068995</v>
      </c>
      <c r="G52">
        <v>0.75351708307672616</v>
      </c>
      <c r="H52">
        <v>5.0721031668696272E-2</v>
      </c>
      <c r="J52">
        <f t="shared" si="0"/>
        <v>7.9622211617841501</v>
      </c>
      <c r="K52">
        <f t="shared" si="1"/>
        <v>7</v>
      </c>
    </row>
    <row r="53" spans="1:11" x14ac:dyDescent="0.35">
      <c r="A53">
        <v>18097321900</v>
      </c>
      <c r="B53">
        <v>2.4812177148957582</v>
      </c>
      <c r="C53">
        <v>0.99197625853721139</v>
      </c>
      <c r="D53">
        <v>2.5780309054888089</v>
      </c>
      <c r="E53">
        <v>1.2341003634948979</v>
      </c>
      <c r="F53">
        <v>0.70756986776907482</v>
      </c>
      <c r="G53">
        <v>-0.58452460971853193</v>
      </c>
      <c r="H53">
        <v>-0.40668521343758662</v>
      </c>
      <c r="J53">
        <f t="shared" si="0"/>
        <v>7.0016852870296331</v>
      </c>
      <c r="K53">
        <f t="shared" si="1"/>
        <v>7</v>
      </c>
    </row>
    <row r="54" spans="1:11" x14ac:dyDescent="0.35">
      <c r="A54">
        <v>18097322000</v>
      </c>
      <c r="B54">
        <v>0.59854347615716874</v>
      </c>
      <c r="C54">
        <v>-0.2359235754786915</v>
      </c>
      <c r="D54">
        <v>-0.23659959969561631</v>
      </c>
      <c r="E54">
        <v>-0.29197921714521979</v>
      </c>
      <c r="F54">
        <v>-0.9524476629684212</v>
      </c>
      <c r="G54">
        <v>-0.58936414131892922</v>
      </c>
      <c r="H54">
        <v>-0.41052293503655962</v>
      </c>
      <c r="J54">
        <f t="shared" si="0"/>
        <v>-2.1182936554862688</v>
      </c>
      <c r="K54">
        <f t="shared" si="1"/>
        <v>7</v>
      </c>
    </row>
    <row r="55" spans="1:11" x14ac:dyDescent="0.35">
      <c r="A55">
        <v>18097322100</v>
      </c>
      <c r="B55">
        <v>1.4374649743933829</v>
      </c>
      <c r="C55">
        <v>-1.442678695166157</v>
      </c>
      <c r="D55">
        <v>1.373833827089608</v>
      </c>
      <c r="E55">
        <v>-3.6607034781891229E-2</v>
      </c>
      <c r="F55">
        <v>-0.46391208238034592</v>
      </c>
      <c r="G55">
        <v>0.50840186222361583</v>
      </c>
      <c r="H55">
        <v>0.45999939031977549</v>
      </c>
      <c r="J55">
        <f t="shared" si="0"/>
        <v>1.8365022416979881</v>
      </c>
      <c r="K55">
        <f t="shared" si="1"/>
        <v>7</v>
      </c>
    </row>
    <row r="56" spans="1:11" x14ac:dyDescent="0.35">
      <c r="A56">
        <v>18097322200</v>
      </c>
      <c r="B56">
        <v>1.1721897712803051</v>
      </c>
      <c r="C56">
        <v>-1.167684873451875</v>
      </c>
      <c r="D56">
        <v>1.218644631545786</v>
      </c>
      <c r="E56">
        <v>0.79238166692154466</v>
      </c>
      <c r="F56">
        <v>1.135660296847953</v>
      </c>
      <c r="G56">
        <v>0.50840186222361583</v>
      </c>
      <c r="H56">
        <v>0.45999939031977549</v>
      </c>
      <c r="J56">
        <f t="shared" si="0"/>
        <v>4.1195927456871049</v>
      </c>
      <c r="K56">
        <f t="shared" si="1"/>
        <v>7</v>
      </c>
    </row>
    <row r="57" spans="1:11" x14ac:dyDescent="0.35">
      <c r="A57">
        <v>18097322300</v>
      </c>
      <c r="B57">
        <v>1.9377524332286451</v>
      </c>
      <c r="C57">
        <v>-2.182995540433295</v>
      </c>
      <c r="D57">
        <v>1.374294524447033</v>
      </c>
      <c r="E57">
        <v>1.15570177398026</v>
      </c>
      <c r="F57">
        <v>-1.4710095799390201E-3</v>
      </c>
      <c r="G57">
        <v>0.50840186222361583</v>
      </c>
      <c r="H57">
        <v>0.45999939031977549</v>
      </c>
      <c r="J57">
        <f t="shared" si="0"/>
        <v>3.2516834341860954</v>
      </c>
      <c r="K57">
        <f t="shared" si="1"/>
        <v>7</v>
      </c>
    </row>
    <row r="58" spans="1:11" x14ac:dyDescent="0.35">
      <c r="A58">
        <v>18097322400</v>
      </c>
      <c r="B58">
        <v>0.91338451370035278</v>
      </c>
      <c r="C58">
        <v>0.37385384965281671</v>
      </c>
      <c r="D58">
        <v>-0.30906071262765539</v>
      </c>
      <c r="E58">
        <v>0.32739363035563179</v>
      </c>
      <c r="F58">
        <v>5.0080412343390029E-2</v>
      </c>
      <c r="G58">
        <v>0.50840186222361583</v>
      </c>
      <c r="H58">
        <v>0.45999939031977549</v>
      </c>
      <c r="J58">
        <f t="shared" si="0"/>
        <v>2.3240529459679271</v>
      </c>
      <c r="K58">
        <f t="shared" si="1"/>
        <v>7</v>
      </c>
    </row>
    <row r="59" spans="1:11" x14ac:dyDescent="0.35">
      <c r="A59">
        <v>18097322500</v>
      </c>
      <c r="B59">
        <v>-0.64129307006213077</v>
      </c>
      <c r="C59">
        <v>0.42796968713897121</v>
      </c>
      <c r="D59">
        <v>-0.8720657903543847</v>
      </c>
      <c r="E59">
        <v>-0.78787568469885805</v>
      </c>
      <c r="F59">
        <v>-1.1536432867916031</v>
      </c>
      <c r="G59">
        <v>0.50840186222361583</v>
      </c>
      <c r="H59">
        <v>0.45999939031977549</v>
      </c>
      <c r="J59">
        <f t="shared" si="0"/>
        <v>-2.0585068922246141</v>
      </c>
      <c r="K59">
        <f t="shared" si="1"/>
        <v>7</v>
      </c>
    </row>
    <row r="60" spans="1:11" x14ac:dyDescent="0.35">
      <c r="A60">
        <v>18097322600</v>
      </c>
      <c r="B60">
        <v>-0.45339821233838778</v>
      </c>
      <c r="C60">
        <v>-1.83373553054785</v>
      </c>
      <c r="D60">
        <v>-1.195508242220422</v>
      </c>
      <c r="E60">
        <v>-1.708188016197937</v>
      </c>
      <c r="F60">
        <v>-0.74084712651643303</v>
      </c>
      <c r="J60">
        <f t="shared" si="0"/>
        <v>-5.9316771278210298</v>
      </c>
      <c r="K60">
        <f t="shared" si="1"/>
        <v>5</v>
      </c>
    </row>
    <row r="61" spans="1:11" x14ac:dyDescent="0.35">
      <c r="A61">
        <v>18097322601</v>
      </c>
      <c r="B61">
        <v>-0.58057582871147728</v>
      </c>
      <c r="C61">
        <v>0.19260906540708281</v>
      </c>
      <c r="D61">
        <v>-1.2998561936770501</v>
      </c>
      <c r="E61">
        <v>-1.9082941443721499</v>
      </c>
      <c r="F61">
        <v>-2.3662451495151249</v>
      </c>
      <c r="G61">
        <v>0.34937528597504097</v>
      </c>
      <c r="H61">
        <v>0.36077388145090988</v>
      </c>
      <c r="J61">
        <f t="shared" si="0"/>
        <v>-5.2522130834427685</v>
      </c>
      <c r="K61">
        <f t="shared" si="1"/>
        <v>7</v>
      </c>
    </row>
    <row r="62" spans="1:11" x14ac:dyDescent="0.35">
      <c r="A62">
        <v>18097322602</v>
      </c>
      <c r="B62">
        <v>0.23532097715985159</v>
      </c>
      <c r="C62">
        <v>-0.90007475400355563</v>
      </c>
      <c r="D62">
        <v>2.3398244662259031E-2</v>
      </c>
      <c r="E62">
        <v>-0.89418403894464826</v>
      </c>
      <c r="F62">
        <v>0.38901999390747272</v>
      </c>
      <c r="G62">
        <v>0.49385554425141209</v>
      </c>
      <c r="H62">
        <v>0.45065669491128763</v>
      </c>
      <c r="J62">
        <f t="shared" si="0"/>
        <v>-0.2020073380559208</v>
      </c>
      <c r="K62">
        <f t="shared" si="1"/>
        <v>7</v>
      </c>
    </row>
    <row r="63" spans="1:11" x14ac:dyDescent="0.35">
      <c r="A63">
        <v>18097322700</v>
      </c>
      <c r="B63">
        <v>7.3291624191219928E-2</v>
      </c>
      <c r="C63">
        <v>-1.261490239288436</v>
      </c>
      <c r="D63">
        <v>-0.23061053404909901</v>
      </c>
      <c r="E63">
        <v>-0.83513589378834907</v>
      </c>
      <c r="F63">
        <v>-0.82748504421139224</v>
      </c>
      <c r="G63">
        <v>-1.060901215745363</v>
      </c>
      <c r="H63">
        <v>-0.5471284696894041</v>
      </c>
      <c r="J63">
        <f t="shared" si="0"/>
        <v>-4.6894597725808236</v>
      </c>
      <c r="K63">
        <f t="shared" si="1"/>
        <v>7</v>
      </c>
    </row>
    <row r="64" spans="1:11" x14ac:dyDescent="0.35">
      <c r="A64">
        <v>18097330103</v>
      </c>
      <c r="B64">
        <v>0.59211503890341555</v>
      </c>
      <c r="C64">
        <v>-0.60575001520720373</v>
      </c>
      <c r="D64">
        <v>0.16312117177826191</v>
      </c>
      <c r="E64">
        <v>0.5839472730256412</v>
      </c>
      <c r="F64">
        <v>0.31112259785897572</v>
      </c>
      <c r="G64">
        <v>1.5048131564883991</v>
      </c>
      <c r="H64">
        <v>-0.20916479459436779</v>
      </c>
      <c r="J64">
        <f t="shared" si="0"/>
        <v>2.3402044282531218</v>
      </c>
      <c r="K64">
        <f t="shared" si="1"/>
        <v>7</v>
      </c>
    </row>
    <row r="65" spans="1:11" x14ac:dyDescent="0.35">
      <c r="A65">
        <v>18097330105</v>
      </c>
      <c r="B65">
        <v>0.53544878861556333</v>
      </c>
      <c r="C65">
        <v>-0.81814357010940353</v>
      </c>
      <c r="D65">
        <v>-1.135149886918208E-2</v>
      </c>
      <c r="E65">
        <v>0.6379363839141079</v>
      </c>
      <c r="F65">
        <v>-0.2716117480066319</v>
      </c>
      <c r="G65">
        <v>1.5048131564883991</v>
      </c>
      <c r="H65">
        <v>-0.20916479459436779</v>
      </c>
      <c r="J65">
        <f t="shared" si="0"/>
        <v>1.367926717438485</v>
      </c>
      <c r="K65">
        <f t="shared" si="1"/>
        <v>7</v>
      </c>
    </row>
    <row r="66" spans="1:11" x14ac:dyDescent="0.35">
      <c r="A66">
        <v>18097330106</v>
      </c>
      <c r="B66">
        <v>0.33274297705064421</v>
      </c>
      <c r="C66">
        <v>0.39826828048632151</v>
      </c>
      <c r="D66">
        <v>-0.64829850246252907</v>
      </c>
      <c r="E66">
        <v>-0.70965049155378923</v>
      </c>
      <c r="F66">
        <v>-0.90021715778124678</v>
      </c>
      <c r="G66">
        <v>1.5048131564883991</v>
      </c>
      <c r="H66">
        <v>-0.20916479459436779</v>
      </c>
      <c r="J66">
        <f t="shared" si="0"/>
        <v>-0.23150653236656796</v>
      </c>
      <c r="K66">
        <f t="shared" si="1"/>
        <v>7</v>
      </c>
    </row>
    <row r="67" spans="1:11" x14ac:dyDescent="0.35">
      <c r="A67">
        <v>18097330107</v>
      </c>
      <c r="B67">
        <v>1.376560042582053</v>
      </c>
      <c r="C67">
        <v>-2.6571310480762929</v>
      </c>
      <c r="D67">
        <v>1.800505393972814</v>
      </c>
      <c r="E67">
        <v>1.3768022817537919</v>
      </c>
      <c r="F67">
        <v>0.79998556541364563</v>
      </c>
      <c r="G67">
        <v>1.5048131564883991</v>
      </c>
      <c r="H67">
        <v>-0.20916479459436779</v>
      </c>
      <c r="J67">
        <f t="shared" ref="J67:J130" si="2">SUM(B67:H67)</f>
        <v>3.9923705975400421</v>
      </c>
      <c r="K67">
        <f t="shared" ref="K67:K130" si="3">IF(B67=0,0,1)+IF(C67=0,0,1)+IF(D67=0,0,1)+IF(E67=0,0,1)+IF(F67=0,0,1)+IF(G67=0,0,1)+IF(H67=0,0,1)</f>
        <v>7</v>
      </c>
    </row>
    <row r="68" spans="1:11" x14ac:dyDescent="0.35">
      <c r="A68">
        <v>18097330108</v>
      </c>
      <c r="B68">
        <v>1.928214048629515</v>
      </c>
      <c r="C68">
        <v>-2.6571310480762929</v>
      </c>
      <c r="D68">
        <v>2.6029743766979312</v>
      </c>
      <c r="E68">
        <v>1.6184603122524901</v>
      </c>
      <c r="F68">
        <v>1.1347274395288911</v>
      </c>
      <c r="G68">
        <v>1.5048131564883991</v>
      </c>
      <c r="H68">
        <v>-0.20916479459436779</v>
      </c>
      <c r="J68">
        <f t="shared" si="2"/>
        <v>5.9228934909265663</v>
      </c>
      <c r="K68">
        <f t="shared" si="3"/>
        <v>7</v>
      </c>
    </row>
    <row r="69" spans="1:11" x14ac:dyDescent="0.35">
      <c r="A69">
        <v>18097330109</v>
      </c>
      <c r="B69">
        <v>1.1730382678183999</v>
      </c>
      <c r="C69">
        <v>-1.2998019477649649</v>
      </c>
      <c r="D69">
        <v>0.66584070959059716</v>
      </c>
      <c r="E69">
        <v>0.95968475740546122</v>
      </c>
      <c r="F69">
        <v>1.014119093858235</v>
      </c>
      <c r="G69">
        <v>1.5048131564883991</v>
      </c>
      <c r="H69">
        <v>-0.20916479459436779</v>
      </c>
      <c r="J69">
        <f t="shared" si="2"/>
        <v>3.8085292428017596</v>
      </c>
      <c r="K69">
        <f t="shared" si="3"/>
        <v>7</v>
      </c>
    </row>
    <row r="70" spans="1:11" x14ac:dyDescent="0.35">
      <c r="A70">
        <v>18097330202</v>
      </c>
      <c r="B70">
        <v>-1.3113994130148789</v>
      </c>
      <c r="C70">
        <v>-1.2211445266015599</v>
      </c>
      <c r="D70">
        <v>-0.94383585725028718</v>
      </c>
      <c r="E70">
        <v>-1.2488439870623831</v>
      </c>
      <c r="F70">
        <v>0.39939231296237909</v>
      </c>
      <c r="J70">
        <f t="shared" si="2"/>
        <v>-4.3258314709667296</v>
      </c>
      <c r="K70">
        <f t="shared" si="3"/>
        <v>5</v>
      </c>
    </row>
    <row r="71" spans="1:11" x14ac:dyDescent="0.35">
      <c r="A71">
        <v>18097330203</v>
      </c>
      <c r="B71">
        <v>2.158798607480696</v>
      </c>
      <c r="C71">
        <v>-2.6571310480762929</v>
      </c>
      <c r="D71">
        <v>4.0305438595397671</v>
      </c>
      <c r="E71">
        <v>1.58330592686926</v>
      </c>
      <c r="F71">
        <v>1.088319588946959</v>
      </c>
      <c r="J71">
        <f t="shared" si="2"/>
        <v>6.203836934760389</v>
      </c>
      <c r="K71">
        <f t="shared" si="3"/>
        <v>5</v>
      </c>
    </row>
    <row r="72" spans="1:11" x14ac:dyDescent="0.35">
      <c r="A72">
        <v>18097330204</v>
      </c>
      <c r="B72">
        <v>0.66471911337808509</v>
      </c>
      <c r="C72">
        <v>-0.92653644517934997</v>
      </c>
      <c r="D72">
        <v>1.824165493971968</v>
      </c>
      <c r="E72">
        <v>0.21965762799677671</v>
      </c>
      <c r="F72">
        <v>1.0370305562544291</v>
      </c>
      <c r="G72">
        <v>-0.27796459132814361</v>
      </c>
      <c r="H72">
        <v>0.76586226334271801</v>
      </c>
      <c r="J72">
        <f t="shared" si="2"/>
        <v>3.3069340184364835</v>
      </c>
      <c r="K72">
        <f t="shared" si="3"/>
        <v>7</v>
      </c>
    </row>
    <row r="73" spans="1:11" x14ac:dyDescent="0.35">
      <c r="A73">
        <v>18097330206</v>
      </c>
      <c r="B73">
        <v>1.2723876894424451</v>
      </c>
      <c r="C73">
        <v>-0.90145536397794479</v>
      </c>
      <c r="D73">
        <v>2.4130354376226681</v>
      </c>
      <c r="E73">
        <v>0.15814628947951229</v>
      </c>
      <c r="F73">
        <v>1.065399599132645</v>
      </c>
      <c r="J73">
        <f t="shared" si="2"/>
        <v>4.0075136516993251</v>
      </c>
      <c r="K73">
        <f t="shared" si="3"/>
        <v>5</v>
      </c>
    </row>
    <row r="74" spans="1:11" x14ac:dyDescent="0.35">
      <c r="A74">
        <v>18097330208</v>
      </c>
      <c r="B74">
        <v>1.0050298423700961</v>
      </c>
      <c r="C74">
        <v>0.1506183076562107</v>
      </c>
      <c r="D74">
        <v>0.88450741959668255</v>
      </c>
      <c r="E74">
        <v>0.86159548320709445</v>
      </c>
      <c r="F74">
        <v>0.86437490144121198</v>
      </c>
      <c r="J74">
        <f t="shared" si="2"/>
        <v>3.7661259542712955</v>
      </c>
      <c r="K74">
        <f t="shared" si="3"/>
        <v>5</v>
      </c>
    </row>
    <row r="75" spans="1:11" x14ac:dyDescent="0.35">
      <c r="A75">
        <v>18097330209</v>
      </c>
      <c r="B75">
        <v>-9.1499371369591284E-2</v>
      </c>
      <c r="C75">
        <v>0.97547141375476798</v>
      </c>
      <c r="D75">
        <v>1.1686918752193389</v>
      </c>
      <c r="E75">
        <v>-0.2468017809877307</v>
      </c>
      <c r="F75">
        <v>0.68528763099169476</v>
      </c>
      <c r="J75">
        <f t="shared" si="2"/>
        <v>2.4911497676084799</v>
      </c>
      <c r="K75">
        <f t="shared" si="3"/>
        <v>5</v>
      </c>
    </row>
    <row r="76" spans="1:11" x14ac:dyDescent="0.35">
      <c r="A76">
        <v>18097330210</v>
      </c>
      <c r="B76">
        <v>1.4534274955168529E-2</v>
      </c>
      <c r="C76">
        <v>1.120113296776724</v>
      </c>
      <c r="D76">
        <v>0.40176240292410559</v>
      </c>
      <c r="E76">
        <v>-1.6805913664186241</v>
      </c>
      <c r="F76">
        <v>0.79416612693081134</v>
      </c>
      <c r="G76">
        <v>-0.27796459132814361</v>
      </c>
      <c r="H76">
        <v>0.76586226334271801</v>
      </c>
      <c r="J76">
        <f t="shared" si="2"/>
        <v>1.1378824071827598</v>
      </c>
      <c r="K76">
        <f t="shared" si="3"/>
        <v>7</v>
      </c>
    </row>
    <row r="77" spans="1:11" x14ac:dyDescent="0.35">
      <c r="A77">
        <v>18097330211</v>
      </c>
      <c r="B77">
        <v>-0.74335019005863778</v>
      </c>
      <c r="C77">
        <v>0.17277207615770221</v>
      </c>
      <c r="D77">
        <v>-0.56181902708314713</v>
      </c>
      <c r="E77">
        <v>-1.3774228046377719</v>
      </c>
      <c r="F77">
        <v>-0.1038488953081632</v>
      </c>
      <c r="G77">
        <v>-0.27796459132814361</v>
      </c>
      <c r="H77">
        <v>0.76586226334271801</v>
      </c>
      <c r="J77">
        <f t="shared" si="2"/>
        <v>-2.1257711689154437</v>
      </c>
      <c r="K77">
        <f t="shared" si="3"/>
        <v>7</v>
      </c>
    </row>
    <row r="78" spans="1:11" x14ac:dyDescent="0.35">
      <c r="A78">
        <v>18097330212</v>
      </c>
      <c r="B78">
        <v>-0.36864376842420499</v>
      </c>
      <c r="C78">
        <v>-0.67684866665193022</v>
      </c>
      <c r="D78">
        <v>0.52332069137594606</v>
      </c>
      <c r="E78">
        <v>-0.7073672189656669</v>
      </c>
      <c r="F78">
        <v>1.1881572605438251</v>
      </c>
      <c r="G78">
        <v>-0.277964591328144</v>
      </c>
      <c r="H78">
        <v>0.76586226334271801</v>
      </c>
      <c r="J78">
        <f t="shared" si="2"/>
        <v>0.44651596989254294</v>
      </c>
      <c r="K78">
        <f t="shared" si="3"/>
        <v>7</v>
      </c>
    </row>
    <row r="79" spans="1:11" x14ac:dyDescent="0.35">
      <c r="A79">
        <v>18097330213</v>
      </c>
      <c r="B79">
        <v>1.007537581541744</v>
      </c>
      <c r="C79">
        <v>-2.00053688979561</v>
      </c>
      <c r="D79">
        <v>0.96065411138811718</v>
      </c>
      <c r="E79">
        <v>1.1870722138561269</v>
      </c>
      <c r="F79">
        <v>0.26012015529182542</v>
      </c>
      <c r="J79">
        <f t="shared" si="2"/>
        <v>1.4148471722822036</v>
      </c>
      <c r="K79">
        <f t="shared" si="3"/>
        <v>5</v>
      </c>
    </row>
    <row r="80" spans="1:11" x14ac:dyDescent="0.35">
      <c r="A80">
        <v>18097330401</v>
      </c>
      <c r="B80">
        <v>0.93153383649369081</v>
      </c>
      <c r="C80">
        <v>-9.6888096225009879E-2</v>
      </c>
      <c r="D80">
        <v>1.2541183280674659</v>
      </c>
      <c r="E80">
        <v>0.78773500891843229</v>
      </c>
      <c r="F80">
        <v>0.7006596025572287</v>
      </c>
      <c r="G80">
        <v>1.5046165363265089</v>
      </c>
      <c r="H80">
        <v>4.934493325826602E-2</v>
      </c>
      <c r="J80">
        <f t="shared" si="2"/>
        <v>5.1311201493965823</v>
      </c>
      <c r="K80">
        <f t="shared" si="3"/>
        <v>7</v>
      </c>
    </row>
    <row r="81" spans="1:11" x14ac:dyDescent="0.35">
      <c r="A81">
        <v>18097330500</v>
      </c>
      <c r="B81">
        <v>0.10156325532745</v>
      </c>
      <c r="C81">
        <v>0.49561602883127998</v>
      </c>
      <c r="D81">
        <v>0.21333718373752239</v>
      </c>
      <c r="E81">
        <v>-0.3628290664603131</v>
      </c>
      <c r="F81">
        <v>0.83163469953908298</v>
      </c>
      <c r="G81">
        <v>-1.048114330429432</v>
      </c>
      <c r="H81">
        <v>-0.53970766366636447</v>
      </c>
      <c r="J81">
        <f t="shared" si="2"/>
        <v>-0.3084998931207743</v>
      </c>
      <c r="K81">
        <f t="shared" si="3"/>
        <v>7</v>
      </c>
    </row>
    <row r="82" spans="1:11" x14ac:dyDescent="0.35">
      <c r="A82">
        <v>18097330600</v>
      </c>
      <c r="B82">
        <v>-0.5695215146333934</v>
      </c>
      <c r="C82">
        <v>1.419380683192063</v>
      </c>
      <c r="D82">
        <v>-0.55747530914171695</v>
      </c>
      <c r="E82">
        <v>-0.59812722772829319</v>
      </c>
      <c r="F82">
        <v>0.42746055035251562</v>
      </c>
      <c r="G82">
        <v>-1.048114330429432</v>
      </c>
      <c r="H82">
        <v>-0.53970766366636447</v>
      </c>
      <c r="J82">
        <f t="shared" si="2"/>
        <v>-1.4661048120546214</v>
      </c>
      <c r="K82">
        <f t="shared" si="3"/>
        <v>7</v>
      </c>
    </row>
    <row r="83" spans="1:11" x14ac:dyDescent="0.35">
      <c r="A83">
        <v>18097330700</v>
      </c>
      <c r="B83">
        <v>-1.0247627412247911</v>
      </c>
      <c r="C83">
        <v>0.80649291232434472</v>
      </c>
      <c r="D83">
        <v>-0.71115078479685911</v>
      </c>
      <c r="E83">
        <v>-0.16664894163153809</v>
      </c>
      <c r="F83">
        <v>0.97405931099408682</v>
      </c>
      <c r="J83">
        <f t="shared" si="2"/>
        <v>-0.12201024433475671</v>
      </c>
      <c r="K83">
        <f t="shared" si="3"/>
        <v>5</v>
      </c>
    </row>
    <row r="84" spans="1:11" x14ac:dyDescent="0.35">
      <c r="A84">
        <v>18097330701</v>
      </c>
      <c r="B84">
        <v>-1.209929610081095</v>
      </c>
      <c r="C84">
        <v>0.90183186409595195</v>
      </c>
      <c r="D84">
        <v>-1.0359095148269659</v>
      </c>
      <c r="E84">
        <v>-1.147930603011281</v>
      </c>
      <c r="F84">
        <v>-0.2817830644066599</v>
      </c>
      <c r="G84">
        <v>-1.048114330429432</v>
      </c>
      <c r="H84">
        <v>-0.53970766366636447</v>
      </c>
      <c r="J84">
        <f t="shared" si="2"/>
        <v>-4.361542922325846</v>
      </c>
      <c r="K84">
        <f t="shared" si="3"/>
        <v>7</v>
      </c>
    </row>
    <row r="85" spans="1:11" x14ac:dyDescent="0.35">
      <c r="A85">
        <v>18097330702</v>
      </c>
      <c r="B85">
        <v>-1.0259240800828779</v>
      </c>
      <c r="C85">
        <v>-0.43999917247878551</v>
      </c>
      <c r="D85">
        <v>-0.44661178077294322</v>
      </c>
      <c r="E85">
        <v>-0.28459183700227042</v>
      </c>
      <c r="F85">
        <v>0.8367032835766598</v>
      </c>
      <c r="G85">
        <v>-0.3966443349629315</v>
      </c>
      <c r="H85">
        <v>0.56467449897947031</v>
      </c>
      <c r="J85">
        <f t="shared" si="2"/>
        <v>-1.1923934227436783</v>
      </c>
      <c r="K85">
        <f t="shared" si="3"/>
        <v>7</v>
      </c>
    </row>
    <row r="86" spans="1:11" x14ac:dyDescent="0.35">
      <c r="A86">
        <v>18097330803</v>
      </c>
      <c r="B86">
        <v>-1.132059374124037</v>
      </c>
      <c r="C86">
        <v>-0.1006285950449788</v>
      </c>
      <c r="D86">
        <v>-0.93603690912817406</v>
      </c>
      <c r="E86">
        <v>-1.8486678146641069</v>
      </c>
      <c r="F86">
        <v>-2.1045938272223839</v>
      </c>
      <c r="G86">
        <v>-0.27796459132814361</v>
      </c>
      <c r="H86">
        <v>0.76586226334271801</v>
      </c>
      <c r="J86">
        <f t="shared" si="2"/>
        <v>-5.6340888481691067</v>
      </c>
      <c r="K86">
        <f t="shared" si="3"/>
        <v>7</v>
      </c>
    </row>
    <row r="87" spans="1:11" x14ac:dyDescent="0.35">
      <c r="A87">
        <v>18097330804</v>
      </c>
      <c r="B87">
        <v>-1.210596970797849</v>
      </c>
      <c r="C87">
        <v>-0.29861083057009702</v>
      </c>
      <c r="D87">
        <v>-0.31284501234935591</v>
      </c>
      <c r="E87">
        <v>-0.73257378956585495</v>
      </c>
      <c r="F87">
        <v>-0.32521262835134118</v>
      </c>
      <c r="G87">
        <v>-0.28391881323423812</v>
      </c>
      <c r="H87">
        <v>0.75576857290219701</v>
      </c>
      <c r="J87">
        <f t="shared" si="2"/>
        <v>-2.4079894719665389</v>
      </c>
      <c r="K87">
        <f t="shared" si="3"/>
        <v>7</v>
      </c>
    </row>
    <row r="88" spans="1:11" x14ac:dyDescent="0.35">
      <c r="A88">
        <v>18097330805</v>
      </c>
      <c r="B88">
        <v>-0.92265228487739959</v>
      </c>
      <c r="C88">
        <v>1.238664494644202</v>
      </c>
      <c r="D88">
        <v>-1.2332525185751211</v>
      </c>
      <c r="E88">
        <v>-1.3400900230629931</v>
      </c>
      <c r="F88">
        <v>-0.99641389776124756</v>
      </c>
      <c r="G88">
        <v>-1.0481143304294309</v>
      </c>
      <c r="H88">
        <v>-0.53970766366636447</v>
      </c>
      <c r="J88">
        <f t="shared" si="2"/>
        <v>-4.8415662237283552</v>
      </c>
      <c r="K88">
        <f t="shared" si="3"/>
        <v>7</v>
      </c>
    </row>
    <row r="89" spans="1:11" x14ac:dyDescent="0.35">
      <c r="A89">
        <v>18097330806</v>
      </c>
      <c r="B89">
        <v>-0.87155699633153072</v>
      </c>
      <c r="C89">
        <v>0.43893932284714049</v>
      </c>
      <c r="D89">
        <v>-0.84185720648898421</v>
      </c>
      <c r="E89">
        <v>-1.4479675566424239</v>
      </c>
      <c r="F89">
        <v>-0.1159293191912578</v>
      </c>
      <c r="G89">
        <v>-1.048114330429432</v>
      </c>
      <c r="H89">
        <v>-0.53970766366636447</v>
      </c>
      <c r="J89">
        <f t="shared" si="2"/>
        <v>-4.4261937499028532</v>
      </c>
      <c r="K89">
        <f t="shared" si="3"/>
        <v>7</v>
      </c>
    </row>
    <row r="90" spans="1:11" x14ac:dyDescent="0.35">
      <c r="A90">
        <v>18097330900</v>
      </c>
      <c r="B90">
        <v>-0.34293199212664838</v>
      </c>
      <c r="C90">
        <v>-3.9873778263014373E-2</v>
      </c>
      <c r="D90">
        <v>-1.0224176636452511</v>
      </c>
      <c r="E90">
        <v>-1.7195762994206489</v>
      </c>
      <c r="F90">
        <v>0.43202694919999701</v>
      </c>
      <c r="G90">
        <v>-1.048114330429432</v>
      </c>
      <c r="H90">
        <v>-0.53970766366636447</v>
      </c>
      <c r="J90">
        <f t="shared" si="2"/>
        <v>-4.2805947783513627</v>
      </c>
      <c r="K90">
        <f t="shared" si="3"/>
        <v>7</v>
      </c>
    </row>
    <row r="91" spans="1:11" x14ac:dyDescent="0.35">
      <c r="A91">
        <v>18097331000</v>
      </c>
      <c r="B91">
        <v>-1.222299585268781</v>
      </c>
      <c r="C91">
        <v>1.854776309476452</v>
      </c>
      <c r="D91">
        <v>-0.64958187367249698</v>
      </c>
      <c r="E91">
        <v>-1.9852074256868919</v>
      </c>
      <c r="F91">
        <v>-0.28935403625625722</v>
      </c>
      <c r="G91">
        <v>-1.0603249025260371</v>
      </c>
      <c r="H91">
        <v>-0.54679400914616316</v>
      </c>
      <c r="J91">
        <f t="shared" si="2"/>
        <v>-3.8987855230801753</v>
      </c>
      <c r="K91">
        <f t="shared" si="3"/>
        <v>7</v>
      </c>
    </row>
    <row r="92" spans="1:11" x14ac:dyDescent="0.35">
      <c r="A92">
        <v>18097340101</v>
      </c>
      <c r="B92">
        <v>-0.50199585877972719</v>
      </c>
      <c r="C92">
        <v>-0.86138090916578258</v>
      </c>
      <c r="D92">
        <v>1.8495108501099249E-2</v>
      </c>
      <c r="E92">
        <v>0.71751943197243973</v>
      </c>
      <c r="F92">
        <v>0.84021212969629422</v>
      </c>
      <c r="G92">
        <v>0.65191423352024325</v>
      </c>
      <c r="H92">
        <v>0.73771862596238491</v>
      </c>
      <c r="J92">
        <f t="shared" si="2"/>
        <v>1.6024827617069515</v>
      </c>
      <c r="K92">
        <f t="shared" si="3"/>
        <v>7</v>
      </c>
    </row>
    <row r="93" spans="1:11" x14ac:dyDescent="0.35">
      <c r="A93">
        <v>18097340102</v>
      </c>
      <c r="B93">
        <v>-0.43432012579450252</v>
      </c>
      <c r="C93">
        <v>0.52900130644463528</v>
      </c>
      <c r="D93">
        <v>-0.90480820968561959</v>
      </c>
      <c r="E93">
        <v>-0.55283927173106884</v>
      </c>
      <c r="F93">
        <v>-6.4418659279802629E-2</v>
      </c>
      <c r="G93">
        <v>-3.2300641438068059E-2</v>
      </c>
      <c r="H93">
        <v>-0.44503689959780368</v>
      </c>
      <c r="J93">
        <f t="shared" si="2"/>
        <v>-1.90472250108223</v>
      </c>
      <c r="K93">
        <f t="shared" si="3"/>
        <v>7</v>
      </c>
    </row>
    <row r="94" spans="1:11" x14ac:dyDescent="0.35">
      <c r="A94">
        <v>18097340108</v>
      </c>
      <c r="B94">
        <v>-0.24828347551556201</v>
      </c>
      <c r="C94">
        <v>-0.26296942835550058</v>
      </c>
      <c r="D94">
        <v>-0.68071185225274633</v>
      </c>
      <c r="E94">
        <v>-1.6410488061267441</v>
      </c>
      <c r="F94">
        <v>3.072857583595839E-2</v>
      </c>
      <c r="G94">
        <v>-0.50007467533844252</v>
      </c>
      <c r="H94">
        <v>-0.66234733466801632</v>
      </c>
      <c r="J94">
        <f t="shared" si="2"/>
        <v>-3.9647069964210537</v>
      </c>
      <c r="K94">
        <f t="shared" si="3"/>
        <v>7</v>
      </c>
    </row>
    <row r="95" spans="1:11" x14ac:dyDescent="0.35">
      <c r="A95">
        <v>18097340109</v>
      </c>
      <c r="B95">
        <v>0.13133983253673301</v>
      </c>
      <c r="C95">
        <v>-1.2221891902504569</v>
      </c>
      <c r="D95">
        <v>-0.31840628759255057</v>
      </c>
      <c r="E95">
        <v>-0.97834597837416282</v>
      </c>
      <c r="F95">
        <v>-0.77598964599947062</v>
      </c>
      <c r="J95">
        <f t="shared" si="2"/>
        <v>-3.163591269679908</v>
      </c>
      <c r="K95">
        <f t="shared" si="3"/>
        <v>5</v>
      </c>
    </row>
    <row r="96" spans="1:11" x14ac:dyDescent="0.35">
      <c r="A96">
        <v>18097340110</v>
      </c>
      <c r="B96">
        <v>-0.57289478688181428</v>
      </c>
      <c r="C96">
        <v>0.71186369931109783</v>
      </c>
      <c r="D96">
        <v>-0.67979045753789757</v>
      </c>
      <c r="E96">
        <v>-1.7935943008605739</v>
      </c>
      <c r="F96">
        <v>-3.6975387209147399E-2</v>
      </c>
      <c r="J96">
        <f t="shared" si="2"/>
        <v>-2.3713912331783353</v>
      </c>
      <c r="K96">
        <f t="shared" si="3"/>
        <v>5</v>
      </c>
    </row>
    <row r="97" spans="1:11" x14ac:dyDescent="0.35">
      <c r="A97">
        <v>18097340111</v>
      </c>
      <c r="B97">
        <v>-0.23805824787671259</v>
      </c>
      <c r="C97">
        <v>2.0298960014362621</v>
      </c>
      <c r="D97">
        <v>1.8067577152521459</v>
      </c>
      <c r="E97">
        <v>-0.37144246356577298</v>
      </c>
      <c r="F97">
        <v>1.126569759043089</v>
      </c>
      <c r="G97">
        <v>7.3255563220821149E-2</v>
      </c>
      <c r="H97">
        <v>-1.4326107038939001E-2</v>
      </c>
      <c r="J97">
        <f t="shared" si="2"/>
        <v>4.4126522204708936</v>
      </c>
      <c r="K97">
        <f t="shared" si="3"/>
        <v>7</v>
      </c>
    </row>
    <row r="98" spans="1:11" x14ac:dyDescent="0.35">
      <c r="A98">
        <v>18097340112</v>
      </c>
      <c r="B98">
        <v>-7.0060790603955855E-2</v>
      </c>
      <c r="C98">
        <v>0.95481776014781761</v>
      </c>
      <c r="D98">
        <v>-0.48221710511102972</v>
      </c>
      <c r="E98">
        <v>-0.11133172324407151</v>
      </c>
      <c r="F98">
        <v>-0.13588884410895741</v>
      </c>
      <c r="G98">
        <v>1.731870738561353E-2</v>
      </c>
      <c r="H98">
        <v>-0.17384263595335861</v>
      </c>
      <c r="J98">
        <f t="shared" si="2"/>
        <v>-1.2046314879420039E-3</v>
      </c>
      <c r="K98">
        <f t="shared" si="3"/>
        <v>7</v>
      </c>
    </row>
    <row r="99" spans="1:11" x14ac:dyDescent="0.35">
      <c r="A99">
        <v>18097340113</v>
      </c>
      <c r="B99">
        <v>-1.0509198728185849</v>
      </c>
      <c r="C99">
        <v>1.112856099996961</v>
      </c>
      <c r="D99">
        <v>-0.33515592723033799</v>
      </c>
      <c r="E99">
        <v>0.2659891206657819</v>
      </c>
      <c r="F99">
        <v>0.2250706603614013</v>
      </c>
      <c r="G99">
        <v>0.68570335082467315</v>
      </c>
      <c r="H99">
        <v>1.732206545917031</v>
      </c>
      <c r="J99">
        <f t="shared" si="2"/>
        <v>2.6357499777169258</v>
      </c>
      <c r="K99">
        <f t="shared" si="3"/>
        <v>7</v>
      </c>
    </row>
    <row r="100" spans="1:11" x14ac:dyDescent="0.35">
      <c r="A100">
        <v>18097340114</v>
      </c>
      <c r="B100">
        <v>0.37135815863896848</v>
      </c>
      <c r="C100">
        <v>-0.97007341632141142</v>
      </c>
      <c r="D100">
        <v>0.3841571824796729</v>
      </c>
      <c r="E100">
        <v>0.23986019300098921</v>
      </c>
      <c r="F100">
        <v>1.0768717059942039</v>
      </c>
      <c r="G100">
        <v>0.70562761524806072</v>
      </c>
      <c r="H100">
        <v>1.789025068419533</v>
      </c>
      <c r="J100">
        <f t="shared" si="2"/>
        <v>3.5968265074600168</v>
      </c>
      <c r="K100">
        <f t="shared" si="3"/>
        <v>7</v>
      </c>
    </row>
    <row r="101" spans="1:11" x14ac:dyDescent="0.35">
      <c r="A101">
        <v>18097340115</v>
      </c>
      <c r="B101">
        <v>-0.18958032111894149</v>
      </c>
      <c r="C101">
        <v>-0.33184352424272529</v>
      </c>
      <c r="D101">
        <v>-0.33173360400375668</v>
      </c>
      <c r="E101">
        <v>-0.63635141464961098</v>
      </c>
      <c r="F101">
        <v>0.71735166955367169</v>
      </c>
      <c r="G101">
        <v>-4.318084953948137E-2</v>
      </c>
      <c r="H101">
        <v>-0.3463707335279288</v>
      </c>
      <c r="J101">
        <f t="shared" si="2"/>
        <v>-1.1617087775287729</v>
      </c>
      <c r="K101">
        <f t="shared" si="3"/>
        <v>7</v>
      </c>
    </row>
    <row r="102" spans="1:11" x14ac:dyDescent="0.35">
      <c r="A102">
        <v>18097340201</v>
      </c>
      <c r="B102">
        <v>-1.202272891905446</v>
      </c>
      <c r="C102">
        <v>-0.40428600288500582</v>
      </c>
      <c r="D102">
        <v>1.339453061532901E-2</v>
      </c>
      <c r="E102">
        <v>-1.3650220048943471</v>
      </c>
      <c r="F102">
        <v>0.98298274953904985</v>
      </c>
      <c r="G102">
        <v>-0.50007467533844252</v>
      </c>
      <c r="H102">
        <v>-0.66234733466801632</v>
      </c>
      <c r="J102">
        <f t="shared" si="2"/>
        <v>-3.137625629536879</v>
      </c>
      <c r="K102">
        <f t="shared" si="3"/>
        <v>7</v>
      </c>
    </row>
    <row r="103" spans="1:11" x14ac:dyDescent="0.35">
      <c r="A103">
        <v>18097340202</v>
      </c>
      <c r="B103">
        <v>-0.26788449737775888</v>
      </c>
      <c r="C103">
        <v>-0.76551454445813472</v>
      </c>
      <c r="D103">
        <v>-0.38033717521203181</v>
      </c>
      <c r="E103">
        <v>-0.3515140788925768</v>
      </c>
      <c r="F103">
        <v>0.5503020058100947</v>
      </c>
      <c r="G103">
        <v>-0.50007467533844252</v>
      </c>
      <c r="H103">
        <v>-0.66234733466801632</v>
      </c>
      <c r="J103">
        <f t="shared" si="2"/>
        <v>-2.3773703001368665</v>
      </c>
      <c r="K103">
        <f t="shared" si="3"/>
        <v>7</v>
      </c>
    </row>
    <row r="104" spans="1:11" x14ac:dyDescent="0.35">
      <c r="A104">
        <v>18097340300</v>
      </c>
      <c r="B104">
        <v>-1.202612134870749</v>
      </c>
      <c r="C104">
        <v>1.140721973620352</v>
      </c>
      <c r="D104">
        <v>-0.79684049327779916</v>
      </c>
      <c r="E104">
        <v>-1.967536936956404</v>
      </c>
      <c r="F104">
        <v>1.2905590335893751</v>
      </c>
      <c r="J104">
        <f t="shared" si="2"/>
        <v>-1.535708557895225</v>
      </c>
      <c r="K104">
        <f t="shared" si="3"/>
        <v>5</v>
      </c>
    </row>
    <row r="105" spans="1:11" x14ac:dyDescent="0.35">
      <c r="A105">
        <v>18097340301</v>
      </c>
      <c r="B105">
        <v>-1.125148519314136</v>
      </c>
      <c r="C105">
        <v>1.4947653458279271</v>
      </c>
      <c r="D105">
        <v>-0.91106053096495077</v>
      </c>
      <c r="E105">
        <v>-1.160370578418001</v>
      </c>
      <c r="F105">
        <v>-0.35065829237085849</v>
      </c>
      <c r="G105">
        <v>-0.50007467533844252</v>
      </c>
      <c r="H105">
        <v>-0.66234733466801632</v>
      </c>
      <c r="J105">
        <f t="shared" si="2"/>
        <v>-3.2148945852464781</v>
      </c>
      <c r="K105">
        <f t="shared" si="3"/>
        <v>7</v>
      </c>
    </row>
    <row r="106" spans="1:11" x14ac:dyDescent="0.35">
      <c r="A106">
        <v>18097340302</v>
      </c>
      <c r="B106">
        <v>-1.090818866120207</v>
      </c>
      <c r="C106">
        <v>0.21206571488513121</v>
      </c>
      <c r="D106">
        <v>-0.23291402083622101</v>
      </c>
      <c r="E106">
        <v>-1.17400615441829</v>
      </c>
      <c r="F106">
        <v>0.64338646663018761</v>
      </c>
      <c r="G106">
        <v>-0.50007467533844252</v>
      </c>
      <c r="H106">
        <v>-0.66234733466801632</v>
      </c>
      <c r="J106">
        <f t="shared" si="2"/>
        <v>-2.8047088698658578</v>
      </c>
      <c r="K106">
        <f t="shared" si="3"/>
        <v>7</v>
      </c>
    </row>
    <row r="107" spans="1:11" x14ac:dyDescent="0.35">
      <c r="A107">
        <v>18097340400</v>
      </c>
      <c r="B107">
        <v>-1.061207512841287</v>
      </c>
      <c r="C107">
        <v>1.2310752753537391</v>
      </c>
      <c r="D107">
        <v>-0.72832821483796917</v>
      </c>
      <c r="E107">
        <v>-1.2698986571541959</v>
      </c>
      <c r="F107">
        <v>3.3022481781434777E-2</v>
      </c>
      <c r="G107">
        <v>-1.527649269227346</v>
      </c>
      <c r="H107">
        <v>-1.0911090644828061</v>
      </c>
      <c r="J107">
        <f t="shared" si="2"/>
        <v>-4.4140949614084306</v>
      </c>
      <c r="K107">
        <f t="shared" si="3"/>
        <v>7</v>
      </c>
    </row>
    <row r="108" spans="1:11" x14ac:dyDescent="0.35">
      <c r="A108">
        <v>18097340500</v>
      </c>
      <c r="B108">
        <v>-0.57456653845164918</v>
      </c>
      <c r="C108">
        <v>0.27667924686746309</v>
      </c>
      <c r="D108">
        <v>-0.81954629160800208</v>
      </c>
      <c r="E108">
        <v>-0.69673505024767457</v>
      </c>
      <c r="F108">
        <v>0.26603618228028458</v>
      </c>
      <c r="G108">
        <v>-1.5647722242320301</v>
      </c>
      <c r="H108">
        <v>-1.1065988425469031</v>
      </c>
      <c r="J108">
        <f t="shared" si="2"/>
        <v>-4.2195035179385112</v>
      </c>
      <c r="K108">
        <f t="shared" si="3"/>
        <v>7</v>
      </c>
    </row>
    <row r="109" spans="1:11" x14ac:dyDescent="0.35">
      <c r="A109">
        <v>18097340600</v>
      </c>
      <c r="B109">
        <v>-0.5463119244731417</v>
      </c>
      <c r="C109">
        <v>0.2525261261795464</v>
      </c>
      <c r="D109">
        <v>-0.59380458647004175</v>
      </c>
      <c r="E109">
        <v>-0.82306456844133524</v>
      </c>
      <c r="F109">
        <v>-0.63926705156730101</v>
      </c>
      <c r="G109">
        <v>-1.5647722242320301</v>
      </c>
      <c r="H109">
        <v>-1.1065988425469031</v>
      </c>
      <c r="J109">
        <f t="shared" si="2"/>
        <v>-5.0212930715512067</v>
      </c>
      <c r="K109">
        <f t="shared" si="3"/>
        <v>7</v>
      </c>
    </row>
    <row r="110" spans="1:11" x14ac:dyDescent="0.35">
      <c r="A110">
        <v>18097340700</v>
      </c>
      <c r="B110">
        <v>-1.0046892455401979</v>
      </c>
      <c r="C110">
        <v>0.37824269432815483</v>
      </c>
      <c r="D110">
        <v>-0.67353813625856629</v>
      </c>
      <c r="E110">
        <v>-0.71033674113190803</v>
      </c>
      <c r="F110">
        <v>0.25290511540559169</v>
      </c>
      <c r="G110">
        <v>-1.5579001275037081</v>
      </c>
      <c r="H110">
        <v>-1.103731418519283</v>
      </c>
      <c r="J110">
        <f t="shared" si="2"/>
        <v>-4.4190478592199165</v>
      </c>
      <c r="K110">
        <f t="shared" si="3"/>
        <v>7</v>
      </c>
    </row>
    <row r="111" spans="1:11" x14ac:dyDescent="0.35">
      <c r="A111">
        <v>18097340800</v>
      </c>
      <c r="B111">
        <v>-3.513217175467067E-2</v>
      </c>
      <c r="C111">
        <v>-0.93021074369930079</v>
      </c>
      <c r="D111">
        <v>0.1414683959793146</v>
      </c>
      <c r="E111">
        <v>1.051102485942111</v>
      </c>
      <c r="F111">
        <v>0.46939561078108111</v>
      </c>
      <c r="G111">
        <v>-0.50007467533844252</v>
      </c>
      <c r="H111">
        <v>-0.66234733466801632</v>
      </c>
      <c r="J111">
        <f t="shared" si="2"/>
        <v>-0.46579843275792365</v>
      </c>
      <c r="K111">
        <f t="shared" si="3"/>
        <v>7</v>
      </c>
    </row>
    <row r="112" spans="1:11" x14ac:dyDescent="0.35">
      <c r="A112">
        <v>18097340901</v>
      </c>
      <c r="B112">
        <v>-0.2847999534000254</v>
      </c>
      <c r="C112">
        <v>-1.06254523510892</v>
      </c>
      <c r="D112">
        <v>0.69614801431830287</v>
      </c>
      <c r="E112">
        <v>-0.3059889150696517</v>
      </c>
      <c r="F112">
        <v>0.80049340544281311</v>
      </c>
      <c r="G112">
        <v>-4.318084953948137E-2</v>
      </c>
      <c r="H112">
        <v>-0.3463707335279288</v>
      </c>
      <c r="J112">
        <f t="shared" si="2"/>
        <v>-0.54624426688489125</v>
      </c>
      <c r="K112">
        <f t="shared" si="3"/>
        <v>7</v>
      </c>
    </row>
    <row r="113" spans="1:11" x14ac:dyDescent="0.35">
      <c r="A113">
        <v>18097340902</v>
      </c>
      <c r="B113">
        <v>0.79072568378712604</v>
      </c>
      <c r="C113">
        <v>-1.166519240656186</v>
      </c>
      <c r="D113">
        <v>-0.62931118994582302</v>
      </c>
      <c r="E113">
        <v>0.10538221962943491</v>
      </c>
      <c r="F113">
        <v>0.83692046559506095</v>
      </c>
      <c r="J113">
        <f t="shared" si="2"/>
        <v>-6.2802061590387148E-2</v>
      </c>
      <c r="K113">
        <f t="shared" si="3"/>
        <v>5</v>
      </c>
    </row>
    <row r="114" spans="1:11" x14ac:dyDescent="0.35">
      <c r="A114">
        <v>18097340903</v>
      </c>
      <c r="B114">
        <v>0.21318381379818929</v>
      </c>
      <c r="C114">
        <v>2.8066296028099361E-2</v>
      </c>
      <c r="D114">
        <v>-0.63302967575932001</v>
      </c>
      <c r="E114">
        <v>-0.68310500658245443</v>
      </c>
      <c r="F114">
        <v>0.66351120576811151</v>
      </c>
      <c r="G114">
        <v>-0.50007467533844252</v>
      </c>
      <c r="H114">
        <v>-0.66234733466801632</v>
      </c>
      <c r="J114">
        <f t="shared" si="2"/>
        <v>-1.5737953767538331</v>
      </c>
      <c r="K114">
        <f t="shared" si="3"/>
        <v>7</v>
      </c>
    </row>
    <row r="115" spans="1:11" x14ac:dyDescent="0.35">
      <c r="A115">
        <v>18097340904</v>
      </c>
      <c r="B115">
        <v>0.18856147771706261</v>
      </c>
      <c r="C115">
        <v>-0.2815943571432219</v>
      </c>
      <c r="D115">
        <v>-0.45733944781011149</v>
      </c>
      <c r="E115">
        <v>-7.343428250694245E-2</v>
      </c>
      <c r="F115">
        <v>0.28529818315141758</v>
      </c>
      <c r="G115">
        <v>-0.50007467533844252</v>
      </c>
      <c r="H115">
        <v>-0.66234733466801632</v>
      </c>
      <c r="J115">
        <f t="shared" si="2"/>
        <v>-1.5009304365982548</v>
      </c>
      <c r="K115">
        <f t="shared" si="3"/>
        <v>7</v>
      </c>
    </row>
    <row r="116" spans="1:11" x14ac:dyDescent="0.35">
      <c r="A116">
        <v>18097341000</v>
      </c>
      <c r="B116">
        <v>0.62595588739769992</v>
      </c>
      <c r="C116">
        <v>-0.65277006731994625</v>
      </c>
      <c r="D116">
        <v>0.479455721558322</v>
      </c>
      <c r="E116">
        <v>1.772580189663721</v>
      </c>
      <c r="F116">
        <v>0.29512094155565322</v>
      </c>
      <c r="G116">
        <v>-0.54909102744856486</v>
      </c>
      <c r="H116">
        <v>-0.68279970478784324</v>
      </c>
      <c r="J116">
        <f t="shared" si="2"/>
        <v>1.2884519406190416</v>
      </c>
      <c r="K116">
        <f t="shared" si="3"/>
        <v>7</v>
      </c>
    </row>
    <row r="117" spans="1:11" x14ac:dyDescent="0.35">
      <c r="A117">
        <v>18097341100</v>
      </c>
      <c r="B117">
        <v>-1.062907249208793</v>
      </c>
      <c r="C117">
        <v>-0.17042691408141469</v>
      </c>
      <c r="D117">
        <v>-0.87713346128605318</v>
      </c>
      <c r="E117">
        <v>-0.48471641802401538</v>
      </c>
      <c r="F117">
        <v>-0.54572457244167982</v>
      </c>
      <c r="G117">
        <v>-1.5647722242320301</v>
      </c>
      <c r="H117">
        <v>-1.1065988425469031</v>
      </c>
      <c r="J117">
        <f t="shared" si="2"/>
        <v>-5.8122796818208897</v>
      </c>
      <c r="K117">
        <f t="shared" si="3"/>
        <v>7</v>
      </c>
    </row>
    <row r="118" spans="1:11" x14ac:dyDescent="0.35">
      <c r="A118">
        <v>18097341200</v>
      </c>
      <c r="B118">
        <v>-0.79634670922110229</v>
      </c>
      <c r="C118">
        <v>1.2547781280052499</v>
      </c>
      <c r="D118">
        <v>-0.72398449689653899</v>
      </c>
      <c r="E118">
        <v>-1.5903372860635869</v>
      </c>
      <c r="F118">
        <v>-1.9112030703014971</v>
      </c>
      <c r="G118">
        <v>-1.5647722242320301</v>
      </c>
      <c r="H118">
        <v>-1.1065988425469031</v>
      </c>
      <c r="J118">
        <f t="shared" si="2"/>
        <v>-6.4384645012564086</v>
      </c>
      <c r="K118">
        <f t="shared" si="3"/>
        <v>7</v>
      </c>
    </row>
    <row r="119" spans="1:11" x14ac:dyDescent="0.35">
      <c r="A119">
        <v>18097341600</v>
      </c>
      <c r="B119">
        <v>-1.1353065360888051</v>
      </c>
      <c r="C119">
        <v>1.348874977148113</v>
      </c>
      <c r="D119">
        <v>-1.4787713031282299</v>
      </c>
      <c r="E119">
        <v>-1.466236688654875</v>
      </c>
      <c r="F119">
        <v>-0.44125895988019681</v>
      </c>
      <c r="G119">
        <v>-1.5647722242320301</v>
      </c>
      <c r="H119">
        <v>-1.1065988425469031</v>
      </c>
      <c r="J119">
        <f t="shared" si="2"/>
        <v>-5.8440695773829274</v>
      </c>
      <c r="K119">
        <f t="shared" si="3"/>
        <v>7</v>
      </c>
    </row>
    <row r="120" spans="1:11" x14ac:dyDescent="0.35">
      <c r="A120">
        <v>18097341700</v>
      </c>
      <c r="B120">
        <v>-1.466926282201471</v>
      </c>
      <c r="C120">
        <v>0.55729716840031396</v>
      </c>
      <c r="D120">
        <v>-1.0562131055077411</v>
      </c>
      <c r="E120">
        <v>-0.25944828702326123</v>
      </c>
      <c r="F120">
        <v>-0.61017065554438976</v>
      </c>
      <c r="J120">
        <f t="shared" si="2"/>
        <v>-2.8354611618765491</v>
      </c>
      <c r="K120">
        <f t="shared" si="3"/>
        <v>5</v>
      </c>
    </row>
    <row r="121" spans="1:11" x14ac:dyDescent="0.35">
      <c r="A121">
        <v>18097341701</v>
      </c>
      <c r="B121">
        <v>-0.95115378968036601</v>
      </c>
      <c r="C121">
        <v>-8.8033413538936442E-2</v>
      </c>
      <c r="D121">
        <v>-0.77298295155403507</v>
      </c>
      <c r="E121">
        <v>-0.74851942126454107</v>
      </c>
      <c r="F121">
        <v>-1.423184640487106</v>
      </c>
      <c r="G121">
        <v>-1.5647722242320301</v>
      </c>
      <c r="H121">
        <v>-1.1065988425469031</v>
      </c>
      <c r="J121">
        <f t="shared" si="2"/>
        <v>-6.655245283303918</v>
      </c>
      <c r="K121">
        <f t="shared" si="3"/>
        <v>7</v>
      </c>
    </row>
    <row r="122" spans="1:11" x14ac:dyDescent="0.35">
      <c r="A122">
        <v>18097341702</v>
      </c>
      <c r="B122">
        <v>-0.99157408856726525</v>
      </c>
      <c r="C122">
        <v>-0.41559899099072861</v>
      </c>
      <c r="D122">
        <v>-0.58083924655395491</v>
      </c>
      <c r="E122">
        <v>0.51689142763400475</v>
      </c>
      <c r="F122">
        <v>0.5557970208625389</v>
      </c>
      <c r="G122">
        <v>-1.111239946474128</v>
      </c>
      <c r="H122">
        <v>-0.72374477419987537</v>
      </c>
      <c r="J122">
        <f t="shared" si="2"/>
        <v>-2.7503085982894082</v>
      </c>
      <c r="K122">
        <f t="shared" si="3"/>
        <v>7</v>
      </c>
    </row>
    <row r="123" spans="1:11" x14ac:dyDescent="0.35">
      <c r="A123">
        <v>18097341902</v>
      </c>
      <c r="B123">
        <v>-0.65212555881245249</v>
      </c>
      <c r="C123">
        <v>0.24133213488018829</v>
      </c>
      <c r="D123">
        <v>-3.1247603437462102E-3</v>
      </c>
      <c r="E123">
        <v>0.15511836642209509</v>
      </c>
      <c r="F123">
        <v>0.97073280140049478</v>
      </c>
      <c r="G123">
        <v>-0.30091312523214958</v>
      </c>
      <c r="H123">
        <v>-0.2901245366147584</v>
      </c>
      <c r="J123">
        <f t="shared" si="2"/>
        <v>0.12089532169967154</v>
      </c>
      <c r="K123">
        <f t="shared" si="3"/>
        <v>7</v>
      </c>
    </row>
    <row r="124" spans="1:11" x14ac:dyDescent="0.35">
      <c r="A124">
        <v>18097341903</v>
      </c>
      <c r="B124">
        <v>-0.55342380314257789</v>
      </c>
      <c r="C124">
        <v>-0.39810509400237981</v>
      </c>
      <c r="D124">
        <v>-0.77561550788217459</v>
      </c>
      <c r="E124">
        <v>-1.133468316513957</v>
      </c>
      <c r="F124">
        <v>-1.354003163906603</v>
      </c>
      <c r="G124">
        <v>-0.53317037952815982</v>
      </c>
      <c r="H124">
        <v>-0.63108711295918551</v>
      </c>
      <c r="J124">
        <f t="shared" si="2"/>
        <v>-5.3788733779350384</v>
      </c>
      <c r="K124">
        <f t="shared" si="3"/>
        <v>7</v>
      </c>
    </row>
    <row r="125" spans="1:11" x14ac:dyDescent="0.35">
      <c r="A125">
        <v>18097341904</v>
      </c>
      <c r="B125">
        <v>-0.16122656376060829</v>
      </c>
      <c r="C125">
        <v>9.0843412281277403E-2</v>
      </c>
      <c r="D125">
        <v>0.25351657469575117</v>
      </c>
      <c r="E125">
        <v>-1.04835573368582</v>
      </c>
      <c r="F125">
        <v>0.54023146029565494</v>
      </c>
      <c r="G125">
        <v>-0.50007467533844252</v>
      </c>
      <c r="H125">
        <v>-0.66234733466801632</v>
      </c>
      <c r="J125">
        <f t="shared" si="2"/>
        <v>-1.4874128601802035</v>
      </c>
      <c r="K125">
        <f t="shared" si="3"/>
        <v>7</v>
      </c>
    </row>
    <row r="126" spans="1:11" x14ac:dyDescent="0.35">
      <c r="A126">
        <v>18097342000</v>
      </c>
      <c r="B126">
        <v>-0.95204359863440924</v>
      </c>
      <c r="C126">
        <v>-1.0683083194279701</v>
      </c>
      <c r="D126">
        <v>0.10253946927695209</v>
      </c>
      <c r="E126">
        <v>-0.35584500718140399</v>
      </c>
      <c r="F126">
        <v>0.42921542411873309</v>
      </c>
      <c r="G126">
        <v>0.38200013807202737</v>
      </c>
      <c r="J126">
        <f t="shared" si="2"/>
        <v>-1.4624418937760706</v>
      </c>
      <c r="K126">
        <f t="shared" si="3"/>
        <v>6</v>
      </c>
    </row>
    <row r="127" spans="1:11" x14ac:dyDescent="0.35">
      <c r="A127">
        <v>18097342101</v>
      </c>
      <c r="B127">
        <v>-0.68508502962839235</v>
      </c>
      <c r="C127">
        <v>-0.5516402840636121</v>
      </c>
      <c r="D127">
        <v>-9.8785275917514515E-2</v>
      </c>
      <c r="E127">
        <v>-0.57937338910686298</v>
      </c>
      <c r="F127">
        <v>0.70120462091160085</v>
      </c>
      <c r="G127">
        <v>-1.112630712516284</v>
      </c>
      <c r="H127">
        <v>-0.16042075161425759</v>
      </c>
      <c r="J127">
        <f t="shared" si="2"/>
        <v>-2.4867308219353226</v>
      </c>
      <c r="K127">
        <f t="shared" si="3"/>
        <v>7</v>
      </c>
    </row>
    <row r="128" spans="1:11" x14ac:dyDescent="0.35">
      <c r="A128">
        <v>18097342200</v>
      </c>
      <c r="B128">
        <v>-0.76545763758172625</v>
      </c>
      <c r="C128">
        <v>0.25865864650158732</v>
      </c>
      <c r="D128">
        <v>-0.4474673615795885</v>
      </c>
      <c r="E128">
        <v>-0.59249850848215857</v>
      </c>
      <c r="F128">
        <v>-0.4238634980066448</v>
      </c>
      <c r="G128">
        <v>-1.15619627911359</v>
      </c>
      <c r="H128">
        <v>-4.2614130491711658E-2</v>
      </c>
      <c r="J128">
        <f t="shared" si="2"/>
        <v>-3.1694387687538326</v>
      </c>
      <c r="K128">
        <f t="shared" si="3"/>
        <v>7</v>
      </c>
    </row>
    <row r="129" spans="1:11" x14ac:dyDescent="0.35">
      <c r="A129">
        <v>18097342300</v>
      </c>
      <c r="B129">
        <v>-1.12800923411737</v>
      </c>
      <c r="C129">
        <v>7.8579312619540959E-2</v>
      </c>
      <c r="D129">
        <v>-0.43871411178852482</v>
      </c>
      <c r="E129">
        <v>0.42005195665768091</v>
      </c>
      <c r="F129">
        <v>0.12956828258259481</v>
      </c>
      <c r="G129">
        <v>-1.15619627911359</v>
      </c>
      <c r="H129">
        <v>-4.2614130491711658E-2</v>
      </c>
      <c r="J129">
        <f t="shared" si="2"/>
        <v>-2.1373342036513798</v>
      </c>
      <c r="K129">
        <f t="shared" si="3"/>
        <v>7</v>
      </c>
    </row>
    <row r="130" spans="1:11" x14ac:dyDescent="0.35">
      <c r="A130">
        <v>18097342400</v>
      </c>
      <c r="B130">
        <v>-1.3605876899903591</v>
      </c>
      <c r="C130">
        <v>-0.1994819078676163</v>
      </c>
      <c r="D130">
        <v>-0.311166757690167</v>
      </c>
      <c r="E130">
        <v>0.78480050551173208</v>
      </c>
      <c r="F130">
        <v>-0.48520818369463781</v>
      </c>
      <c r="G130">
        <v>-1.146573068797178</v>
      </c>
      <c r="H130">
        <v>-3.4131325922294488E-2</v>
      </c>
      <c r="J130">
        <f t="shared" si="2"/>
        <v>-2.7523484284505204</v>
      </c>
      <c r="K130">
        <f t="shared" si="3"/>
        <v>7</v>
      </c>
    </row>
    <row r="131" spans="1:11" x14ac:dyDescent="0.35">
      <c r="A131">
        <v>18097342500</v>
      </c>
      <c r="B131">
        <v>-1.2712863439883959</v>
      </c>
      <c r="C131">
        <v>0.31973845601559692</v>
      </c>
      <c r="D131">
        <v>-0.66162581887373517</v>
      </c>
      <c r="E131">
        <v>0.2488991069009992</v>
      </c>
      <c r="F131">
        <v>0.63699411208322143</v>
      </c>
      <c r="G131">
        <v>-1.15619627911359</v>
      </c>
      <c r="H131">
        <v>-4.2614130491711658E-2</v>
      </c>
      <c r="J131">
        <f t="shared" ref="J131:J194" si="4">SUM(B131:H131)</f>
        <v>-1.9260908974676152</v>
      </c>
      <c r="K131">
        <f t="shared" ref="K131:K194" si="5">IF(B131=0,0,1)+IF(C131=0,0,1)+IF(D131=0,0,1)+IF(E131=0,0,1)+IF(F131=0,0,1)+IF(G131=0,0,1)+IF(H131=0,0,1)</f>
        <v>7</v>
      </c>
    </row>
    <row r="132" spans="1:11" x14ac:dyDescent="0.35">
      <c r="A132">
        <v>18097342600</v>
      </c>
      <c r="B132">
        <v>-1.520046266369254</v>
      </c>
      <c r="C132">
        <v>-0.78257914428008279</v>
      </c>
      <c r="D132">
        <v>-0.70015986212687675</v>
      </c>
      <c r="E132">
        <v>0.25981727206899091</v>
      </c>
      <c r="F132">
        <v>-1.864462017689952</v>
      </c>
      <c r="G132">
        <v>-0.74303501570616548</v>
      </c>
      <c r="H132">
        <v>0.1183338531041961</v>
      </c>
      <c r="J132">
        <f t="shared" si="4"/>
        <v>-5.2321311809991435</v>
      </c>
      <c r="K132">
        <f t="shared" si="5"/>
        <v>7</v>
      </c>
    </row>
    <row r="133" spans="1:11" x14ac:dyDescent="0.35">
      <c r="A133">
        <v>18097350100</v>
      </c>
      <c r="B133">
        <v>0.19617074747045199</v>
      </c>
      <c r="C133">
        <v>-0.78518545112374949</v>
      </c>
      <c r="D133">
        <v>-0.43331737131583881</v>
      </c>
      <c r="E133">
        <v>-1.11081455217875</v>
      </c>
      <c r="F133">
        <v>-1.1919413544874069</v>
      </c>
      <c r="G133">
        <v>-0.65151946059705035</v>
      </c>
      <c r="H133">
        <v>-0.45981175696823501</v>
      </c>
      <c r="J133">
        <f t="shared" si="4"/>
        <v>-4.4364191992005786</v>
      </c>
      <c r="K133">
        <f t="shared" si="5"/>
        <v>7</v>
      </c>
    </row>
    <row r="134" spans="1:11" x14ac:dyDescent="0.35">
      <c r="A134">
        <v>18097350300</v>
      </c>
      <c r="B134">
        <v>-0.61570777190945103</v>
      </c>
      <c r="C134">
        <v>0.64800656738544793</v>
      </c>
      <c r="D134">
        <v>-1.1129776013332491</v>
      </c>
      <c r="E134">
        <v>-1.1674799481896929</v>
      </c>
      <c r="F134">
        <v>-1.4963362131179889</v>
      </c>
      <c r="G134">
        <v>-0.44704504589328042</v>
      </c>
      <c r="H134">
        <v>-0.29766468519757688</v>
      </c>
      <c r="J134">
        <f t="shared" si="4"/>
        <v>-4.4892046982557909</v>
      </c>
      <c r="K134">
        <f t="shared" si="5"/>
        <v>7</v>
      </c>
    </row>
    <row r="135" spans="1:11" x14ac:dyDescent="0.35">
      <c r="A135">
        <v>18097350400</v>
      </c>
      <c r="B135">
        <v>-0.13323514335263709</v>
      </c>
      <c r="C135">
        <v>-0.20391568572534721</v>
      </c>
      <c r="D135">
        <v>-0.33949964517176812</v>
      </c>
      <c r="E135">
        <v>-0.2056214137313801</v>
      </c>
      <c r="F135">
        <v>-0.44812915637549883</v>
      </c>
      <c r="G135">
        <v>0.50840186222361583</v>
      </c>
      <c r="H135">
        <v>0.45999939031977549</v>
      </c>
      <c r="J135">
        <f t="shared" si="4"/>
        <v>-0.3619997918132401</v>
      </c>
      <c r="K135">
        <f t="shared" si="5"/>
        <v>7</v>
      </c>
    </row>
    <row r="136" spans="1:11" x14ac:dyDescent="0.35">
      <c r="A136">
        <v>18097350500</v>
      </c>
      <c r="B136">
        <v>-1.0216707822641971</v>
      </c>
      <c r="C136">
        <v>0.49443100831750181</v>
      </c>
      <c r="D136">
        <v>-0.83530872262273725</v>
      </c>
      <c r="E136">
        <v>-1.477179234505086</v>
      </c>
      <c r="F136">
        <v>-1.5450701116957199</v>
      </c>
      <c r="G136">
        <v>-1.7905594809838139</v>
      </c>
      <c r="H136">
        <v>-0.97058205636513095</v>
      </c>
      <c r="J136">
        <f t="shared" si="4"/>
        <v>-7.1459393801191826</v>
      </c>
      <c r="K136">
        <f t="shared" si="5"/>
        <v>7</v>
      </c>
    </row>
    <row r="137" spans="1:11" x14ac:dyDescent="0.35">
      <c r="A137">
        <v>18097350600</v>
      </c>
      <c r="B137">
        <v>-0.95231050510098303</v>
      </c>
      <c r="C137">
        <v>2.0283747333254172</v>
      </c>
      <c r="D137">
        <v>-1.2633952885323181</v>
      </c>
      <c r="E137">
        <v>-1.9773135944693041</v>
      </c>
      <c r="F137">
        <v>-0.15054483093164051</v>
      </c>
      <c r="G137">
        <v>-1.7905594809838139</v>
      </c>
      <c r="H137">
        <v>-0.97058205636513095</v>
      </c>
      <c r="J137">
        <f t="shared" si="4"/>
        <v>-5.0763310230577732</v>
      </c>
      <c r="K137">
        <f t="shared" si="5"/>
        <v>7</v>
      </c>
    </row>
    <row r="138" spans="1:11" x14ac:dyDescent="0.35">
      <c r="A138">
        <v>18097350700</v>
      </c>
      <c r="B138">
        <v>-1.3138713936990229</v>
      </c>
      <c r="C138">
        <v>0.94827437462567243</v>
      </c>
      <c r="D138">
        <v>-1.247929020104499</v>
      </c>
      <c r="E138">
        <v>-1.8179901589458749</v>
      </c>
      <c r="F138">
        <v>-0.50234845625386493</v>
      </c>
      <c r="G138">
        <v>-1.7905594809838139</v>
      </c>
      <c r="H138">
        <v>-0.97058205636513095</v>
      </c>
      <c r="J138">
        <f t="shared" si="4"/>
        <v>-6.6950061917265344</v>
      </c>
      <c r="K138">
        <f t="shared" si="5"/>
        <v>7</v>
      </c>
    </row>
    <row r="139" spans="1:11" x14ac:dyDescent="0.35">
      <c r="A139">
        <v>18097350800</v>
      </c>
      <c r="B139">
        <v>-1.1297941293552061</v>
      </c>
      <c r="C139">
        <v>0.75775462319192244</v>
      </c>
      <c r="D139">
        <v>-1.4778170014592791</v>
      </c>
      <c r="E139">
        <v>-1.7749007558000081</v>
      </c>
      <c r="F139">
        <v>-1.879863805500682</v>
      </c>
      <c r="G139">
        <v>-1.285160088188444</v>
      </c>
      <c r="H139">
        <v>-0.65608568754400587</v>
      </c>
      <c r="J139">
        <f t="shared" si="4"/>
        <v>-7.4458668446557033</v>
      </c>
      <c r="K139">
        <f t="shared" si="5"/>
        <v>7</v>
      </c>
    </row>
    <row r="140" spans="1:11" x14ac:dyDescent="0.35">
      <c r="A140">
        <v>18097350900</v>
      </c>
      <c r="B140">
        <v>1.4489808068957371</v>
      </c>
      <c r="C140">
        <v>1.0924905915337511</v>
      </c>
      <c r="D140">
        <v>0.21610136788206891</v>
      </c>
      <c r="E140">
        <v>-0.28591083536178419</v>
      </c>
      <c r="F140">
        <v>-0.5793320546878119</v>
      </c>
      <c r="G140">
        <v>0.50840186222361583</v>
      </c>
      <c r="H140">
        <v>0.45999939031977549</v>
      </c>
      <c r="J140">
        <f t="shared" si="4"/>
        <v>2.8607311288053521</v>
      </c>
      <c r="K140">
        <f t="shared" si="5"/>
        <v>7</v>
      </c>
    </row>
    <row r="141" spans="1:11" x14ac:dyDescent="0.35">
      <c r="A141">
        <v>18097351000</v>
      </c>
      <c r="B141">
        <v>0.27652230368050812</v>
      </c>
      <c r="C141">
        <v>1.4995041773665009E-2</v>
      </c>
      <c r="E141">
        <v>-0.1129633330577014</v>
      </c>
      <c r="F141">
        <v>-3.2788128832491692</v>
      </c>
      <c r="G141">
        <v>-0.35200902942618839</v>
      </c>
      <c r="H141">
        <v>-0.22230165356737611</v>
      </c>
      <c r="J141">
        <f t="shared" si="4"/>
        <v>-3.6745695538462622</v>
      </c>
      <c r="K141">
        <f t="shared" si="5"/>
        <v>6</v>
      </c>
    </row>
    <row r="142" spans="1:11" x14ac:dyDescent="0.35">
      <c r="A142">
        <v>18097351200</v>
      </c>
      <c r="B142">
        <v>-1.155783256464594</v>
      </c>
      <c r="C142">
        <v>0.11586849106851679</v>
      </c>
      <c r="D142">
        <v>-1.0028380259547129</v>
      </c>
      <c r="E142">
        <v>-1.6423245454670219</v>
      </c>
      <c r="F142">
        <v>-0.87041342143103739</v>
      </c>
      <c r="G142">
        <v>-0.65151946059705035</v>
      </c>
      <c r="H142">
        <v>-0.45981175696823501</v>
      </c>
      <c r="J142">
        <f t="shared" si="4"/>
        <v>-5.6668219758141358</v>
      </c>
      <c r="K142">
        <f t="shared" si="5"/>
        <v>7</v>
      </c>
    </row>
    <row r="143" spans="1:11" x14ac:dyDescent="0.35">
      <c r="A143">
        <v>18097351500</v>
      </c>
      <c r="B143">
        <v>0.61942878390625977</v>
      </c>
      <c r="C143">
        <v>0.30297924642028168</v>
      </c>
      <c r="D143">
        <v>-0.44016201776900149</v>
      </c>
      <c r="E143">
        <v>-0.17405018055991001</v>
      </c>
      <c r="F143">
        <v>-0.86308742189817822</v>
      </c>
      <c r="G143">
        <v>-0.4142332136323571</v>
      </c>
      <c r="H143">
        <v>-0.2716450850033596</v>
      </c>
      <c r="J143">
        <f t="shared" si="4"/>
        <v>-1.240769888536265</v>
      </c>
      <c r="K143">
        <f t="shared" si="5"/>
        <v>7</v>
      </c>
    </row>
    <row r="144" spans="1:11" x14ac:dyDescent="0.35">
      <c r="A144">
        <v>18097351600</v>
      </c>
      <c r="B144">
        <v>2.4999121298850122</v>
      </c>
      <c r="C144">
        <v>-0.97073173745763197</v>
      </c>
      <c r="D144">
        <v>1.4230297234717151</v>
      </c>
      <c r="E144">
        <v>1.1543692765658209</v>
      </c>
      <c r="F144">
        <v>0.55645621002716616</v>
      </c>
      <c r="G144">
        <v>0.47327215556819963</v>
      </c>
      <c r="H144">
        <v>6.7791427341195365E-2</v>
      </c>
      <c r="J144">
        <f t="shared" si="4"/>
        <v>5.2040991854014766</v>
      </c>
      <c r="K144">
        <f t="shared" si="5"/>
        <v>7</v>
      </c>
    </row>
    <row r="145" spans="1:11" x14ac:dyDescent="0.35">
      <c r="A145">
        <v>18097351700</v>
      </c>
      <c r="B145">
        <v>0.91689038260614963</v>
      </c>
      <c r="C145">
        <v>-0.62999546904707571</v>
      </c>
      <c r="D145">
        <v>0.71553021028422981</v>
      </c>
      <c r="E145">
        <v>-0.2345915672113161</v>
      </c>
      <c r="F145">
        <v>-1.6030515901791751</v>
      </c>
      <c r="G145">
        <v>0.52596349206169724</v>
      </c>
      <c r="H145">
        <v>0.26873404471209128</v>
      </c>
      <c r="J145">
        <f t="shared" si="4"/>
        <v>-4.0520496773398973E-2</v>
      </c>
      <c r="K145">
        <f t="shared" si="5"/>
        <v>7</v>
      </c>
    </row>
    <row r="146" spans="1:11" x14ac:dyDescent="0.35">
      <c r="A146">
        <v>18097351900</v>
      </c>
      <c r="B146">
        <v>-0.65810453232434118</v>
      </c>
      <c r="C146">
        <v>0.95941690794086598</v>
      </c>
      <c r="D146">
        <v>-0.80598862651808378</v>
      </c>
      <c r="E146">
        <v>-1.9654999034168239</v>
      </c>
      <c r="F146">
        <v>-3.0803104524317951E-2</v>
      </c>
      <c r="G146">
        <v>-1.7905594809838139</v>
      </c>
      <c r="H146">
        <v>-0.97058205636513095</v>
      </c>
      <c r="J146">
        <f t="shared" si="4"/>
        <v>-5.2621207961916454</v>
      </c>
      <c r="K146">
        <f t="shared" si="5"/>
        <v>7</v>
      </c>
    </row>
    <row r="147" spans="1:11" x14ac:dyDescent="0.35">
      <c r="A147">
        <v>18097352100</v>
      </c>
      <c r="B147">
        <v>-1.3137150004879841</v>
      </c>
      <c r="C147">
        <v>-0.1245535804222295</v>
      </c>
      <c r="D147">
        <v>-0.74826982902362571</v>
      </c>
      <c r="E147">
        <v>-1.3888046460166581</v>
      </c>
      <c r="F147">
        <v>-2.6163019633452538</v>
      </c>
      <c r="G147">
        <v>-1.7905594809838139</v>
      </c>
      <c r="H147">
        <v>-0.97058205636513095</v>
      </c>
      <c r="J147">
        <f t="shared" si="4"/>
        <v>-8.9527865566446962</v>
      </c>
      <c r="K147">
        <f t="shared" si="5"/>
        <v>7</v>
      </c>
    </row>
    <row r="148" spans="1:11" x14ac:dyDescent="0.35">
      <c r="A148">
        <v>18097352300</v>
      </c>
      <c r="B148">
        <v>-1.234716437917935</v>
      </c>
      <c r="C148">
        <v>0.1802173236657095</v>
      </c>
      <c r="D148">
        <v>-1.2307844970174899</v>
      </c>
      <c r="E148">
        <v>-1.9999972824346139</v>
      </c>
      <c r="F148">
        <v>-0.99396137987239963</v>
      </c>
      <c r="G148">
        <v>-1.7905594809838139</v>
      </c>
      <c r="H148">
        <v>-0.97058205636513095</v>
      </c>
      <c r="J148">
        <f t="shared" si="4"/>
        <v>-8.0403838109256736</v>
      </c>
      <c r="K148">
        <f t="shared" si="5"/>
        <v>7</v>
      </c>
    </row>
    <row r="149" spans="1:11" x14ac:dyDescent="0.35">
      <c r="A149">
        <v>18097352400</v>
      </c>
      <c r="B149">
        <v>-1.031193297321616</v>
      </c>
      <c r="C149">
        <v>0.40248371947631389</v>
      </c>
      <c r="D149">
        <v>-0.88137845836517814</v>
      </c>
      <c r="E149">
        <v>-0.98950923194974283</v>
      </c>
      <c r="F149">
        <v>-0.14338642082303091</v>
      </c>
      <c r="G149">
        <v>-1.76839815069582</v>
      </c>
      <c r="H149">
        <v>-0.9652002582913346</v>
      </c>
      <c r="J149">
        <f t="shared" si="4"/>
        <v>-5.3765820979704086</v>
      </c>
      <c r="K149">
        <f t="shared" si="5"/>
        <v>7</v>
      </c>
    </row>
    <row r="150" spans="1:11" x14ac:dyDescent="0.35">
      <c r="A150">
        <v>18097352500</v>
      </c>
      <c r="B150">
        <v>-4.4695456322616137E-2</v>
      </c>
      <c r="C150">
        <v>0.39352855866637609</v>
      </c>
      <c r="D150">
        <v>-0.38119275601867708</v>
      </c>
      <c r="E150">
        <v>0.33900326388399649</v>
      </c>
      <c r="F150">
        <v>0.59203385818178789</v>
      </c>
      <c r="G150">
        <v>-1.05253177979585</v>
      </c>
      <c r="H150">
        <v>-0.80501978823325315</v>
      </c>
      <c r="J150">
        <f t="shared" si="4"/>
        <v>-0.95887409963823589</v>
      </c>
      <c r="K150">
        <f t="shared" si="5"/>
        <v>7</v>
      </c>
    </row>
    <row r="151" spans="1:11" x14ac:dyDescent="0.35">
      <c r="A151">
        <v>18097352600</v>
      </c>
      <c r="B151">
        <v>-0.78773694684569207</v>
      </c>
      <c r="C151">
        <v>0.1175752629817515</v>
      </c>
      <c r="D151">
        <v>-0.22139658690061079</v>
      </c>
      <c r="E151">
        <v>-0.42887229638118568</v>
      </c>
      <c r="F151">
        <v>-1.5869103086359779</v>
      </c>
      <c r="G151">
        <v>-1.2995717967239</v>
      </c>
      <c r="H151">
        <v>-0.85134749151415234</v>
      </c>
      <c r="J151">
        <f t="shared" si="4"/>
        <v>-5.0582601640197673</v>
      </c>
      <c r="K151">
        <f t="shared" si="5"/>
        <v>7</v>
      </c>
    </row>
    <row r="152" spans="1:11" x14ac:dyDescent="0.35">
      <c r="A152">
        <v>18097352700</v>
      </c>
      <c r="B152">
        <v>0.72742972260090977</v>
      </c>
      <c r="C152">
        <v>0.60513923784438162</v>
      </c>
      <c r="D152">
        <v>-0.43960259954927178</v>
      </c>
      <c r="E152">
        <v>0.69418622632350335</v>
      </c>
      <c r="F152">
        <v>-1.5554517254247331</v>
      </c>
      <c r="G152">
        <v>-1.1648608245489891</v>
      </c>
      <c r="H152">
        <v>-0.81307310791225551</v>
      </c>
      <c r="J152">
        <f t="shared" si="4"/>
        <v>-1.9462330706664548</v>
      </c>
      <c r="K152">
        <f t="shared" si="5"/>
        <v>7</v>
      </c>
    </row>
    <row r="153" spans="1:11" x14ac:dyDescent="0.35">
      <c r="A153">
        <v>18097352800</v>
      </c>
      <c r="B153">
        <v>-0.31564196276927919</v>
      </c>
      <c r="C153">
        <v>2.365232990520259E-2</v>
      </c>
      <c r="D153">
        <v>-0.93268039980979622</v>
      </c>
      <c r="E153">
        <v>-1.3781281174749651</v>
      </c>
      <c r="F153">
        <v>-0.98177727100060319</v>
      </c>
      <c r="G153">
        <v>-3.8483335501377549E-4</v>
      </c>
      <c r="H153">
        <v>-0.41528510429145982</v>
      </c>
      <c r="J153">
        <f t="shared" si="4"/>
        <v>-4.0002453587959153</v>
      </c>
      <c r="K153">
        <f t="shared" si="5"/>
        <v>7</v>
      </c>
    </row>
    <row r="154" spans="1:11" x14ac:dyDescent="0.35">
      <c r="A154">
        <v>18097353300</v>
      </c>
      <c r="B154">
        <v>1.2737872968304511</v>
      </c>
      <c r="C154">
        <v>0.24951394274517111</v>
      </c>
      <c r="D154">
        <v>-0.4627361882827975</v>
      </c>
      <c r="E154">
        <v>1.0721292568225811</v>
      </c>
      <c r="F154">
        <v>-1.2373018781636369</v>
      </c>
      <c r="G154">
        <v>1.941997927184129</v>
      </c>
      <c r="H154">
        <v>0.18751744104799969</v>
      </c>
      <c r="J154">
        <f t="shared" si="4"/>
        <v>3.0249077981838974</v>
      </c>
      <c r="K154">
        <f t="shared" si="5"/>
        <v>7</v>
      </c>
    </row>
    <row r="155" spans="1:11" x14ac:dyDescent="0.35">
      <c r="A155">
        <v>18097353500</v>
      </c>
      <c r="B155">
        <v>1.3782815626087159</v>
      </c>
      <c r="C155">
        <v>1.0078364325754059</v>
      </c>
      <c r="D155">
        <v>-0.93814295419068561</v>
      </c>
      <c r="E155">
        <v>-0.21954857010328471</v>
      </c>
      <c r="F155">
        <v>0.49087578342174021</v>
      </c>
      <c r="G155">
        <v>1.941997927184129</v>
      </c>
      <c r="H155">
        <v>0.18751744104799969</v>
      </c>
      <c r="J155">
        <f t="shared" si="4"/>
        <v>3.8488176225440203</v>
      </c>
      <c r="K155">
        <f t="shared" si="5"/>
        <v>7</v>
      </c>
    </row>
    <row r="156" spans="1:11" x14ac:dyDescent="0.35">
      <c r="A156">
        <v>18097353600</v>
      </c>
      <c r="B156">
        <v>-0.17166997484690749</v>
      </c>
      <c r="C156">
        <v>3.2066797343721178E-2</v>
      </c>
      <c r="D156">
        <v>-0.79753153931393572</v>
      </c>
      <c r="E156">
        <v>-1.0036064520438011</v>
      </c>
      <c r="F156">
        <v>-1.8219553461512279</v>
      </c>
      <c r="G156">
        <v>1.227204373558656</v>
      </c>
      <c r="H156">
        <v>-4.5309027748890368E-2</v>
      </c>
      <c r="J156">
        <f t="shared" si="4"/>
        <v>-2.5808011692023856</v>
      </c>
      <c r="K156">
        <f t="shared" si="5"/>
        <v>7</v>
      </c>
    </row>
    <row r="157" spans="1:11" x14ac:dyDescent="0.35">
      <c r="A157">
        <v>18097354200</v>
      </c>
      <c r="B157">
        <v>1.7922101628202141</v>
      </c>
      <c r="C157">
        <v>0.23429817746775941</v>
      </c>
      <c r="D157">
        <v>5.9201010724955948E-2</v>
      </c>
      <c r="E157">
        <v>0.33230131785623168</v>
      </c>
      <c r="F157">
        <v>5.399966646117127E-2</v>
      </c>
      <c r="J157">
        <f t="shared" si="4"/>
        <v>2.4720103353303324</v>
      </c>
      <c r="K157">
        <f t="shared" si="5"/>
        <v>5</v>
      </c>
    </row>
    <row r="158" spans="1:11" x14ac:dyDescent="0.35">
      <c r="A158">
        <v>18097354201</v>
      </c>
      <c r="B158">
        <v>1.3511688086963689</v>
      </c>
      <c r="C158">
        <v>-0.23285408666014309</v>
      </c>
      <c r="D158">
        <v>0.6761076792703411</v>
      </c>
      <c r="E158">
        <v>0.55050458663554769</v>
      </c>
      <c r="F158">
        <v>0.1231575462635137</v>
      </c>
      <c r="G158">
        <v>1.907400453060216</v>
      </c>
      <c r="H158">
        <v>1.3366650609660251</v>
      </c>
      <c r="J158">
        <f t="shared" si="4"/>
        <v>5.7121500482318694</v>
      </c>
      <c r="K158">
        <f t="shared" si="5"/>
        <v>7</v>
      </c>
    </row>
    <row r="159" spans="1:11" x14ac:dyDescent="0.35">
      <c r="A159">
        <v>18097354202</v>
      </c>
      <c r="B159">
        <v>1.482917364857073</v>
      </c>
      <c r="C159">
        <v>-0.81539146513025873</v>
      </c>
      <c r="D159">
        <v>0.1228430599577279</v>
      </c>
      <c r="E159">
        <v>0.73052587699804572</v>
      </c>
      <c r="F159">
        <v>0.24121155942358721</v>
      </c>
      <c r="G159">
        <v>1.921404486139787</v>
      </c>
      <c r="H159">
        <v>0.87152413116849203</v>
      </c>
      <c r="J159">
        <f t="shared" si="4"/>
        <v>4.5550350134144537</v>
      </c>
      <c r="K159">
        <f t="shared" si="5"/>
        <v>7</v>
      </c>
    </row>
    <row r="160" spans="1:11" x14ac:dyDescent="0.35">
      <c r="A160">
        <v>18097354400</v>
      </c>
      <c r="B160">
        <v>1.1281459101328311</v>
      </c>
      <c r="C160">
        <v>-0.30577968544457668</v>
      </c>
      <c r="D160">
        <v>0.1177095751178559</v>
      </c>
      <c r="E160">
        <v>1.484351039469324</v>
      </c>
      <c r="F160">
        <v>-1.1367867190648371</v>
      </c>
      <c r="G160">
        <v>1.1194428203634981</v>
      </c>
      <c r="H160">
        <v>-8.1157819546852972E-2</v>
      </c>
      <c r="J160">
        <f t="shared" si="4"/>
        <v>2.3259251210272422</v>
      </c>
      <c r="K160">
        <f t="shared" si="5"/>
        <v>7</v>
      </c>
    </row>
    <row r="161" spans="1:11" x14ac:dyDescent="0.35">
      <c r="A161">
        <v>18097354500</v>
      </c>
      <c r="B161">
        <v>0.34428330570031479</v>
      </c>
      <c r="C161">
        <v>-0.78323880290125902</v>
      </c>
      <c r="D161">
        <v>0.22827694089971401</v>
      </c>
      <c r="E161">
        <v>0.67280165436403727</v>
      </c>
      <c r="F161">
        <v>-1.621058639687085</v>
      </c>
      <c r="G161">
        <v>-1.0615312556289329</v>
      </c>
      <c r="H161">
        <v>-0.79354021600757396</v>
      </c>
      <c r="J161">
        <f t="shared" si="4"/>
        <v>-3.0140070132607848</v>
      </c>
      <c r="K161">
        <f t="shared" si="5"/>
        <v>7</v>
      </c>
    </row>
    <row r="162" spans="1:11" x14ac:dyDescent="0.35">
      <c r="A162">
        <v>18097354700</v>
      </c>
      <c r="B162">
        <v>0.1976468952115642</v>
      </c>
      <c r="C162">
        <v>-0.8266944488583724</v>
      </c>
      <c r="D162">
        <v>-1.3968988013230921</v>
      </c>
      <c r="E162">
        <v>-0.26781749757313589</v>
      </c>
      <c r="F162">
        <v>-1.803610251868152</v>
      </c>
      <c r="G162">
        <v>-1.0615312556289329</v>
      </c>
      <c r="H162">
        <v>-0.79354021600757396</v>
      </c>
      <c r="J162">
        <f t="shared" si="4"/>
        <v>-5.9524455760476949</v>
      </c>
      <c r="K162">
        <f t="shared" si="5"/>
        <v>7</v>
      </c>
    </row>
    <row r="163" spans="1:11" x14ac:dyDescent="0.35">
      <c r="A163">
        <v>18097354800</v>
      </c>
      <c r="B163">
        <v>-0.55494630620912544</v>
      </c>
      <c r="C163">
        <v>0.46638116203038571</v>
      </c>
      <c r="D163">
        <v>-7.8185522649823105E-2</v>
      </c>
      <c r="E163">
        <v>-0.6247541161565674</v>
      </c>
      <c r="F163">
        <v>-2.36542759508262</v>
      </c>
      <c r="G163">
        <v>-1.0615312556289329</v>
      </c>
      <c r="H163">
        <v>-0.79354021600757396</v>
      </c>
      <c r="J163">
        <f t="shared" si="4"/>
        <v>-5.0120038497042572</v>
      </c>
      <c r="K163">
        <f t="shared" si="5"/>
        <v>7</v>
      </c>
    </row>
    <row r="164" spans="1:11" x14ac:dyDescent="0.35">
      <c r="A164">
        <v>18097354900</v>
      </c>
      <c r="B164">
        <v>-1.0757060203381359</v>
      </c>
      <c r="C164">
        <v>0.1036676224980599</v>
      </c>
      <c r="D164">
        <v>-1.001883724285763</v>
      </c>
      <c r="E164">
        <v>-0.72319493262176893</v>
      </c>
      <c r="F164">
        <v>-0.24614448891504839</v>
      </c>
      <c r="G164">
        <v>-1.0615312556289329</v>
      </c>
      <c r="H164">
        <v>-0.79354021600757396</v>
      </c>
      <c r="J164">
        <f t="shared" si="4"/>
        <v>-4.7983330152991632</v>
      </c>
      <c r="K164">
        <f t="shared" si="5"/>
        <v>7</v>
      </c>
    </row>
    <row r="165" spans="1:11" x14ac:dyDescent="0.35">
      <c r="A165">
        <v>18097355000</v>
      </c>
      <c r="B165">
        <v>-0.76050830628127442</v>
      </c>
      <c r="C165">
        <v>-0.88620850610475033</v>
      </c>
      <c r="D165">
        <v>-0.67597325086209525</v>
      </c>
      <c r="E165">
        <v>-0.35142061989628781</v>
      </c>
      <c r="F165">
        <v>-2.479673531815016</v>
      </c>
      <c r="G165">
        <v>-1.0615312556289329</v>
      </c>
      <c r="H165">
        <v>-0.79354021600757396</v>
      </c>
      <c r="J165">
        <f t="shared" si="4"/>
        <v>-7.0088556865959308</v>
      </c>
      <c r="K165">
        <f t="shared" si="5"/>
        <v>7</v>
      </c>
    </row>
    <row r="166" spans="1:11" x14ac:dyDescent="0.35">
      <c r="A166">
        <v>18097355100</v>
      </c>
      <c r="B166">
        <v>-0.86096244378185938</v>
      </c>
      <c r="C166">
        <v>1.482444946120125</v>
      </c>
      <c r="D166">
        <v>-1.5419526550035769</v>
      </c>
      <c r="E166">
        <v>7.7464293510439208E-2</v>
      </c>
      <c r="F166">
        <v>-0.75184301358596228</v>
      </c>
      <c r="G166">
        <v>-1.0615312556289329</v>
      </c>
      <c r="H166">
        <v>-0.79354021600757396</v>
      </c>
      <c r="J166">
        <f t="shared" si="4"/>
        <v>-3.4499203443773414</v>
      </c>
      <c r="K166">
        <f t="shared" si="5"/>
        <v>7</v>
      </c>
    </row>
    <row r="167" spans="1:11" x14ac:dyDescent="0.35">
      <c r="A167">
        <v>18097355300</v>
      </c>
      <c r="B167">
        <v>9.5930255976228399E-3</v>
      </c>
      <c r="C167">
        <v>0.49173191281607448</v>
      </c>
      <c r="D167">
        <v>-0.7933852630971161</v>
      </c>
      <c r="E167">
        <v>0.42732884298621709</v>
      </c>
      <c r="F167">
        <v>-5.6154957076026323E-2</v>
      </c>
      <c r="G167">
        <v>-1.0482000632065189</v>
      </c>
      <c r="H167">
        <v>-0.81054524931239713</v>
      </c>
      <c r="J167">
        <f t="shared" si="4"/>
        <v>-1.7796317512921442</v>
      </c>
      <c r="K167">
        <f t="shared" si="5"/>
        <v>7</v>
      </c>
    </row>
    <row r="168" spans="1:11" x14ac:dyDescent="0.35">
      <c r="A168">
        <v>18097355400</v>
      </c>
      <c r="B168">
        <v>-0.54084364517315964</v>
      </c>
      <c r="C168">
        <v>-0.2331968157331436</v>
      </c>
      <c r="D168">
        <v>-0.83284070106510655</v>
      </c>
      <c r="E168">
        <v>-5.4546088325595439E-2</v>
      </c>
      <c r="F168">
        <v>-1.7590052219804391</v>
      </c>
      <c r="G168">
        <v>-1.0551166799682059</v>
      </c>
      <c r="H168">
        <v>-0.80172253528484794</v>
      </c>
      <c r="J168">
        <f t="shared" si="4"/>
        <v>-5.2772716875304981</v>
      </c>
      <c r="K168">
        <f t="shared" si="5"/>
        <v>7</v>
      </c>
    </row>
    <row r="169" spans="1:11" x14ac:dyDescent="0.35">
      <c r="A169">
        <v>18097355500</v>
      </c>
      <c r="B169">
        <v>-0.58017445060155137</v>
      </c>
      <c r="C169">
        <v>-0.64796494927143722</v>
      </c>
      <c r="D169">
        <v>-0.47823536366471869</v>
      </c>
      <c r="E169">
        <v>1.2129682154983841</v>
      </c>
      <c r="F169">
        <v>0.20066262138758731</v>
      </c>
      <c r="G169">
        <v>-0.97113218327087836</v>
      </c>
      <c r="H169">
        <v>-0.52607915033144947</v>
      </c>
      <c r="J169">
        <f t="shared" si="4"/>
        <v>-1.7899552602540638</v>
      </c>
      <c r="K169">
        <f t="shared" si="5"/>
        <v>7</v>
      </c>
    </row>
    <row r="170" spans="1:11" x14ac:dyDescent="0.35">
      <c r="A170">
        <v>18097355600</v>
      </c>
      <c r="B170">
        <v>-0.74520790640707868</v>
      </c>
      <c r="C170">
        <v>0.49426035843357269</v>
      </c>
      <c r="D170">
        <v>-0.96081584556678679</v>
      </c>
      <c r="E170">
        <v>-0.43535930986321891</v>
      </c>
      <c r="F170">
        <v>-0.53944558789957597</v>
      </c>
      <c r="G170">
        <v>-1.037255545372409</v>
      </c>
      <c r="H170">
        <v>-0.70822959302460486</v>
      </c>
      <c r="J170">
        <f t="shared" si="4"/>
        <v>-3.9320534297001015</v>
      </c>
      <c r="K170">
        <f t="shared" si="5"/>
        <v>7</v>
      </c>
    </row>
    <row r="171" spans="1:11" x14ac:dyDescent="0.35">
      <c r="A171">
        <v>18097355700</v>
      </c>
      <c r="B171">
        <v>-1.128537761899201</v>
      </c>
      <c r="C171">
        <v>0.69568432739919395</v>
      </c>
      <c r="D171">
        <v>-0.985561875051298</v>
      </c>
      <c r="E171">
        <v>0.91960135878456783</v>
      </c>
      <c r="F171">
        <v>-1.529214867061973</v>
      </c>
      <c r="G171">
        <v>-0.49472318974727308</v>
      </c>
      <c r="H171">
        <v>-0.50172010544857393</v>
      </c>
      <c r="J171">
        <f t="shared" si="4"/>
        <v>-3.0244721130245571</v>
      </c>
      <c r="K171">
        <f t="shared" si="5"/>
        <v>7</v>
      </c>
    </row>
    <row r="172" spans="1:11" x14ac:dyDescent="0.35">
      <c r="A172">
        <v>18097355900</v>
      </c>
      <c r="B172">
        <v>1.366898850048339</v>
      </c>
      <c r="C172">
        <v>0.29072466317253859</v>
      </c>
      <c r="D172">
        <v>1.388247072986172</v>
      </c>
      <c r="E172">
        <v>1.2540185638108521</v>
      </c>
      <c r="F172">
        <v>-0.97338952715260862</v>
      </c>
      <c r="G172">
        <v>-0.84278924701807822</v>
      </c>
      <c r="H172">
        <v>-9.1708225654144243E-2</v>
      </c>
      <c r="J172">
        <f t="shared" si="4"/>
        <v>2.3920021501930711</v>
      </c>
      <c r="K172">
        <f t="shared" si="5"/>
        <v>7</v>
      </c>
    </row>
    <row r="173" spans="1:11" x14ac:dyDescent="0.35">
      <c r="A173">
        <v>18097356200</v>
      </c>
      <c r="B173">
        <v>3.9660734008301279E-2</v>
      </c>
      <c r="C173">
        <v>-1.2627034342409089</v>
      </c>
      <c r="D173">
        <v>0.98444583920367756</v>
      </c>
      <c r="E173">
        <v>3.1289488574769999E-3</v>
      </c>
      <c r="F173">
        <v>-0.57765971858270526</v>
      </c>
      <c r="G173">
        <v>1.1117809092837989</v>
      </c>
      <c r="H173">
        <v>0.61240529658822862</v>
      </c>
      <c r="J173">
        <f t="shared" si="4"/>
        <v>0.91105857511786914</v>
      </c>
      <c r="K173">
        <f t="shared" si="5"/>
        <v>7</v>
      </c>
    </row>
    <row r="174" spans="1:11" x14ac:dyDescent="0.35">
      <c r="A174">
        <v>18097356400</v>
      </c>
      <c r="B174">
        <v>-2.0960660878259802E-3</v>
      </c>
      <c r="C174">
        <v>5.4664687035737437E-2</v>
      </c>
      <c r="D174">
        <v>-0.77837969202672097</v>
      </c>
      <c r="E174">
        <v>-0.40254141445123021</v>
      </c>
      <c r="F174">
        <v>-0.55064055457468786</v>
      </c>
      <c r="G174">
        <v>-1.1201038072312499</v>
      </c>
      <c r="H174">
        <v>-0.44480503164828877</v>
      </c>
      <c r="J174">
        <f t="shared" si="4"/>
        <v>-3.2439018789842669</v>
      </c>
      <c r="K174">
        <f t="shared" si="5"/>
        <v>7</v>
      </c>
    </row>
    <row r="175" spans="1:11" x14ac:dyDescent="0.35">
      <c r="A175">
        <v>18097356900</v>
      </c>
      <c r="B175">
        <v>0.23583600571783969</v>
      </c>
      <c r="C175">
        <v>-0.31795392159474278</v>
      </c>
      <c r="D175">
        <v>-0.65902616949969739</v>
      </c>
      <c r="E175">
        <v>0.78170645183408727</v>
      </c>
      <c r="F175">
        <v>-2.2530867485456239</v>
      </c>
      <c r="G175">
        <v>-0.80321477118194173</v>
      </c>
      <c r="J175">
        <f t="shared" si="4"/>
        <v>-3.0157391532700792</v>
      </c>
      <c r="K175">
        <f t="shared" si="5"/>
        <v>6</v>
      </c>
    </row>
    <row r="176" spans="1:11" x14ac:dyDescent="0.35">
      <c r="A176">
        <v>18097357000</v>
      </c>
      <c r="B176">
        <v>0.3106674379939694</v>
      </c>
      <c r="C176">
        <v>0.4776008692825861</v>
      </c>
      <c r="D176">
        <v>0.31459188150858708</v>
      </c>
      <c r="E176">
        <v>1.6708589805573819</v>
      </c>
      <c r="F176">
        <v>-0.80942615500412163</v>
      </c>
      <c r="G176">
        <v>-0.84171379154747106</v>
      </c>
      <c r="H176">
        <v>-1.2075931916165059</v>
      </c>
      <c r="J176">
        <f t="shared" si="4"/>
        <v>-8.5013968825573993E-2</v>
      </c>
      <c r="K176">
        <f t="shared" si="5"/>
        <v>7</v>
      </c>
    </row>
    <row r="177" spans="1:11" x14ac:dyDescent="0.35">
      <c r="A177">
        <v>18097357100</v>
      </c>
      <c r="B177">
        <v>0.82572221817980185</v>
      </c>
      <c r="C177">
        <v>0.33144597700678169</v>
      </c>
      <c r="D177">
        <v>0.4899201329626765</v>
      </c>
      <c r="E177">
        <v>0.9627907950296668</v>
      </c>
      <c r="F177">
        <v>-1.6884414321027641</v>
      </c>
      <c r="G177">
        <v>-0.85630928228715053</v>
      </c>
      <c r="H177">
        <v>-7.2341362891557875E-2</v>
      </c>
      <c r="J177">
        <f t="shared" si="4"/>
        <v>-7.2129541025456045E-3</v>
      </c>
      <c r="K177">
        <f t="shared" si="5"/>
        <v>7</v>
      </c>
    </row>
    <row r="178" spans="1:11" x14ac:dyDescent="0.35">
      <c r="A178">
        <v>18097357200</v>
      </c>
      <c r="B178">
        <v>0.19368094899802241</v>
      </c>
      <c r="C178">
        <v>-0.785799976132324</v>
      </c>
      <c r="D178">
        <v>-1.082498760355419E-2</v>
      </c>
      <c r="E178">
        <v>0.57111626867078169</v>
      </c>
      <c r="F178">
        <v>-1.582738501637716</v>
      </c>
      <c r="G178">
        <v>-0.85630928228715053</v>
      </c>
      <c r="H178">
        <v>-7.2341362891557875E-2</v>
      </c>
      <c r="J178">
        <f t="shared" si="4"/>
        <v>-2.5432168928834984</v>
      </c>
      <c r="K178">
        <f t="shared" si="5"/>
        <v>7</v>
      </c>
    </row>
    <row r="179" spans="1:11" x14ac:dyDescent="0.35">
      <c r="A179">
        <v>18097357300</v>
      </c>
      <c r="B179">
        <v>-1.27505680162907</v>
      </c>
      <c r="C179">
        <v>1.2464918833813831E-2</v>
      </c>
      <c r="D179">
        <v>-0.59541702722102718</v>
      </c>
      <c r="E179">
        <v>-0.23075100348402439</v>
      </c>
      <c r="F179">
        <v>-1.283672492372943</v>
      </c>
      <c r="G179">
        <v>-0.85630928228715053</v>
      </c>
      <c r="H179">
        <v>-7.2341362891557875E-2</v>
      </c>
      <c r="J179">
        <f t="shared" si="4"/>
        <v>-4.3010830510519584</v>
      </c>
      <c r="K179">
        <f t="shared" si="5"/>
        <v>7</v>
      </c>
    </row>
    <row r="180" spans="1:11" x14ac:dyDescent="0.35">
      <c r="A180">
        <v>18097357400</v>
      </c>
      <c r="B180">
        <v>-1.2684000166305529</v>
      </c>
      <c r="C180">
        <v>0.77061671611572025</v>
      </c>
      <c r="D180">
        <v>-1.154868153904768</v>
      </c>
      <c r="E180">
        <v>-0.29388759466443121</v>
      </c>
      <c r="F180">
        <v>-0.46801051597809512</v>
      </c>
      <c r="G180">
        <v>-0.85630928228715053</v>
      </c>
      <c r="H180">
        <v>-7.2341362891557875E-2</v>
      </c>
      <c r="J180">
        <f t="shared" si="4"/>
        <v>-3.3432002102408354</v>
      </c>
      <c r="K180">
        <f t="shared" si="5"/>
        <v>7</v>
      </c>
    </row>
    <row r="181" spans="1:11" x14ac:dyDescent="0.35">
      <c r="A181">
        <v>18097357500</v>
      </c>
      <c r="B181">
        <v>-0.51662955903501795</v>
      </c>
      <c r="C181">
        <v>1.8335400753383391</v>
      </c>
      <c r="D181">
        <v>-0.33732778620105308</v>
      </c>
      <c r="E181">
        <v>1.5123749883830599</v>
      </c>
      <c r="F181">
        <v>0.1027564022004803</v>
      </c>
      <c r="G181">
        <v>-0.85630928228715053</v>
      </c>
      <c r="H181">
        <v>-7.2341362891557875E-2</v>
      </c>
      <c r="J181">
        <f t="shared" si="4"/>
        <v>1.6660634755070998</v>
      </c>
      <c r="K181">
        <f t="shared" si="5"/>
        <v>7</v>
      </c>
    </row>
    <row r="182" spans="1:11" x14ac:dyDescent="0.35">
      <c r="A182">
        <v>18097357600</v>
      </c>
      <c r="B182">
        <v>-1.3166593887168041</v>
      </c>
      <c r="C182">
        <v>0.31055659368458932</v>
      </c>
      <c r="D182">
        <v>-0.99964605140684437</v>
      </c>
      <c r="E182">
        <v>0.57964973019710708</v>
      </c>
      <c r="F182">
        <v>-2.792476196307776</v>
      </c>
      <c r="J182">
        <f t="shared" si="4"/>
        <v>-4.2185753125497278</v>
      </c>
      <c r="K182">
        <f t="shared" si="5"/>
        <v>5</v>
      </c>
    </row>
    <row r="183" spans="1:11" x14ac:dyDescent="0.35">
      <c r="A183">
        <v>18097357601</v>
      </c>
      <c r="B183">
        <v>-1.325243372589944</v>
      </c>
      <c r="C183">
        <v>0.81164017131188493</v>
      </c>
      <c r="D183">
        <v>-0.80529758048194722</v>
      </c>
      <c r="E183">
        <v>0.5519469837574289</v>
      </c>
      <c r="F183">
        <v>-1.039034756936418</v>
      </c>
      <c r="G183">
        <v>-0.85630928228715053</v>
      </c>
      <c r="H183">
        <v>-7.2341362891557875E-2</v>
      </c>
      <c r="J183">
        <f t="shared" si="4"/>
        <v>-2.7346392001177038</v>
      </c>
      <c r="K183">
        <f t="shared" si="5"/>
        <v>7</v>
      </c>
    </row>
    <row r="184" spans="1:11" x14ac:dyDescent="0.35">
      <c r="A184">
        <v>18097357602</v>
      </c>
      <c r="B184">
        <v>-1.1030232853445909</v>
      </c>
      <c r="C184">
        <v>9.3038669705671317E-2</v>
      </c>
      <c r="D184">
        <v>-0.84824115558472246</v>
      </c>
      <c r="E184">
        <v>-0.32447842394942861</v>
      </c>
      <c r="F184">
        <v>-1.663903604997554</v>
      </c>
      <c r="G184">
        <v>-0.85630928228715053</v>
      </c>
      <c r="H184">
        <v>-7.2341362891557875E-2</v>
      </c>
      <c r="J184">
        <f t="shared" si="4"/>
        <v>-4.7752584453493325</v>
      </c>
      <c r="K184">
        <f t="shared" si="5"/>
        <v>7</v>
      </c>
    </row>
    <row r="185" spans="1:11" x14ac:dyDescent="0.35">
      <c r="A185">
        <v>18097357800</v>
      </c>
      <c r="B185">
        <v>-0.10388979488009099</v>
      </c>
      <c r="C185">
        <v>0.958098367603062</v>
      </c>
      <c r="D185">
        <v>-0.78802142957853183</v>
      </c>
      <c r="E185">
        <v>1.1430778531522729</v>
      </c>
      <c r="F185">
        <v>-1.619336851779636</v>
      </c>
      <c r="G185">
        <v>-0.82096813470245156</v>
      </c>
      <c r="H185">
        <v>-2.8212110748014978</v>
      </c>
      <c r="J185">
        <f t="shared" si="4"/>
        <v>-4.0522510649868728</v>
      </c>
      <c r="K185">
        <f t="shared" si="5"/>
        <v>7</v>
      </c>
    </row>
    <row r="186" spans="1:11" x14ac:dyDescent="0.35">
      <c r="A186">
        <v>18097357900</v>
      </c>
      <c r="B186">
        <v>-0.1300188203284301</v>
      </c>
      <c r="C186">
        <v>0.8040581577175937</v>
      </c>
      <c r="D186">
        <v>-0.10892061778085151</v>
      </c>
      <c r="E186">
        <v>0.80544822311355635</v>
      </c>
      <c r="F186">
        <v>-1.2045210809034419</v>
      </c>
      <c r="G186">
        <v>-0.81225906525133373</v>
      </c>
      <c r="H186">
        <v>-3.4986111840006879</v>
      </c>
      <c r="J186">
        <f t="shared" si="4"/>
        <v>-4.1448243874335953</v>
      </c>
      <c r="K186">
        <f t="shared" si="5"/>
        <v>7</v>
      </c>
    </row>
    <row r="187" spans="1:11" x14ac:dyDescent="0.35">
      <c r="A187">
        <v>18097358000</v>
      </c>
      <c r="B187">
        <v>-0.39796123007685341</v>
      </c>
      <c r="C187">
        <v>0.78803413361669605</v>
      </c>
      <c r="D187">
        <v>-0.8217839644869207</v>
      </c>
      <c r="E187">
        <v>1.445397745064936</v>
      </c>
      <c r="F187">
        <v>-0.46769676583544251</v>
      </c>
      <c r="G187">
        <v>-0.80321477118194173</v>
      </c>
      <c r="J187">
        <f t="shared" si="4"/>
        <v>-0.25722485289952624</v>
      </c>
      <c r="K187">
        <f t="shared" si="5"/>
        <v>6</v>
      </c>
    </row>
    <row r="188" spans="1:11" x14ac:dyDescent="0.35">
      <c r="A188">
        <v>18097358100</v>
      </c>
      <c r="B188">
        <v>-0.7602246654451732</v>
      </c>
      <c r="C188">
        <v>0.72849903147860062</v>
      </c>
      <c r="D188">
        <v>-0.80440909272120009</v>
      </c>
      <c r="E188">
        <v>0.71350040984307073</v>
      </c>
      <c r="F188">
        <v>-1.565485002677502</v>
      </c>
      <c r="G188">
        <v>-0.40485651184759031</v>
      </c>
      <c r="H188">
        <v>0.61968755484914451</v>
      </c>
      <c r="J188">
        <f t="shared" si="4"/>
        <v>-1.4732882765206499</v>
      </c>
      <c r="K188">
        <f t="shared" si="5"/>
        <v>7</v>
      </c>
    </row>
    <row r="189" spans="1:11" x14ac:dyDescent="0.35">
      <c r="A189">
        <v>18097360101</v>
      </c>
      <c r="B189">
        <v>-1.112814730835805</v>
      </c>
      <c r="C189">
        <v>0.61964428986155673</v>
      </c>
      <c r="D189">
        <v>-1.216700320661944</v>
      </c>
      <c r="E189">
        <v>-0.39648898948662448</v>
      </c>
      <c r="F189">
        <v>-0.90295348771471662</v>
      </c>
      <c r="G189">
        <v>-1.7905594809838139</v>
      </c>
      <c r="H189">
        <v>-0.97058205636513095</v>
      </c>
      <c r="J189">
        <f t="shared" si="4"/>
        <v>-5.7704547761864777</v>
      </c>
      <c r="K189">
        <f t="shared" si="5"/>
        <v>7</v>
      </c>
    </row>
    <row r="190" spans="1:11" x14ac:dyDescent="0.35">
      <c r="A190">
        <v>18097360102</v>
      </c>
      <c r="B190">
        <v>-1.2324696478432191</v>
      </c>
      <c r="C190">
        <v>0.98865491535993444</v>
      </c>
      <c r="D190">
        <v>-1.135156888397824</v>
      </c>
      <c r="E190">
        <v>-1.3967524744269411</v>
      </c>
      <c r="F190">
        <v>-2.3685976565716209</v>
      </c>
      <c r="G190">
        <v>-1.790559480983815</v>
      </c>
      <c r="H190">
        <v>-0.97058205636513095</v>
      </c>
      <c r="J190">
        <f t="shared" si="4"/>
        <v>-7.9054632892286163</v>
      </c>
      <c r="K190">
        <f t="shared" si="5"/>
        <v>7</v>
      </c>
    </row>
    <row r="191" spans="1:11" x14ac:dyDescent="0.35">
      <c r="A191">
        <v>18097360201</v>
      </c>
      <c r="B191">
        <v>-1.11340728666805</v>
      </c>
      <c r="C191">
        <v>4.0706802704142848E-2</v>
      </c>
      <c r="D191">
        <v>-0.75541063806370412</v>
      </c>
      <c r="E191">
        <v>-1.4333684754909299</v>
      </c>
      <c r="F191">
        <v>0.36522474090456991</v>
      </c>
      <c r="G191">
        <v>-1.0511671340509809</v>
      </c>
      <c r="H191">
        <v>-0.55839772529000331</v>
      </c>
      <c r="J191">
        <f t="shared" si="4"/>
        <v>-4.5058197159549556</v>
      </c>
      <c r="K191">
        <f t="shared" si="5"/>
        <v>7</v>
      </c>
    </row>
    <row r="192" spans="1:11" x14ac:dyDescent="0.35">
      <c r="A192">
        <v>18097360202</v>
      </c>
      <c r="B192">
        <v>-1.0072104070536889</v>
      </c>
      <c r="C192">
        <v>-0.27100818650626501</v>
      </c>
      <c r="D192">
        <v>-0.72256949787016411</v>
      </c>
      <c r="E192">
        <v>-1.188038096746731</v>
      </c>
      <c r="F192">
        <v>0.86929615610899114</v>
      </c>
      <c r="G192">
        <v>-1.048114330429432</v>
      </c>
      <c r="H192">
        <v>-0.53970766366636447</v>
      </c>
      <c r="J192">
        <f t="shared" si="4"/>
        <v>-3.9073520261636547</v>
      </c>
      <c r="K192">
        <f t="shared" si="5"/>
        <v>7</v>
      </c>
    </row>
    <row r="193" spans="1:11" x14ac:dyDescent="0.35">
      <c r="A193">
        <v>18097360301</v>
      </c>
      <c r="B193">
        <v>-1.0133922556114581</v>
      </c>
      <c r="C193">
        <v>0.28083594587369182</v>
      </c>
      <c r="D193">
        <v>-0.55510600844639146</v>
      </c>
      <c r="E193">
        <v>-1.222745208855031</v>
      </c>
      <c r="F193">
        <v>1.2905590335893751</v>
      </c>
      <c r="G193">
        <v>-0.69308736927333803</v>
      </c>
      <c r="H193">
        <v>-1.2635207218699851</v>
      </c>
      <c r="J193">
        <f t="shared" si="4"/>
        <v>-3.1764565845931374</v>
      </c>
      <c r="K193">
        <f t="shared" si="5"/>
        <v>7</v>
      </c>
    </row>
    <row r="194" spans="1:11" x14ac:dyDescent="0.35">
      <c r="A194">
        <v>18097360302</v>
      </c>
      <c r="B194">
        <v>-1.2868264409045691</v>
      </c>
      <c r="C194">
        <v>1.524171348184779</v>
      </c>
      <c r="D194">
        <v>-1.3280245463881419</v>
      </c>
      <c r="E194">
        <v>-1.4615953754108879</v>
      </c>
      <c r="F194">
        <v>-0.63667731710003905</v>
      </c>
      <c r="G194">
        <v>-0.7517521256791736</v>
      </c>
      <c r="H194">
        <v>-1.2478618497489351</v>
      </c>
      <c r="J194">
        <f t="shared" si="4"/>
        <v>-5.1885663070469672</v>
      </c>
      <c r="K194">
        <f t="shared" si="5"/>
        <v>7</v>
      </c>
    </row>
    <row r="195" spans="1:11" x14ac:dyDescent="0.35">
      <c r="A195">
        <v>18097360401</v>
      </c>
      <c r="B195">
        <v>-0.76209368639477282</v>
      </c>
      <c r="C195">
        <v>-0.28945923399939022</v>
      </c>
      <c r="D195">
        <v>-0.72977612081844589</v>
      </c>
      <c r="E195">
        <v>-1.4760846220741779</v>
      </c>
      <c r="F195">
        <v>0.28165511058608689</v>
      </c>
      <c r="G195">
        <v>-0.2321532799510464</v>
      </c>
      <c r="H195">
        <v>1.07231352316838</v>
      </c>
      <c r="J195">
        <f t="shared" ref="J195:J258" si="6">SUM(B195:H195)</f>
        <v>-2.1355983094833668</v>
      </c>
      <c r="K195">
        <f t="shared" ref="K195:K258" si="7">IF(B195=0,0,1)+IF(C195=0,0,1)+IF(D195=0,0,1)+IF(E195=0,0,1)+IF(F195=0,0,1)+IF(G195=0,0,1)+IF(H195=0,0,1)</f>
        <v>7</v>
      </c>
    </row>
    <row r="196" spans="1:11" x14ac:dyDescent="0.35">
      <c r="A196">
        <v>18097360402</v>
      </c>
      <c r="B196">
        <v>-0.99556093065802997</v>
      </c>
      <c r="C196">
        <v>2.4431358743056668</v>
      </c>
      <c r="D196">
        <v>-1.5531410193981701</v>
      </c>
      <c r="E196">
        <v>-1.9253217218811061</v>
      </c>
      <c r="F196">
        <v>0.43368799599746788</v>
      </c>
      <c r="G196">
        <v>-0.27796459132814361</v>
      </c>
      <c r="H196">
        <v>0.76586226334271801</v>
      </c>
      <c r="J196">
        <f t="shared" si="6"/>
        <v>-1.1093021296195968</v>
      </c>
      <c r="K196">
        <f t="shared" si="7"/>
        <v>7</v>
      </c>
    </row>
    <row r="197" spans="1:11" x14ac:dyDescent="0.35">
      <c r="A197">
        <v>18097360404</v>
      </c>
      <c r="B197">
        <v>-1.4264017165919241</v>
      </c>
      <c r="C197">
        <v>1.1815001937216421</v>
      </c>
      <c r="D197">
        <v>-1.071218676578136</v>
      </c>
      <c r="E197">
        <v>-1.529405992744628</v>
      </c>
      <c r="F197">
        <v>-1.7039469716462221</v>
      </c>
      <c r="J197">
        <f t="shared" si="6"/>
        <v>-4.5494731638392683</v>
      </c>
      <c r="K197">
        <f t="shared" si="7"/>
        <v>5</v>
      </c>
    </row>
    <row r="198" spans="1:11" x14ac:dyDescent="0.35">
      <c r="A198">
        <v>18097360405</v>
      </c>
      <c r="B198">
        <v>-2.811230953183735E-2</v>
      </c>
      <c r="C198">
        <v>-8.0237687275654904E-2</v>
      </c>
      <c r="D198">
        <v>3.4520795148648337E-2</v>
      </c>
      <c r="E198">
        <v>-1.101464035519695</v>
      </c>
      <c r="F198">
        <v>0.8405528647533661</v>
      </c>
      <c r="G198">
        <v>-0.2309105139367045</v>
      </c>
      <c r="H198">
        <v>1.0786113767706971</v>
      </c>
      <c r="J198">
        <f t="shared" si="6"/>
        <v>0.51296049040881975</v>
      </c>
      <c r="K198">
        <f t="shared" si="7"/>
        <v>7</v>
      </c>
    </row>
    <row r="199" spans="1:11" x14ac:dyDescent="0.35">
      <c r="A199">
        <v>18097360406</v>
      </c>
      <c r="B199">
        <v>-1.208783068849695</v>
      </c>
      <c r="C199">
        <v>0.60128798807991957</v>
      </c>
      <c r="D199">
        <v>-0.84820824863062072</v>
      </c>
      <c r="E199">
        <v>-2.0006921985140012</v>
      </c>
      <c r="F199">
        <v>-0.72719936765343807</v>
      </c>
      <c r="G199">
        <v>-0.27796459132814361</v>
      </c>
      <c r="H199">
        <v>0.76586226334271801</v>
      </c>
      <c r="J199">
        <f t="shared" si="6"/>
        <v>-3.6956972235532608</v>
      </c>
      <c r="K199">
        <f t="shared" si="7"/>
        <v>7</v>
      </c>
    </row>
    <row r="200" spans="1:11" x14ac:dyDescent="0.35">
      <c r="A200">
        <v>18097360407</v>
      </c>
      <c r="B200">
        <v>-1.0625835950149689</v>
      </c>
      <c r="C200">
        <v>0.24855865555314291</v>
      </c>
      <c r="D200">
        <v>-4.8273101371338278E-2</v>
      </c>
      <c r="E200">
        <v>-1.051196036863298</v>
      </c>
      <c r="F200">
        <v>0.41296458564691652</v>
      </c>
      <c r="G200">
        <v>-0.27714028575551419</v>
      </c>
      <c r="H200">
        <v>0.77134108369847387</v>
      </c>
      <c r="J200">
        <f t="shared" si="6"/>
        <v>-1.0063286941065859</v>
      </c>
      <c r="K200">
        <f t="shared" si="7"/>
        <v>7</v>
      </c>
    </row>
    <row r="201" spans="1:11" x14ac:dyDescent="0.35">
      <c r="A201">
        <v>18097360501</v>
      </c>
      <c r="B201">
        <v>-0.72699718951272152</v>
      </c>
      <c r="C201">
        <v>5.1154715455699579E-2</v>
      </c>
      <c r="D201">
        <v>0.11165469556313511</v>
      </c>
      <c r="E201">
        <v>-0.45020825492803701</v>
      </c>
      <c r="F201">
        <v>0.827949851058842</v>
      </c>
      <c r="G201">
        <v>-0.2309105139367045</v>
      </c>
      <c r="H201">
        <v>1.0786113767706971</v>
      </c>
      <c r="J201">
        <f t="shared" si="6"/>
        <v>0.66125468047091085</v>
      </c>
      <c r="K201">
        <f t="shared" si="7"/>
        <v>7</v>
      </c>
    </row>
    <row r="202" spans="1:11" x14ac:dyDescent="0.35">
      <c r="A202">
        <v>18097360502</v>
      </c>
      <c r="B202">
        <v>-0.40739744226527619</v>
      </c>
      <c r="C202">
        <v>2.555255077315691</v>
      </c>
      <c r="D202">
        <v>-0.22692495518970371</v>
      </c>
      <c r="E202">
        <v>-0.86446402117185872</v>
      </c>
      <c r="F202">
        <v>-0.35470734827372091</v>
      </c>
      <c r="G202">
        <v>-0.23630067279962921</v>
      </c>
      <c r="H202">
        <v>1.0512961532932461</v>
      </c>
      <c r="J202">
        <f t="shared" si="6"/>
        <v>1.5167567909087487</v>
      </c>
      <c r="K202">
        <f t="shared" si="7"/>
        <v>7</v>
      </c>
    </row>
    <row r="203" spans="1:11" x14ac:dyDescent="0.35">
      <c r="A203">
        <v>18097360601</v>
      </c>
      <c r="B203">
        <v>-0.38065652291080532</v>
      </c>
      <c r="C203">
        <v>0.74756108305257318</v>
      </c>
      <c r="D203">
        <v>0.25838680390280933</v>
      </c>
      <c r="E203">
        <v>0.22214919509866721</v>
      </c>
      <c r="F203">
        <v>0.417926044115497</v>
      </c>
      <c r="G203">
        <v>-0.69308736927333803</v>
      </c>
      <c r="H203">
        <v>-1.2635207218699851</v>
      </c>
      <c r="J203">
        <f t="shared" si="6"/>
        <v>-0.69124148788458173</v>
      </c>
      <c r="K203">
        <f t="shared" si="7"/>
        <v>7</v>
      </c>
    </row>
    <row r="204" spans="1:11" x14ac:dyDescent="0.35">
      <c r="A204">
        <v>18097360602</v>
      </c>
      <c r="B204">
        <v>-0.8383647621328888</v>
      </c>
      <c r="C204">
        <v>1.0078239981241019</v>
      </c>
      <c r="D204">
        <v>-0.80381676754736875</v>
      </c>
      <c r="E204">
        <v>-0.17043315389458549</v>
      </c>
      <c r="F204">
        <v>0.6100581240978511</v>
      </c>
      <c r="G204">
        <v>-0.69308736927333803</v>
      </c>
      <c r="H204">
        <v>-1.263520721869984</v>
      </c>
      <c r="J204">
        <f t="shared" si="6"/>
        <v>-2.151340652496212</v>
      </c>
      <c r="K204">
        <f t="shared" si="7"/>
        <v>7</v>
      </c>
    </row>
    <row r="205" spans="1:11" x14ac:dyDescent="0.35">
      <c r="A205">
        <v>18097360700</v>
      </c>
      <c r="B205">
        <v>0.5711134969252436</v>
      </c>
      <c r="C205">
        <v>0.79593330042699773</v>
      </c>
      <c r="D205">
        <v>0.40307868108817541</v>
      </c>
      <c r="E205">
        <v>1.0644571941022081</v>
      </c>
      <c r="F205">
        <v>0.37151502768847378</v>
      </c>
      <c r="G205">
        <v>-0.69308736927333803</v>
      </c>
      <c r="H205">
        <v>-1.2635207218699851</v>
      </c>
      <c r="J205">
        <f t="shared" si="6"/>
        <v>1.2494896090877756</v>
      </c>
      <c r="K205">
        <f t="shared" si="7"/>
        <v>7</v>
      </c>
    </row>
    <row r="206" spans="1:11" x14ac:dyDescent="0.35">
      <c r="A206">
        <v>18097360800</v>
      </c>
      <c r="B206">
        <v>-0.64077040103284877</v>
      </c>
      <c r="C206">
        <v>0.76494867516625042</v>
      </c>
      <c r="D206">
        <v>-0.90934936935166</v>
      </c>
      <c r="E206">
        <v>-0.82678194836231822</v>
      </c>
      <c r="F206">
        <v>-1.3491264240808889</v>
      </c>
      <c r="G206">
        <v>-0.69308736927333803</v>
      </c>
      <c r="H206">
        <v>-1.2635207218699851</v>
      </c>
      <c r="J206">
        <f t="shared" si="6"/>
        <v>-4.917687558804789</v>
      </c>
      <c r="K206">
        <f t="shared" si="7"/>
        <v>7</v>
      </c>
    </row>
    <row r="207" spans="1:11" x14ac:dyDescent="0.35">
      <c r="A207">
        <v>18097360900</v>
      </c>
      <c r="B207">
        <v>-0.53106997632624309</v>
      </c>
      <c r="C207">
        <v>1.062060839724472</v>
      </c>
      <c r="D207">
        <v>-0.87499450926943989</v>
      </c>
      <c r="E207">
        <v>0.2202587393328648</v>
      </c>
      <c r="F207">
        <v>0.65711556173143615</v>
      </c>
      <c r="G207">
        <v>-1.2220576330399251</v>
      </c>
      <c r="H207">
        <v>-1.122327299726414</v>
      </c>
      <c r="J207">
        <f t="shared" si="6"/>
        <v>-1.8110142775732492</v>
      </c>
      <c r="K207">
        <f t="shared" si="7"/>
        <v>7</v>
      </c>
    </row>
    <row r="208" spans="1:11" x14ac:dyDescent="0.35">
      <c r="A208">
        <v>18097361000</v>
      </c>
      <c r="B208">
        <v>1.4664295175207389</v>
      </c>
      <c r="C208">
        <v>0.61006820223062086</v>
      </c>
      <c r="D208">
        <v>0.89845996813582185</v>
      </c>
      <c r="E208">
        <v>1.5231531673385279</v>
      </c>
      <c r="F208">
        <v>0.85383257204265517</v>
      </c>
      <c r="G208">
        <v>-0.69308736927333803</v>
      </c>
      <c r="H208">
        <v>-1.2635207218699851</v>
      </c>
      <c r="J208">
        <f t="shared" si="6"/>
        <v>3.3953353361250418</v>
      </c>
      <c r="K208">
        <f t="shared" si="7"/>
        <v>7</v>
      </c>
    </row>
    <row r="209" spans="1:11" x14ac:dyDescent="0.35">
      <c r="A209">
        <v>18097361100</v>
      </c>
      <c r="B209">
        <v>0.76348550016417827</v>
      </c>
      <c r="C209">
        <v>-1.592983420420192E-2</v>
      </c>
      <c r="D209">
        <v>0.31258455730838081</v>
      </c>
      <c r="E209">
        <v>1.4602517786789051</v>
      </c>
      <c r="F209">
        <v>-0.4187100104889751</v>
      </c>
      <c r="G209">
        <v>-0.69368755075132638</v>
      </c>
      <c r="H209">
        <v>-1.26275514099029</v>
      </c>
      <c r="J209">
        <f t="shared" si="6"/>
        <v>0.14523929971667071</v>
      </c>
      <c r="K209">
        <f t="shared" si="7"/>
        <v>7</v>
      </c>
    </row>
    <row r="210" spans="1:11" x14ac:dyDescent="0.35">
      <c r="A210">
        <v>18097361200</v>
      </c>
      <c r="B210">
        <v>0.14280714060521041</v>
      </c>
      <c r="C210">
        <v>-1.164543628328347</v>
      </c>
      <c r="D210">
        <v>0.11905876023602741</v>
      </c>
      <c r="E210">
        <v>1.1459795030953379</v>
      </c>
      <c r="F210">
        <v>0.1197476965264981</v>
      </c>
      <c r="G210">
        <v>-0.69531354784266952</v>
      </c>
      <c r="H210">
        <v>-1.2472742638287539</v>
      </c>
      <c r="J210">
        <f t="shared" si="6"/>
        <v>-1.5795383395366966</v>
      </c>
      <c r="K210">
        <f t="shared" si="7"/>
        <v>7</v>
      </c>
    </row>
    <row r="211" spans="1:11" x14ac:dyDescent="0.35">
      <c r="A211">
        <v>18097361300</v>
      </c>
      <c r="B211">
        <v>-1.0114927967996279</v>
      </c>
      <c r="C211">
        <v>-1.071436151267088</v>
      </c>
      <c r="D211">
        <v>-1.5004170774475609E-2</v>
      </c>
      <c r="E211">
        <v>0.8396286318840025</v>
      </c>
      <c r="F211">
        <v>-0.2353093062077603</v>
      </c>
      <c r="G211">
        <v>-0.69308736927333803</v>
      </c>
      <c r="H211">
        <v>-1.2635207218699851</v>
      </c>
      <c r="J211">
        <f t="shared" si="6"/>
        <v>-3.4502218843082719</v>
      </c>
      <c r="K211">
        <f t="shared" si="7"/>
        <v>7</v>
      </c>
    </row>
    <row r="212" spans="1:11" x14ac:dyDescent="0.35">
      <c r="A212">
        <v>18097361400</v>
      </c>
      <c r="B212">
        <v>-0.59545914863472005</v>
      </c>
      <c r="C212">
        <v>-0.45150266007752698</v>
      </c>
      <c r="D212">
        <v>-0.41156587465458638</v>
      </c>
      <c r="E212">
        <v>0.95093969288341762</v>
      </c>
      <c r="F212">
        <v>-0.1993402600955366</v>
      </c>
      <c r="J212">
        <f t="shared" si="6"/>
        <v>-0.70692825057895248</v>
      </c>
      <c r="K212">
        <f t="shared" si="7"/>
        <v>5</v>
      </c>
    </row>
    <row r="213" spans="1:11" x14ac:dyDescent="0.35">
      <c r="A213">
        <v>18097361401</v>
      </c>
      <c r="B213">
        <v>-0.44814508586617791</v>
      </c>
      <c r="C213">
        <v>1.521664152693937</v>
      </c>
      <c r="D213">
        <v>-0.1609136052616062</v>
      </c>
      <c r="E213">
        <v>-1.0012706521521839</v>
      </c>
      <c r="F213">
        <v>0.2325296396954134</v>
      </c>
      <c r="G213">
        <v>0.88393226525004276</v>
      </c>
      <c r="H213">
        <v>1.6220844038992011</v>
      </c>
      <c r="J213">
        <f t="shared" si="6"/>
        <v>2.6498811182586257</v>
      </c>
      <c r="K213">
        <f t="shared" si="7"/>
        <v>7</v>
      </c>
    </row>
    <row r="214" spans="1:11" x14ac:dyDescent="0.35">
      <c r="A214">
        <v>18097361402</v>
      </c>
      <c r="B214">
        <v>-0.79891176663209151</v>
      </c>
      <c r="C214">
        <v>-0.55877595288650528</v>
      </c>
      <c r="D214">
        <v>0.2675678440971957</v>
      </c>
      <c r="E214">
        <v>0.86104436376207683</v>
      </c>
      <c r="F214">
        <v>0.34269296772080737</v>
      </c>
      <c r="G214">
        <v>-0.3713673609630187</v>
      </c>
      <c r="H214">
        <v>0.244600563999717</v>
      </c>
      <c r="J214">
        <f t="shared" si="6"/>
        <v>-1.3149340901818712E-2</v>
      </c>
      <c r="K214">
        <f t="shared" si="7"/>
        <v>7</v>
      </c>
    </row>
    <row r="215" spans="1:11" x14ac:dyDescent="0.35">
      <c r="A215">
        <v>18097361600</v>
      </c>
      <c r="B215">
        <v>7.7432247202329704E-3</v>
      </c>
      <c r="C215">
        <v>0.41448707827758929</v>
      </c>
      <c r="D215">
        <v>0.43427447357662818</v>
      </c>
      <c r="E215">
        <v>0.13167517681406399</v>
      </c>
      <c r="F215">
        <v>1.12470885017922</v>
      </c>
      <c r="J215">
        <f t="shared" si="6"/>
        <v>2.1128888035677345</v>
      </c>
      <c r="K215">
        <f t="shared" si="7"/>
        <v>5</v>
      </c>
    </row>
    <row r="216" spans="1:11" x14ac:dyDescent="0.35">
      <c r="A216">
        <v>18097361601</v>
      </c>
      <c r="B216">
        <v>0.1663117181407085</v>
      </c>
      <c r="C216">
        <v>2.1375899296468401</v>
      </c>
      <c r="D216">
        <v>0.77469691375916461</v>
      </c>
      <c r="E216">
        <v>-0.64078261145464477</v>
      </c>
      <c r="F216">
        <v>0.58333631670491415</v>
      </c>
      <c r="G216">
        <v>0.40368866175892631</v>
      </c>
      <c r="H216">
        <v>1.3890287343816621</v>
      </c>
      <c r="J216">
        <f t="shared" si="6"/>
        <v>4.813869662937571</v>
      </c>
      <c r="K216">
        <f t="shared" si="7"/>
        <v>7</v>
      </c>
    </row>
    <row r="217" spans="1:11" x14ac:dyDescent="0.35">
      <c r="A217">
        <v>18097361602</v>
      </c>
      <c r="B217">
        <v>0.98422373233371319</v>
      </c>
      <c r="C217">
        <v>-2.6571310480762929</v>
      </c>
      <c r="D217">
        <v>0.48761664617555439</v>
      </c>
      <c r="E217">
        <v>-0.38537092797065459</v>
      </c>
      <c r="F217">
        <v>1.2905590335893751</v>
      </c>
      <c r="G217">
        <v>0.88718171147205327</v>
      </c>
      <c r="H217">
        <v>1.628030188256526</v>
      </c>
      <c r="J217">
        <f t="shared" si="6"/>
        <v>2.2351093357802747</v>
      </c>
      <c r="K217">
        <f t="shared" si="7"/>
        <v>7</v>
      </c>
    </row>
    <row r="218" spans="1:11" x14ac:dyDescent="0.35">
      <c r="A218">
        <v>18097370201</v>
      </c>
      <c r="B218">
        <v>-1.221606227358774</v>
      </c>
      <c r="C218">
        <v>0.90224792242096619</v>
      </c>
      <c r="D218">
        <v>-0.40041041721409532</v>
      </c>
      <c r="E218">
        <v>0.93101062800652779</v>
      </c>
      <c r="F218">
        <v>-0.2046164467464765</v>
      </c>
      <c r="G218">
        <v>-0.40731260236396888</v>
      </c>
      <c r="H218">
        <v>0.61752252517919115</v>
      </c>
      <c r="J218">
        <f t="shared" si="6"/>
        <v>0.21683538192337043</v>
      </c>
      <c r="K218">
        <f t="shared" si="7"/>
        <v>7</v>
      </c>
    </row>
    <row r="219" spans="1:11" x14ac:dyDescent="0.35">
      <c r="A219">
        <v>18097370202</v>
      </c>
      <c r="B219">
        <v>-1.0761295058132569</v>
      </c>
      <c r="C219">
        <v>0.16716093961457729</v>
      </c>
      <c r="D219">
        <v>-1.145720020664484</v>
      </c>
      <c r="E219">
        <v>0.96968843838054075</v>
      </c>
      <c r="F219">
        <v>0.10450105609783029</v>
      </c>
      <c r="J219">
        <f t="shared" si="6"/>
        <v>-0.98049909238479271</v>
      </c>
      <c r="K219">
        <f t="shared" si="7"/>
        <v>5</v>
      </c>
    </row>
    <row r="220" spans="1:11" x14ac:dyDescent="0.35">
      <c r="A220">
        <v>18097370203</v>
      </c>
      <c r="B220">
        <v>-0.30985872643010148</v>
      </c>
      <c r="C220">
        <v>1.0921827660974479</v>
      </c>
      <c r="D220">
        <v>-1.047426948762576</v>
      </c>
      <c r="E220">
        <v>-0.13501999522911559</v>
      </c>
      <c r="F220">
        <v>0.87349755342562185</v>
      </c>
      <c r="G220">
        <v>-1.1550265557700929</v>
      </c>
      <c r="H220">
        <v>-4.1583026089238632E-2</v>
      </c>
      <c r="J220">
        <f t="shared" si="6"/>
        <v>-0.72323493275805484</v>
      </c>
      <c r="K220">
        <f t="shared" si="7"/>
        <v>7</v>
      </c>
    </row>
    <row r="221" spans="1:11" x14ac:dyDescent="0.35">
      <c r="A221">
        <v>18097370204</v>
      </c>
      <c r="B221">
        <v>-1.1546562218984719</v>
      </c>
      <c r="C221">
        <v>0.59298078411408561</v>
      </c>
      <c r="D221">
        <v>-0.4258145857806413</v>
      </c>
      <c r="E221">
        <v>1.5571098696029291</v>
      </c>
      <c r="F221">
        <v>0.8352722564725692</v>
      </c>
      <c r="G221">
        <v>-0.40485651184759031</v>
      </c>
      <c r="H221">
        <v>0.61968755484914451</v>
      </c>
      <c r="J221">
        <f t="shared" si="6"/>
        <v>1.6197231455120249</v>
      </c>
      <c r="K221">
        <f t="shared" si="7"/>
        <v>7</v>
      </c>
    </row>
    <row r="222" spans="1:11" x14ac:dyDescent="0.35">
      <c r="A222">
        <v>18097370301</v>
      </c>
      <c r="B222">
        <v>-0.54004216357071977</v>
      </c>
      <c r="C222">
        <v>0.50831677310137591</v>
      </c>
      <c r="D222">
        <v>0.48860385479860668</v>
      </c>
      <c r="E222">
        <v>1.1613842817620861</v>
      </c>
      <c r="F222">
        <v>1.0801357907415849</v>
      </c>
      <c r="J222">
        <f t="shared" si="6"/>
        <v>2.6983985368329337</v>
      </c>
      <c r="K222">
        <f t="shared" si="7"/>
        <v>5</v>
      </c>
    </row>
    <row r="223" spans="1:11" x14ac:dyDescent="0.35">
      <c r="A223">
        <v>18097370302</v>
      </c>
      <c r="B223">
        <v>-0.90499846286484642</v>
      </c>
      <c r="C223">
        <v>-0.31677973535434972</v>
      </c>
      <c r="D223">
        <v>0.58354041738213669</v>
      </c>
      <c r="E223">
        <v>0.90731725110523875</v>
      </c>
      <c r="F223">
        <v>-0.143340167004814</v>
      </c>
      <c r="J223">
        <f t="shared" si="6"/>
        <v>0.12573930326336524</v>
      </c>
      <c r="K223">
        <f t="shared" si="7"/>
        <v>5</v>
      </c>
    </row>
    <row r="224" spans="1:11" x14ac:dyDescent="0.35">
      <c r="A224">
        <v>18097370303</v>
      </c>
      <c r="B224">
        <v>-0.53137324592847612</v>
      </c>
      <c r="C224">
        <v>-9.2388228448752399E-2</v>
      </c>
      <c r="D224">
        <v>0.58446181209698544</v>
      </c>
      <c r="E224">
        <v>0.37237726991021081</v>
      </c>
      <c r="F224">
        <v>1.0931225215303291</v>
      </c>
      <c r="G224">
        <v>-1.0298434099635481</v>
      </c>
      <c r="H224">
        <v>-7.7111638390943871E-2</v>
      </c>
      <c r="J224">
        <f t="shared" si="6"/>
        <v>0.31924508080580488</v>
      </c>
      <c r="K224">
        <f t="shared" si="7"/>
        <v>7</v>
      </c>
    </row>
    <row r="225" spans="1:11" x14ac:dyDescent="0.35">
      <c r="A225">
        <v>18097370304</v>
      </c>
      <c r="B225">
        <v>-0.24269050191109859</v>
      </c>
      <c r="C225">
        <v>1.0321210123629281</v>
      </c>
      <c r="D225">
        <v>0.53237010375392557</v>
      </c>
      <c r="E225">
        <v>0.69655228516250578</v>
      </c>
      <c r="F225">
        <v>0.76004573528874475</v>
      </c>
      <c r="G225">
        <v>-0.40485651184759031</v>
      </c>
      <c r="H225">
        <v>0.61968755484914451</v>
      </c>
      <c r="J225">
        <f t="shared" si="6"/>
        <v>2.9932296776585599</v>
      </c>
      <c r="K225">
        <f t="shared" si="7"/>
        <v>7</v>
      </c>
    </row>
    <row r="226" spans="1:11" x14ac:dyDescent="0.35">
      <c r="A226">
        <v>18097370305</v>
      </c>
      <c r="B226">
        <v>-0.80731112477225098</v>
      </c>
      <c r="C226">
        <v>2.1197148733702411</v>
      </c>
      <c r="D226">
        <v>-0.80858827589212157</v>
      </c>
      <c r="E226">
        <v>-0.1004118996799744</v>
      </c>
      <c r="F226">
        <v>0.54555274280048216</v>
      </c>
      <c r="G226">
        <v>-0.40485651184759069</v>
      </c>
      <c r="H226">
        <v>0.61968755484914451</v>
      </c>
      <c r="J226">
        <f t="shared" si="6"/>
        <v>1.1637873588279302</v>
      </c>
      <c r="K226">
        <f t="shared" si="7"/>
        <v>7</v>
      </c>
    </row>
    <row r="227" spans="1:11" x14ac:dyDescent="0.35">
      <c r="A227">
        <v>18097370306</v>
      </c>
      <c r="B227">
        <v>-0.47737839247095942</v>
      </c>
      <c r="C227">
        <v>-0.90812586429746756</v>
      </c>
      <c r="D227">
        <v>0.59446552614391546</v>
      </c>
      <c r="E227">
        <v>1.230042144025641</v>
      </c>
      <c r="F227">
        <v>1.0152881275666259</v>
      </c>
      <c r="G227">
        <v>-0.40485651184759069</v>
      </c>
      <c r="H227">
        <v>0.61968755484914606</v>
      </c>
      <c r="J227">
        <f t="shared" si="6"/>
        <v>1.6691225839693109</v>
      </c>
      <c r="K227">
        <f t="shared" si="7"/>
        <v>7</v>
      </c>
    </row>
    <row r="228" spans="1:11" x14ac:dyDescent="0.35">
      <c r="A228">
        <v>18097380100</v>
      </c>
      <c r="B228">
        <v>-0.23860801349263441</v>
      </c>
      <c r="C228">
        <v>0.77957457215269543</v>
      </c>
      <c r="D228">
        <v>-0.16278930164540559</v>
      </c>
      <c r="E228">
        <v>0.488728591005052</v>
      </c>
      <c r="F228">
        <v>0.70724833833878153</v>
      </c>
      <c r="J228">
        <f t="shared" si="6"/>
        <v>1.5741541863584889</v>
      </c>
      <c r="K228">
        <f t="shared" si="7"/>
        <v>5</v>
      </c>
    </row>
    <row r="229" spans="1:11" x14ac:dyDescent="0.35">
      <c r="A229">
        <v>18097380101</v>
      </c>
      <c r="B229">
        <v>0.13913800294537779</v>
      </c>
      <c r="C229">
        <v>-0.90145536397794479</v>
      </c>
      <c r="D229">
        <v>1.964678187986413</v>
      </c>
      <c r="E229">
        <v>0.96195940896527643</v>
      </c>
      <c r="F229">
        <v>1.2905590335893751</v>
      </c>
      <c r="G229">
        <v>0.41938767900071128</v>
      </c>
      <c r="H229">
        <v>1.182239424336855</v>
      </c>
      <c r="J229">
        <f t="shared" si="6"/>
        <v>5.056506372846064</v>
      </c>
      <c r="K229">
        <f t="shared" si="7"/>
        <v>7</v>
      </c>
    </row>
    <row r="230" spans="1:11" x14ac:dyDescent="0.35">
      <c r="A230">
        <v>18097380102</v>
      </c>
      <c r="B230">
        <v>-0.4421429688092785</v>
      </c>
      <c r="C230">
        <v>-1.9822118872702741</v>
      </c>
      <c r="D230">
        <v>0.73027252572181089</v>
      </c>
      <c r="E230">
        <v>-0.3974679030186451</v>
      </c>
      <c r="F230">
        <v>0.96135356407651162</v>
      </c>
      <c r="G230">
        <v>0.41938767900071078</v>
      </c>
      <c r="H230">
        <v>1.182239424336855</v>
      </c>
      <c r="J230">
        <f t="shared" si="6"/>
        <v>0.47143043403769047</v>
      </c>
      <c r="K230">
        <f t="shared" si="7"/>
        <v>7</v>
      </c>
    </row>
    <row r="231" spans="1:11" x14ac:dyDescent="0.35">
      <c r="A231">
        <v>18097380103</v>
      </c>
      <c r="B231">
        <v>0.29446438962965382</v>
      </c>
      <c r="C231">
        <v>0.1598923888615093</v>
      </c>
      <c r="D231">
        <v>0.8006275935913385</v>
      </c>
      <c r="E231">
        <v>0.20932471082871859</v>
      </c>
      <c r="F231">
        <v>0.53739628884323287</v>
      </c>
      <c r="G231">
        <v>0.41454022869763463</v>
      </c>
      <c r="H231">
        <v>1.1608913180984639</v>
      </c>
      <c r="J231">
        <f t="shared" si="6"/>
        <v>3.5771369185505519</v>
      </c>
      <c r="K231">
        <f t="shared" si="7"/>
        <v>7</v>
      </c>
    </row>
    <row r="232" spans="1:11" x14ac:dyDescent="0.35">
      <c r="A232">
        <v>18097380200</v>
      </c>
      <c r="B232">
        <v>-0.46089027001705551</v>
      </c>
      <c r="C232">
        <v>1.243771163152978</v>
      </c>
      <c r="D232">
        <v>-0.92142622150700004</v>
      </c>
      <c r="E232">
        <v>0.76550631594582752</v>
      </c>
      <c r="F232">
        <v>0.1127222606070841</v>
      </c>
      <c r="G232">
        <v>-0.19816364573840961</v>
      </c>
      <c r="H232">
        <v>-1.1874412204820921</v>
      </c>
      <c r="J232">
        <f t="shared" si="6"/>
        <v>-0.64592161803866766</v>
      </c>
      <c r="K232">
        <f t="shared" si="7"/>
        <v>7</v>
      </c>
    </row>
    <row r="233" spans="1:11" x14ac:dyDescent="0.35">
      <c r="A233">
        <v>18097380300</v>
      </c>
      <c r="B233">
        <v>-1.1398894875753649</v>
      </c>
      <c r="C233">
        <v>2.8854157421558582</v>
      </c>
      <c r="D233">
        <v>-1.0969519146857001</v>
      </c>
      <c r="E233">
        <v>0.39383227357830602</v>
      </c>
      <c r="F233">
        <v>-2.4057223626749691</v>
      </c>
      <c r="J233">
        <f t="shared" si="6"/>
        <v>-1.3633157492018699</v>
      </c>
      <c r="K233">
        <f t="shared" si="7"/>
        <v>5</v>
      </c>
    </row>
    <row r="234" spans="1:11" x14ac:dyDescent="0.35">
      <c r="A234">
        <v>18097380301</v>
      </c>
      <c r="B234">
        <v>-1.3463627342346829</v>
      </c>
      <c r="C234">
        <v>2.5848149230173472</v>
      </c>
      <c r="D234">
        <v>-0.7436628554493816</v>
      </c>
      <c r="E234">
        <v>0.85769938998644246</v>
      </c>
      <c r="F234">
        <v>0.56992705956882428</v>
      </c>
      <c r="G234">
        <v>0.36519415006157963</v>
      </c>
      <c r="H234">
        <v>1.1293136303943141</v>
      </c>
      <c r="J234">
        <f t="shared" si="6"/>
        <v>3.4169235633444437</v>
      </c>
      <c r="K234">
        <f t="shared" si="7"/>
        <v>7</v>
      </c>
    </row>
    <row r="235" spans="1:11" x14ac:dyDescent="0.35">
      <c r="A235">
        <v>18097380302</v>
      </c>
      <c r="B235">
        <v>-0.99834498033649621</v>
      </c>
      <c r="C235">
        <v>0.3154889330902253</v>
      </c>
      <c r="D235">
        <v>-0.68482522151546432</v>
      </c>
      <c r="E235">
        <v>0.55893110282167313</v>
      </c>
      <c r="F235">
        <v>-1.806125935617819</v>
      </c>
      <c r="G235">
        <v>-6.3391928186934357E-2</v>
      </c>
      <c r="H235">
        <v>-0.1522587060302808</v>
      </c>
      <c r="J235">
        <f t="shared" si="6"/>
        <v>-2.8305267357750958</v>
      </c>
      <c r="K235">
        <f t="shared" si="7"/>
        <v>7</v>
      </c>
    </row>
    <row r="236" spans="1:11" x14ac:dyDescent="0.35">
      <c r="A236">
        <v>18097380402</v>
      </c>
      <c r="B236">
        <v>-0.53124878170620426</v>
      </c>
      <c r="C236">
        <v>0.36705160303900258</v>
      </c>
      <c r="D236">
        <v>-0.77137051080304964</v>
      </c>
      <c r="E236">
        <v>1.0065155387791289</v>
      </c>
      <c r="F236">
        <v>-0.1697573273394018</v>
      </c>
      <c r="G236">
        <v>0.43493174150764707</v>
      </c>
      <c r="H236">
        <v>1.1979180425978579</v>
      </c>
      <c r="J236">
        <f t="shared" si="6"/>
        <v>1.5340403060749808</v>
      </c>
      <c r="K236">
        <f t="shared" si="7"/>
        <v>7</v>
      </c>
    </row>
    <row r="237" spans="1:11" x14ac:dyDescent="0.35">
      <c r="A237">
        <v>18097380403</v>
      </c>
      <c r="B237">
        <v>-0.79634670922110229</v>
      </c>
      <c r="C237">
        <v>-0.4499959023526553</v>
      </c>
      <c r="D237">
        <v>-2.7442999424934649E-2</v>
      </c>
      <c r="E237">
        <v>1.364399230779602</v>
      </c>
      <c r="F237">
        <v>0.74754661647220466</v>
      </c>
      <c r="G237">
        <v>-0.85630928228715053</v>
      </c>
      <c r="H237">
        <v>-7.2341362891557875E-2</v>
      </c>
      <c r="J237">
        <f t="shared" si="6"/>
        <v>-9.0490408925593985E-2</v>
      </c>
      <c r="K237">
        <f t="shared" si="7"/>
        <v>7</v>
      </c>
    </row>
    <row r="238" spans="1:11" x14ac:dyDescent="0.35">
      <c r="A238">
        <v>18097380404</v>
      </c>
      <c r="B238">
        <v>-0.63822957061012986</v>
      </c>
      <c r="C238">
        <v>1.0379222932442069</v>
      </c>
      <c r="D238">
        <v>-0.35503172750779111</v>
      </c>
      <c r="E238">
        <v>1.57759630257912</v>
      </c>
      <c r="F238">
        <v>0.24083845809943941</v>
      </c>
      <c r="G238">
        <v>0.35245348444751923</v>
      </c>
      <c r="H238">
        <v>0.97351960818348804</v>
      </c>
      <c r="J238">
        <f t="shared" si="6"/>
        <v>3.1890688484358525</v>
      </c>
      <c r="K238">
        <f t="shared" si="7"/>
        <v>7</v>
      </c>
    </row>
    <row r="239" spans="1:11" x14ac:dyDescent="0.35">
      <c r="A239">
        <v>18097380501</v>
      </c>
      <c r="B239">
        <v>-0.79578286198840054</v>
      </c>
      <c r="C239">
        <v>1.2882659740721789</v>
      </c>
      <c r="D239">
        <v>-0.59982655907066085</v>
      </c>
      <c r="E239">
        <v>0.90252500520362999</v>
      </c>
      <c r="F239">
        <v>-0.73716705897549029</v>
      </c>
      <c r="G239">
        <v>-6.1839994408745699E-2</v>
      </c>
      <c r="H239">
        <v>-0.15364785821501961</v>
      </c>
      <c r="J239">
        <f t="shared" si="6"/>
        <v>-0.15747335338250806</v>
      </c>
      <c r="K239">
        <f t="shared" si="7"/>
        <v>7</v>
      </c>
    </row>
    <row r="240" spans="1:11" x14ac:dyDescent="0.35">
      <c r="A240">
        <v>18097380502</v>
      </c>
      <c r="B240">
        <v>-0.75124586533914117</v>
      </c>
      <c r="C240">
        <v>0.71106775731200955</v>
      </c>
      <c r="D240">
        <v>-0.84824115558472246</v>
      </c>
      <c r="E240">
        <v>0.27799344511043611</v>
      </c>
      <c r="F240">
        <v>-0.95425445855303315</v>
      </c>
      <c r="G240">
        <v>-6.1839994408745699E-2</v>
      </c>
      <c r="H240">
        <v>-0.15364785821501961</v>
      </c>
      <c r="J240">
        <f t="shared" si="6"/>
        <v>-1.7801681296782164</v>
      </c>
      <c r="K240">
        <f t="shared" si="7"/>
        <v>7</v>
      </c>
    </row>
    <row r="241" spans="1:11" x14ac:dyDescent="0.35">
      <c r="A241">
        <v>18097380600</v>
      </c>
      <c r="B241">
        <v>-0.71286562501281325</v>
      </c>
      <c r="C241">
        <v>0.21967550293107879</v>
      </c>
      <c r="D241">
        <v>-1.4642194279356429E-2</v>
      </c>
      <c r="E241">
        <v>-0.22874024208728391</v>
      </c>
      <c r="F241">
        <v>-2.3557787194100989E-2</v>
      </c>
      <c r="G241">
        <v>8.7572975996154115E-2</v>
      </c>
      <c r="H241">
        <v>0.2611223182340292</v>
      </c>
      <c r="J241">
        <f t="shared" si="6"/>
        <v>-0.41143505141229253</v>
      </c>
      <c r="K241">
        <f t="shared" si="7"/>
        <v>7</v>
      </c>
    </row>
    <row r="242" spans="1:11" x14ac:dyDescent="0.35">
      <c r="A242">
        <v>18097380700</v>
      </c>
      <c r="B242">
        <v>-0.43262426646682411</v>
      </c>
      <c r="C242">
        <v>1.280274550868018</v>
      </c>
      <c r="D242">
        <v>-0.2564424930189676</v>
      </c>
      <c r="E242">
        <v>0.1349025411019279</v>
      </c>
      <c r="F242">
        <v>1.2905590335893751</v>
      </c>
      <c r="G242">
        <v>0.18723720116881609</v>
      </c>
      <c r="H242">
        <v>0.53779005429804028</v>
      </c>
      <c r="J242">
        <f t="shared" si="6"/>
        <v>2.7416966215403855</v>
      </c>
      <c r="K242">
        <f t="shared" si="7"/>
        <v>7</v>
      </c>
    </row>
    <row r="243" spans="1:11" x14ac:dyDescent="0.35">
      <c r="A243">
        <v>18097380800</v>
      </c>
      <c r="B243">
        <v>-1.1808236527789531</v>
      </c>
      <c r="C243">
        <v>-0.1578676417095905</v>
      </c>
      <c r="D243">
        <v>-0.33933511040125941</v>
      </c>
      <c r="E243">
        <v>1.182663755294961</v>
      </c>
      <c r="F243">
        <v>0.6842693818491421</v>
      </c>
      <c r="G243">
        <v>-6.1839994408745699E-2</v>
      </c>
      <c r="H243">
        <v>-0.15364785821501961</v>
      </c>
      <c r="J243">
        <f t="shared" si="6"/>
        <v>-2.6581120369465222E-2</v>
      </c>
      <c r="K243">
        <f t="shared" si="7"/>
        <v>7</v>
      </c>
    </row>
    <row r="244" spans="1:11" x14ac:dyDescent="0.35">
      <c r="A244">
        <v>18097380901</v>
      </c>
      <c r="B244">
        <v>-0.1546201521810561</v>
      </c>
      <c r="C244">
        <v>-2.6571310480762929</v>
      </c>
      <c r="D244">
        <v>0.71842602224518326</v>
      </c>
      <c r="E244">
        <v>0.63785401073094161</v>
      </c>
      <c r="F244">
        <v>1.051295993677581</v>
      </c>
      <c r="G244">
        <v>0.1424050043441201</v>
      </c>
      <c r="H244">
        <v>0.40204111474297988</v>
      </c>
      <c r="J244">
        <f t="shared" si="6"/>
        <v>0.14027094548345653</v>
      </c>
      <c r="K244">
        <f t="shared" si="7"/>
        <v>7</v>
      </c>
    </row>
    <row r="245" spans="1:11" x14ac:dyDescent="0.35">
      <c r="A245">
        <v>18097380902</v>
      </c>
      <c r="B245">
        <v>0.2470788429542769</v>
      </c>
      <c r="C245">
        <v>-0.95091101705113756</v>
      </c>
      <c r="D245">
        <v>0.29488061600164278</v>
      </c>
      <c r="E245">
        <v>1.128954620574951</v>
      </c>
      <c r="F245">
        <v>1.2905590335893751</v>
      </c>
      <c r="G245">
        <v>0.43493174150764707</v>
      </c>
      <c r="H245">
        <v>1.1979180425978591</v>
      </c>
      <c r="J245">
        <f t="shared" si="6"/>
        <v>3.6434118801746145</v>
      </c>
      <c r="K245">
        <f t="shared" si="7"/>
        <v>7</v>
      </c>
    </row>
    <row r="246" spans="1:11" x14ac:dyDescent="0.35">
      <c r="A246">
        <v>18097381001</v>
      </c>
      <c r="B246">
        <v>-0.73336911820458262</v>
      </c>
      <c r="C246">
        <v>0.42188920555406628</v>
      </c>
      <c r="D246">
        <v>-0.92017575725113365</v>
      </c>
      <c r="E246">
        <v>-0.37063267119817811</v>
      </c>
      <c r="F246">
        <v>-1.1247344541003019</v>
      </c>
      <c r="J246">
        <f t="shared" si="6"/>
        <v>-2.72702279520013</v>
      </c>
      <c r="K246">
        <f t="shared" si="7"/>
        <v>5</v>
      </c>
    </row>
    <row r="247" spans="1:11" x14ac:dyDescent="0.35">
      <c r="A247">
        <v>18097381002</v>
      </c>
      <c r="B247">
        <v>0.60572994445825601</v>
      </c>
      <c r="C247">
        <v>-0.85442833672531049</v>
      </c>
      <c r="D247">
        <v>0.65672548330441416</v>
      </c>
      <c r="E247">
        <v>1.599231204162314</v>
      </c>
      <c r="F247">
        <v>0.56738110664877273</v>
      </c>
      <c r="G247">
        <v>0.1296550357852656</v>
      </c>
      <c r="H247">
        <v>0.3779420515996722</v>
      </c>
      <c r="J247">
        <f t="shared" si="6"/>
        <v>3.082236489233384</v>
      </c>
      <c r="K247">
        <f t="shared" si="7"/>
        <v>7</v>
      </c>
    </row>
    <row r="248" spans="1:11" x14ac:dyDescent="0.35">
      <c r="A248">
        <v>18097381003</v>
      </c>
      <c r="B248">
        <v>-0.72961837549537079</v>
      </c>
      <c r="C248">
        <v>0.49443100831750181</v>
      </c>
      <c r="D248">
        <v>-0.73260611887119587</v>
      </c>
      <c r="E248">
        <v>0.13348807911638791</v>
      </c>
      <c r="F248">
        <v>0.44720381365544598</v>
      </c>
      <c r="G248">
        <v>-6.1839994408745699E-2</v>
      </c>
      <c r="H248">
        <v>-0.15364785821501961</v>
      </c>
      <c r="J248">
        <f t="shared" si="6"/>
        <v>-0.60258944590099628</v>
      </c>
      <c r="K248">
        <f t="shared" si="7"/>
        <v>7</v>
      </c>
    </row>
    <row r="249" spans="1:11" x14ac:dyDescent="0.35">
      <c r="A249">
        <v>18097381004</v>
      </c>
      <c r="B249">
        <v>-0.43689137183974391</v>
      </c>
      <c r="C249">
        <v>0.70111937391748114</v>
      </c>
      <c r="D249">
        <v>-0.96815409633147576</v>
      </c>
      <c r="E249">
        <v>-0.39187463450106291</v>
      </c>
      <c r="F249">
        <v>3.9870711757003158E-2</v>
      </c>
      <c r="G249">
        <v>-6.1839994408745699E-2</v>
      </c>
      <c r="H249">
        <v>-0.15364785821501961</v>
      </c>
      <c r="J249">
        <f t="shared" si="6"/>
        <v>-1.2714178696215637</v>
      </c>
      <c r="K249">
        <f t="shared" si="7"/>
        <v>7</v>
      </c>
    </row>
    <row r="250" spans="1:11" x14ac:dyDescent="0.35">
      <c r="A250">
        <v>18097381101</v>
      </c>
      <c r="B250">
        <v>5.6546015756323349E-2</v>
      </c>
      <c r="C250">
        <v>0.45630719289898392</v>
      </c>
      <c r="D250">
        <v>0.59880924408534564</v>
      </c>
      <c r="E250">
        <v>0.7073892521225591</v>
      </c>
      <c r="F250">
        <v>0.41203604906757979</v>
      </c>
      <c r="G250">
        <v>0.2275927551863223</v>
      </c>
      <c r="H250">
        <v>0.64981701029242411</v>
      </c>
      <c r="J250">
        <f t="shared" si="6"/>
        <v>3.1084975194095383</v>
      </c>
      <c r="K250">
        <f t="shared" si="7"/>
        <v>7</v>
      </c>
    </row>
    <row r="251" spans="1:11" x14ac:dyDescent="0.35">
      <c r="A251">
        <v>18097381102</v>
      </c>
      <c r="B251">
        <v>-0.5151833914441295</v>
      </c>
      <c r="C251">
        <v>-0.41376767395062602</v>
      </c>
      <c r="D251">
        <v>-8.9900398310043789E-2</v>
      </c>
      <c r="E251">
        <v>0.27575418190835171</v>
      </c>
      <c r="F251">
        <v>1.133405432368251</v>
      </c>
      <c r="G251">
        <v>0.33082505990371103</v>
      </c>
      <c r="H251">
        <v>0.93638972969449241</v>
      </c>
      <c r="J251">
        <f t="shared" si="6"/>
        <v>1.6575229401700069</v>
      </c>
      <c r="K251">
        <f t="shared" si="7"/>
        <v>7</v>
      </c>
    </row>
    <row r="252" spans="1:11" x14ac:dyDescent="0.35">
      <c r="A252">
        <v>18097381201</v>
      </c>
      <c r="B252">
        <v>0.27318794440149352</v>
      </c>
      <c r="C252">
        <v>-2.0267381834002149</v>
      </c>
      <c r="D252">
        <v>0.15331489945594229</v>
      </c>
      <c r="E252">
        <v>0.71441566828204317</v>
      </c>
      <c r="F252">
        <v>-0.26962199221350852</v>
      </c>
      <c r="J252">
        <f t="shared" si="6"/>
        <v>-1.1554416634742444</v>
      </c>
      <c r="K252">
        <f t="shared" si="7"/>
        <v>5</v>
      </c>
    </row>
    <row r="253" spans="1:11" x14ac:dyDescent="0.35">
      <c r="A253">
        <v>18097381203</v>
      </c>
      <c r="B253">
        <v>-1.0866933001467201</v>
      </c>
      <c r="C253">
        <v>0.86260137448225915</v>
      </c>
      <c r="D253">
        <v>-0.7117760169247922</v>
      </c>
      <c r="E253">
        <v>-0.40811521490768943</v>
      </c>
      <c r="F253">
        <v>-0.27583170732641088</v>
      </c>
      <c r="G253">
        <v>-6.1839994408745699E-2</v>
      </c>
      <c r="H253">
        <v>-0.15364785821501961</v>
      </c>
      <c r="J253">
        <f t="shared" si="6"/>
        <v>-1.8353027174471188</v>
      </c>
      <c r="K253">
        <f t="shared" si="7"/>
        <v>7</v>
      </c>
    </row>
    <row r="254" spans="1:11" x14ac:dyDescent="0.35">
      <c r="A254">
        <v>18097381204</v>
      </c>
      <c r="B254">
        <v>-0.85682848649814547</v>
      </c>
      <c r="C254">
        <v>1.1983183190490321</v>
      </c>
      <c r="D254">
        <v>-1.2135741600222789</v>
      </c>
      <c r="E254">
        <v>0.51131615619347504</v>
      </c>
      <c r="F254">
        <v>-0.64231020744032952</v>
      </c>
      <c r="G254">
        <v>-6.1839994408745699E-2</v>
      </c>
      <c r="H254">
        <v>-0.15364785821501961</v>
      </c>
      <c r="J254">
        <f t="shared" si="6"/>
        <v>-1.2185662313420123</v>
      </c>
      <c r="K254">
        <f t="shared" si="7"/>
        <v>7</v>
      </c>
    </row>
    <row r="255" spans="1:11" x14ac:dyDescent="0.35">
      <c r="A255">
        <v>18097381205</v>
      </c>
      <c r="B255">
        <v>-0.49249578872639721</v>
      </c>
      <c r="C255">
        <v>-0.28245684905210511</v>
      </c>
      <c r="D255">
        <v>-0.35391289106833179</v>
      </c>
      <c r="E255">
        <v>9.5194478319146722E-2</v>
      </c>
      <c r="F255">
        <v>0.94047559792123059</v>
      </c>
      <c r="G255">
        <v>0.13458300408712889</v>
      </c>
      <c r="H255">
        <v>0.38075981377685991</v>
      </c>
      <c r="J255">
        <f t="shared" si="6"/>
        <v>0.42214736525753205</v>
      </c>
      <c r="K255">
        <f t="shared" si="7"/>
        <v>7</v>
      </c>
    </row>
    <row r="256" spans="1:11" x14ac:dyDescent="0.35">
      <c r="A256">
        <v>18097381206</v>
      </c>
      <c r="B256">
        <v>0.13697425426310311</v>
      </c>
      <c r="C256">
        <v>-0.80936076894153597</v>
      </c>
      <c r="D256">
        <v>0.2189971798430223</v>
      </c>
      <c r="E256">
        <v>0.2212721327470642</v>
      </c>
      <c r="F256">
        <v>0.69246510146287388</v>
      </c>
      <c r="G256">
        <v>-5.8371417620730649E-2</v>
      </c>
      <c r="H256">
        <v>-0.1440190943768257</v>
      </c>
      <c r="J256">
        <f t="shared" si="6"/>
        <v>0.2579573873769711</v>
      </c>
      <c r="K256">
        <f t="shared" si="7"/>
        <v>7</v>
      </c>
    </row>
    <row r="257" spans="1:11" x14ac:dyDescent="0.35">
      <c r="A257">
        <v>18097381207</v>
      </c>
      <c r="B257">
        <v>0.25600902540438403</v>
      </c>
      <c r="C257">
        <v>-2.6571310480762929</v>
      </c>
      <c r="D257">
        <v>8.4111574979975776E-2</v>
      </c>
      <c r="E257">
        <v>0.27780717794341758</v>
      </c>
      <c r="F257">
        <v>1.2423181983186979</v>
      </c>
      <c r="G257">
        <v>0.41938767900071078</v>
      </c>
      <c r="H257">
        <v>1.182239424336855</v>
      </c>
      <c r="J257">
        <f t="shared" si="6"/>
        <v>0.80474203190774807</v>
      </c>
      <c r="K257">
        <f t="shared" si="7"/>
        <v>7</v>
      </c>
    </row>
    <row r="258" spans="1:11" x14ac:dyDescent="0.35">
      <c r="A258">
        <v>18097390101</v>
      </c>
      <c r="B258">
        <v>-0.2021608616110015</v>
      </c>
      <c r="C258">
        <v>-1.8642940735983971</v>
      </c>
      <c r="D258">
        <v>0.81579769943224223</v>
      </c>
      <c r="E258">
        <v>1.023464534681416</v>
      </c>
      <c r="F258">
        <v>1.1469502690525739</v>
      </c>
      <c r="J258">
        <f t="shared" si="6"/>
        <v>0.9197575679568335</v>
      </c>
      <c r="K258">
        <f t="shared" si="7"/>
        <v>5</v>
      </c>
    </row>
    <row r="259" spans="1:11" x14ac:dyDescent="0.35">
      <c r="A259">
        <v>18097390102</v>
      </c>
      <c r="B259">
        <v>-0.71454882925325924</v>
      </c>
      <c r="C259">
        <v>0.78528742408167884</v>
      </c>
      <c r="D259">
        <v>-0.64171711164218037</v>
      </c>
      <c r="E259">
        <v>0.94055973696914263</v>
      </c>
      <c r="F259">
        <v>1.122875660494383</v>
      </c>
      <c r="G259">
        <v>-0.42723688506794999</v>
      </c>
      <c r="H259">
        <v>0.34975895622763681</v>
      </c>
      <c r="J259">
        <f t="shared" ref="J259:J309" si="8">SUM(B259:H259)</f>
        <v>1.4149789518094518</v>
      </c>
      <c r="K259">
        <f t="shared" ref="K259:K309" si="9">IF(B259=0,0,1)+IF(C259=0,0,1)+IF(D259=0,0,1)+IF(E259=0,0,1)+IF(F259=0,0,1)+IF(G259=0,0,1)+IF(H259=0,0,1)</f>
        <v>7</v>
      </c>
    </row>
    <row r="260" spans="1:11" x14ac:dyDescent="0.35">
      <c r="A260">
        <v>18097390103</v>
      </c>
      <c r="B260">
        <v>0.2361848553174393</v>
      </c>
      <c r="C260">
        <v>-0.28180512253146872</v>
      </c>
      <c r="D260">
        <v>0.24380902323573689</v>
      </c>
      <c r="E260">
        <v>1.6404944587909549</v>
      </c>
      <c r="F260">
        <v>1.2905590335893751</v>
      </c>
      <c r="G260">
        <v>0.22175906659902339</v>
      </c>
      <c r="H260">
        <v>0.9860912973223056</v>
      </c>
      <c r="J260">
        <f t="shared" si="8"/>
        <v>4.3370926123233664</v>
      </c>
      <c r="K260">
        <f t="shared" si="9"/>
        <v>7</v>
      </c>
    </row>
    <row r="261" spans="1:11" x14ac:dyDescent="0.35">
      <c r="A261">
        <v>18097390104</v>
      </c>
      <c r="B261">
        <v>9.0765751720278537E-2</v>
      </c>
      <c r="C261">
        <v>-1.0313114837680999</v>
      </c>
      <c r="D261">
        <v>0.92866855200122245</v>
      </c>
      <c r="E261">
        <v>0.57836132859008227</v>
      </c>
      <c r="F261">
        <v>0.97272012489066495</v>
      </c>
      <c r="G261">
        <v>0.87369049884563166</v>
      </c>
      <c r="H261">
        <v>1.6148726358386649</v>
      </c>
      <c r="J261">
        <f t="shared" si="8"/>
        <v>4.0277674081184447</v>
      </c>
      <c r="K261">
        <f t="shared" si="9"/>
        <v>7</v>
      </c>
    </row>
    <row r="262" spans="1:11" x14ac:dyDescent="0.35">
      <c r="A262">
        <v>18097390200</v>
      </c>
      <c r="B262">
        <v>7.7843399027686305E-2</v>
      </c>
      <c r="C262">
        <v>-0.87912289441504998</v>
      </c>
      <c r="D262">
        <v>1.251222516106512</v>
      </c>
      <c r="E262">
        <v>0.96762517119257341</v>
      </c>
      <c r="F262">
        <v>0.52977867110969967</v>
      </c>
      <c r="G262">
        <v>0.88718171147205327</v>
      </c>
      <c r="H262">
        <v>1.628030188256526</v>
      </c>
      <c r="J262">
        <f t="shared" si="8"/>
        <v>4.4625587627500005</v>
      </c>
      <c r="K262">
        <f t="shared" si="9"/>
        <v>7</v>
      </c>
    </row>
    <row r="263" spans="1:11" x14ac:dyDescent="0.35">
      <c r="A263">
        <v>18097390300</v>
      </c>
      <c r="B263">
        <v>0.17430168556412501</v>
      </c>
      <c r="C263">
        <v>-1.034698607860409</v>
      </c>
      <c r="D263">
        <v>2.009859435968107</v>
      </c>
      <c r="E263">
        <v>1.20106059510221</v>
      </c>
      <c r="F263">
        <v>0.86470890154477642</v>
      </c>
      <c r="G263">
        <v>0.88718171147205327</v>
      </c>
      <c r="H263">
        <v>1.628030188256526</v>
      </c>
      <c r="J263">
        <f t="shared" si="8"/>
        <v>5.7304439100473887</v>
      </c>
      <c r="K263">
        <f t="shared" si="9"/>
        <v>7</v>
      </c>
    </row>
    <row r="264" spans="1:11" x14ac:dyDescent="0.35">
      <c r="A264">
        <v>18097390402</v>
      </c>
      <c r="B264">
        <v>0.58380984990921347</v>
      </c>
      <c r="C264">
        <v>-1.254670820116488</v>
      </c>
      <c r="D264">
        <v>0.73063450221693005</v>
      </c>
      <c r="E264">
        <v>1.2553718498086219</v>
      </c>
      <c r="F264">
        <v>0.79683477459482366</v>
      </c>
      <c r="J264">
        <f t="shared" si="8"/>
        <v>2.1119801564131011</v>
      </c>
      <c r="K264">
        <f t="shared" si="9"/>
        <v>5</v>
      </c>
    </row>
    <row r="265" spans="1:11" x14ac:dyDescent="0.35">
      <c r="A265">
        <v>18097390403</v>
      </c>
      <c r="B265">
        <v>0.55507684750999975</v>
      </c>
      <c r="C265">
        <v>1.080472573458078</v>
      </c>
      <c r="D265">
        <v>1.7614119324999431</v>
      </c>
      <c r="E265">
        <v>1.4457504883163299</v>
      </c>
      <c r="F265">
        <v>1.260932543149716</v>
      </c>
      <c r="J265">
        <f t="shared" si="8"/>
        <v>6.1036443849340669</v>
      </c>
      <c r="K265">
        <f t="shared" si="9"/>
        <v>5</v>
      </c>
    </row>
    <row r="266" spans="1:11" x14ac:dyDescent="0.35">
      <c r="A266">
        <v>18097390404</v>
      </c>
      <c r="B266">
        <v>6.6064912810047172E-2</v>
      </c>
      <c r="C266">
        <v>-1.0755556827352279</v>
      </c>
      <c r="D266">
        <v>0.2285072895784262</v>
      </c>
      <c r="E266">
        <v>1.5417254276642529</v>
      </c>
      <c r="F266">
        <v>1.2905590335893751</v>
      </c>
      <c r="J266">
        <f t="shared" si="8"/>
        <v>2.0513009809068734</v>
      </c>
      <c r="K266">
        <f t="shared" si="9"/>
        <v>5</v>
      </c>
    </row>
    <row r="267" spans="1:11" x14ac:dyDescent="0.35">
      <c r="A267">
        <v>18097390405</v>
      </c>
      <c r="B267">
        <v>0.42997453018702197</v>
      </c>
      <c r="C267">
        <v>-1.2930722458946191</v>
      </c>
      <c r="D267">
        <v>0.52766440931737624</v>
      </c>
      <c r="E267">
        <v>0.27698956627968963</v>
      </c>
      <c r="F267">
        <v>0.92019085090161956</v>
      </c>
      <c r="G267">
        <v>0.43493174150764707</v>
      </c>
      <c r="H267">
        <v>1.1979180425978591</v>
      </c>
      <c r="J267">
        <f t="shared" si="8"/>
        <v>2.4945968948965946</v>
      </c>
      <c r="K267">
        <f t="shared" si="9"/>
        <v>7</v>
      </c>
    </row>
    <row r="268" spans="1:11" x14ac:dyDescent="0.35">
      <c r="A268">
        <v>18097390406</v>
      </c>
      <c r="B268">
        <v>0.59449449118978726</v>
      </c>
      <c r="C268">
        <v>-0.16258026912574419</v>
      </c>
      <c r="D268">
        <v>1.8552954725522171</v>
      </c>
      <c r="E268">
        <v>0.61537287446977285</v>
      </c>
      <c r="F268">
        <v>0.84480567926967032</v>
      </c>
      <c r="G268">
        <v>0.88718171147205327</v>
      </c>
      <c r="H268">
        <v>1.628030188256526</v>
      </c>
      <c r="J268">
        <f t="shared" si="8"/>
        <v>6.2626001480842826</v>
      </c>
      <c r="K268">
        <f t="shared" si="9"/>
        <v>7</v>
      </c>
    </row>
    <row r="269" spans="1:11" x14ac:dyDescent="0.35">
      <c r="A269">
        <v>18097390407</v>
      </c>
      <c r="B269">
        <v>1.2367416725552729</v>
      </c>
      <c r="C269">
        <v>-2.6571310480762929</v>
      </c>
      <c r="D269">
        <v>2.3036856291425738</v>
      </c>
      <c r="E269">
        <v>1.3851799422328219</v>
      </c>
      <c r="F269">
        <v>1.140094647665463</v>
      </c>
      <c r="J269">
        <f t="shared" si="8"/>
        <v>3.408570843519839</v>
      </c>
      <c r="K269">
        <f t="shared" si="9"/>
        <v>5</v>
      </c>
    </row>
    <row r="270" spans="1:11" x14ac:dyDescent="0.35">
      <c r="A270">
        <v>18097390408</v>
      </c>
      <c r="B270">
        <v>0.48003405059572168</v>
      </c>
      <c r="C270">
        <v>-1.368986198023552</v>
      </c>
      <c r="D270">
        <v>0.61776364964794994</v>
      </c>
      <c r="E270">
        <v>1.1556043458955321</v>
      </c>
      <c r="F270">
        <v>1.1571213909173781</v>
      </c>
      <c r="G270">
        <v>0.43827345243659699</v>
      </c>
      <c r="H270">
        <v>1.2010961753856511</v>
      </c>
      <c r="J270">
        <f t="shared" si="8"/>
        <v>3.680906866855278</v>
      </c>
      <c r="K270">
        <f t="shared" si="9"/>
        <v>7</v>
      </c>
    </row>
    <row r="271" spans="1:11" x14ac:dyDescent="0.35">
      <c r="A271">
        <v>18097390409</v>
      </c>
      <c r="B271">
        <v>0.5899298087196857</v>
      </c>
      <c r="C271">
        <v>0.26706874176493228</v>
      </c>
      <c r="D271">
        <v>1.008731171330765</v>
      </c>
      <c r="E271">
        <v>0.73407345685580638</v>
      </c>
      <c r="F271">
        <v>1.2905590335893751</v>
      </c>
      <c r="G271">
        <v>0.43493174150764757</v>
      </c>
      <c r="H271">
        <v>1.1979180425978591</v>
      </c>
      <c r="J271">
        <f t="shared" si="8"/>
        <v>5.5232119963660713</v>
      </c>
      <c r="K271">
        <f t="shared" si="9"/>
        <v>7</v>
      </c>
    </row>
    <row r="272" spans="1:11" x14ac:dyDescent="0.35">
      <c r="A272">
        <v>18097390410</v>
      </c>
      <c r="B272">
        <v>0.71971970421901366</v>
      </c>
      <c r="C272">
        <v>-1.3220289526827269</v>
      </c>
      <c r="D272">
        <v>1.4231942582422239</v>
      </c>
      <c r="E272">
        <v>1.633713312838214</v>
      </c>
      <c r="F272">
        <v>1.2905590335893751</v>
      </c>
      <c r="G272">
        <v>0.43493174150764707</v>
      </c>
      <c r="H272">
        <v>1.1979180425978591</v>
      </c>
      <c r="J272">
        <f t="shared" si="8"/>
        <v>5.3780071403116061</v>
      </c>
      <c r="K272">
        <f t="shared" si="9"/>
        <v>7</v>
      </c>
    </row>
    <row r="273" spans="1:11" x14ac:dyDescent="0.35">
      <c r="A273">
        <v>18097390411</v>
      </c>
      <c r="B273">
        <v>-0.74277122328147593</v>
      </c>
      <c r="C273">
        <v>0.67976877171718864</v>
      </c>
      <c r="D273">
        <v>-0.1892464927432074</v>
      </c>
      <c r="E273">
        <v>0.58399213024516727</v>
      </c>
      <c r="F273">
        <v>-0.25951537161951471</v>
      </c>
      <c r="G273">
        <v>0.43493174150764707</v>
      </c>
      <c r="H273">
        <v>1.1979180425978591</v>
      </c>
      <c r="J273">
        <f t="shared" si="8"/>
        <v>1.7050775984236641</v>
      </c>
      <c r="K273">
        <f t="shared" si="9"/>
        <v>7</v>
      </c>
    </row>
    <row r="274" spans="1:11" x14ac:dyDescent="0.35">
      <c r="A274">
        <v>18097390500</v>
      </c>
      <c r="B274">
        <v>-0.50607934350947581</v>
      </c>
      <c r="C274">
        <v>-0.50015806475546531</v>
      </c>
      <c r="D274">
        <v>-0.51788824335731953</v>
      </c>
      <c r="E274">
        <v>-1.245332913087698</v>
      </c>
      <c r="F274">
        <v>-1.443650999948658</v>
      </c>
      <c r="G274">
        <v>-0.65151946059705035</v>
      </c>
      <c r="H274">
        <v>-0.45981175696823501</v>
      </c>
      <c r="J274">
        <f t="shared" si="8"/>
        <v>-5.3244407822239017</v>
      </c>
      <c r="K274">
        <f t="shared" si="9"/>
        <v>7</v>
      </c>
    </row>
    <row r="275" spans="1:11" x14ac:dyDescent="0.35">
      <c r="A275">
        <v>18097390600</v>
      </c>
      <c r="B275">
        <v>1.1283389093952949</v>
      </c>
      <c r="C275">
        <v>0.60550334158926944</v>
      </c>
      <c r="D275">
        <v>-0.72233914919145181</v>
      </c>
      <c r="E275">
        <v>-0.42970589797176612</v>
      </c>
      <c r="F275">
        <v>0.14757485779739951</v>
      </c>
      <c r="J275">
        <f t="shared" si="8"/>
        <v>0.7293720616187459</v>
      </c>
      <c r="K275">
        <f t="shared" si="9"/>
        <v>5</v>
      </c>
    </row>
    <row r="276" spans="1:11" x14ac:dyDescent="0.35">
      <c r="A276">
        <v>18097390601</v>
      </c>
      <c r="B276">
        <v>2.2602599896041271</v>
      </c>
      <c r="C276">
        <v>-7.2527322652158277E-2</v>
      </c>
      <c r="D276">
        <v>-2.9417416671039261E-2</v>
      </c>
      <c r="E276">
        <v>0.68135133710136597</v>
      </c>
      <c r="F276">
        <v>-0.67953159551394116</v>
      </c>
      <c r="G276">
        <v>-1.048114330429432</v>
      </c>
      <c r="H276">
        <v>-0.53970766366636447</v>
      </c>
      <c r="J276">
        <f t="shared" si="8"/>
        <v>0.5723129977725574</v>
      </c>
      <c r="K276">
        <f t="shared" si="9"/>
        <v>7</v>
      </c>
    </row>
    <row r="277" spans="1:11" x14ac:dyDescent="0.35">
      <c r="A277">
        <v>18097390602</v>
      </c>
      <c r="B277">
        <v>1.0761401928794241</v>
      </c>
      <c r="C277">
        <v>-2.96301098880116E-2</v>
      </c>
      <c r="D277">
        <v>-0.30813931791280658</v>
      </c>
      <c r="E277">
        <v>-0.43012394171664359</v>
      </c>
      <c r="F277">
        <v>1.162235069999489</v>
      </c>
      <c r="G277">
        <v>-1.037198074061392</v>
      </c>
      <c r="H277">
        <v>-0.53829427032953536</v>
      </c>
      <c r="J277">
        <f t="shared" si="8"/>
        <v>-0.10501045102947593</v>
      </c>
      <c r="K277">
        <f t="shared" si="9"/>
        <v>7</v>
      </c>
    </row>
    <row r="278" spans="1:11" x14ac:dyDescent="0.35">
      <c r="A278">
        <v>18097390700</v>
      </c>
      <c r="B278">
        <v>-1.0889974406270311</v>
      </c>
      <c r="C278">
        <v>7.4621977487311933E-2</v>
      </c>
      <c r="D278">
        <v>-0.25637667911076412</v>
      </c>
      <c r="E278">
        <v>-1.4495409573451521</v>
      </c>
      <c r="F278">
        <v>-0.83665406619321347</v>
      </c>
      <c r="G278">
        <v>-1.5647722242320301</v>
      </c>
      <c r="H278">
        <v>-1.1065988425469031</v>
      </c>
      <c r="J278">
        <f t="shared" si="8"/>
        <v>-6.2283182325677826</v>
      </c>
      <c r="K278">
        <f t="shared" si="9"/>
        <v>7</v>
      </c>
    </row>
    <row r="279" spans="1:11" x14ac:dyDescent="0.35">
      <c r="A279">
        <v>18097390800</v>
      </c>
      <c r="B279">
        <v>-1.023417997080708</v>
      </c>
      <c r="C279">
        <v>6.5039560175747649E-2</v>
      </c>
      <c r="D279">
        <v>1.086069514949476E-2</v>
      </c>
      <c r="E279">
        <v>0.13454946014944619</v>
      </c>
      <c r="F279">
        <v>-1.841067292221783</v>
      </c>
      <c r="J279">
        <f t="shared" si="8"/>
        <v>-2.6540355738278025</v>
      </c>
      <c r="K279">
        <f t="shared" si="9"/>
        <v>5</v>
      </c>
    </row>
    <row r="280" spans="1:11" x14ac:dyDescent="0.35">
      <c r="A280">
        <v>18097390801</v>
      </c>
      <c r="G280">
        <v>-1.15619627911359</v>
      </c>
      <c r="H280">
        <v>-4.2614130491711658E-2</v>
      </c>
      <c r="J280">
        <f t="shared" si="8"/>
        <v>-1.1988104096053016</v>
      </c>
      <c r="K280">
        <f t="shared" si="9"/>
        <v>2</v>
      </c>
    </row>
    <row r="281" spans="1:11" x14ac:dyDescent="0.35">
      <c r="A281">
        <v>18097390802</v>
      </c>
      <c r="B281">
        <v>-0.65432417180980396</v>
      </c>
      <c r="C281">
        <v>0.65837675428069586</v>
      </c>
      <c r="D281">
        <v>0.23031717205402211</v>
      </c>
      <c r="E281">
        <v>0.62736842007710247</v>
      </c>
      <c r="F281">
        <v>-0.33612307150951409</v>
      </c>
      <c r="G281">
        <v>-0.8786724205880595</v>
      </c>
      <c r="H281">
        <v>0.20202155529474791</v>
      </c>
      <c r="J281">
        <f t="shared" si="8"/>
        <v>-0.15103576220080911</v>
      </c>
      <c r="K281">
        <f t="shared" si="9"/>
        <v>7</v>
      </c>
    </row>
    <row r="282" spans="1:11" x14ac:dyDescent="0.35">
      <c r="A282">
        <v>18097390900</v>
      </c>
      <c r="B282">
        <v>2.094832550448039</v>
      </c>
      <c r="C282">
        <v>-3.8031936412336868E-2</v>
      </c>
      <c r="D282">
        <v>0.45243911224079059</v>
      </c>
      <c r="E282">
        <v>0.46194076571219461</v>
      </c>
      <c r="F282">
        <v>-0.74942560313655382</v>
      </c>
      <c r="G282">
        <v>1.941997927184129</v>
      </c>
      <c r="H282">
        <v>0.18751744104799969</v>
      </c>
      <c r="J282">
        <f t="shared" si="8"/>
        <v>4.3512702570842627</v>
      </c>
      <c r="K282">
        <f t="shared" si="9"/>
        <v>7</v>
      </c>
    </row>
    <row r="283" spans="1:11" x14ac:dyDescent="0.35">
      <c r="A283">
        <v>18097391000</v>
      </c>
      <c r="B283">
        <v>2.5249548510351461</v>
      </c>
      <c r="C283">
        <v>-1.0972556293983109</v>
      </c>
      <c r="D283">
        <v>0.13445921475564329</v>
      </c>
      <c r="E283">
        <v>0.63057343215421213</v>
      </c>
      <c r="F283">
        <v>1.2845067930930829</v>
      </c>
      <c r="J283">
        <f t="shared" si="8"/>
        <v>3.4772386616397739</v>
      </c>
      <c r="K283">
        <f t="shared" si="9"/>
        <v>5</v>
      </c>
    </row>
    <row r="284" spans="1:11" x14ac:dyDescent="0.35">
      <c r="A284">
        <v>18097391001</v>
      </c>
      <c r="B284">
        <v>1.5734048203742561</v>
      </c>
      <c r="C284">
        <v>-0.36798474794806152</v>
      </c>
      <c r="D284">
        <v>-0.39145972569842108</v>
      </c>
      <c r="E284">
        <v>0.42990857249424358</v>
      </c>
      <c r="F284">
        <v>-2.1606910264488368</v>
      </c>
      <c r="G284">
        <v>0.96060512040900281</v>
      </c>
      <c r="H284">
        <v>-1.1330246167171101</v>
      </c>
      <c r="J284">
        <f t="shared" si="8"/>
        <v>-1.0892416035349273</v>
      </c>
      <c r="K284">
        <f t="shared" si="9"/>
        <v>7</v>
      </c>
    </row>
    <row r="285" spans="1:11" x14ac:dyDescent="0.35">
      <c r="A285">
        <v>18097391002</v>
      </c>
      <c r="B285">
        <v>2.4474871842318762</v>
      </c>
      <c r="C285">
        <v>-0.63093798816279123</v>
      </c>
      <c r="D285">
        <v>1.018307094974372</v>
      </c>
      <c r="E285">
        <v>0.99768915665068658</v>
      </c>
      <c r="F285">
        <v>-0.21366189567900021</v>
      </c>
      <c r="G285">
        <v>1.9110453461155761</v>
      </c>
      <c r="H285">
        <v>1.2156007264882911</v>
      </c>
      <c r="J285">
        <f t="shared" si="8"/>
        <v>6.7455296246190102</v>
      </c>
      <c r="K285">
        <f t="shared" si="9"/>
        <v>7</v>
      </c>
    </row>
    <row r="286" spans="1:11" x14ac:dyDescent="0.35">
      <c r="A286">
        <v>18011810605</v>
      </c>
      <c r="G286">
        <v>0.23604949089386751</v>
      </c>
      <c r="H286">
        <v>0.97193231133569558</v>
      </c>
      <c r="J286">
        <f t="shared" si="8"/>
        <v>1.207981802229563</v>
      </c>
      <c r="K286">
        <f t="shared" si="9"/>
        <v>2</v>
      </c>
    </row>
    <row r="287" spans="1:11" x14ac:dyDescent="0.35">
      <c r="A287">
        <v>18057110805</v>
      </c>
      <c r="G287">
        <v>1.5048131564883991</v>
      </c>
      <c r="H287">
        <v>-0.20916479459436779</v>
      </c>
      <c r="J287">
        <f t="shared" si="8"/>
        <v>1.2956483618940313</v>
      </c>
      <c r="K287">
        <f t="shared" si="9"/>
        <v>2</v>
      </c>
    </row>
    <row r="288" spans="1:11" x14ac:dyDescent="0.35">
      <c r="A288">
        <v>18057110807</v>
      </c>
      <c r="G288">
        <v>1.5048131564883991</v>
      </c>
      <c r="H288">
        <v>-0.20916479459436779</v>
      </c>
      <c r="J288">
        <f t="shared" si="8"/>
        <v>1.2956483618940313</v>
      </c>
      <c r="K288">
        <f t="shared" si="9"/>
        <v>2</v>
      </c>
    </row>
    <row r="289" spans="1:11" x14ac:dyDescent="0.35">
      <c r="A289">
        <v>18057110810</v>
      </c>
      <c r="G289">
        <v>1.5048131564883991</v>
      </c>
      <c r="H289">
        <v>-0.20916479459436779</v>
      </c>
      <c r="J289">
        <f t="shared" si="8"/>
        <v>1.2956483618940313</v>
      </c>
      <c r="K289">
        <f t="shared" si="9"/>
        <v>2</v>
      </c>
    </row>
    <row r="290" spans="1:11" x14ac:dyDescent="0.35">
      <c r="A290">
        <v>18057110813</v>
      </c>
      <c r="G290">
        <v>1.5048131564884</v>
      </c>
      <c r="H290">
        <v>-0.20916479459436779</v>
      </c>
      <c r="J290">
        <f t="shared" si="8"/>
        <v>1.2956483618940322</v>
      </c>
      <c r="K290">
        <f t="shared" si="9"/>
        <v>2</v>
      </c>
    </row>
    <row r="291" spans="1:11" x14ac:dyDescent="0.35">
      <c r="A291">
        <v>18057110822</v>
      </c>
      <c r="G291">
        <v>1.5048131564883991</v>
      </c>
      <c r="H291">
        <v>-0.20916479459436779</v>
      </c>
      <c r="J291">
        <f t="shared" si="8"/>
        <v>1.2956483618940313</v>
      </c>
      <c r="K291">
        <f t="shared" si="9"/>
        <v>2</v>
      </c>
    </row>
    <row r="292" spans="1:11" x14ac:dyDescent="0.35">
      <c r="A292">
        <v>18057111006</v>
      </c>
      <c r="G292">
        <v>1.225595982378217</v>
      </c>
      <c r="J292">
        <f t="shared" si="8"/>
        <v>1.225595982378217</v>
      </c>
      <c r="K292">
        <f t="shared" si="9"/>
        <v>1</v>
      </c>
    </row>
    <row r="293" spans="1:11" x14ac:dyDescent="0.35">
      <c r="A293">
        <v>18057111101</v>
      </c>
      <c r="G293">
        <v>1.225595982378217</v>
      </c>
      <c r="J293">
        <f t="shared" si="8"/>
        <v>1.225595982378217</v>
      </c>
      <c r="K293">
        <f t="shared" si="9"/>
        <v>1</v>
      </c>
    </row>
    <row r="294" spans="1:11" x14ac:dyDescent="0.35">
      <c r="A294">
        <v>18057111103</v>
      </c>
      <c r="G294">
        <v>0.61303840415180255</v>
      </c>
      <c r="H294">
        <v>0.56850682712487299</v>
      </c>
      <c r="J294">
        <f t="shared" si="8"/>
        <v>1.1815452312766754</v>
      </c>
      <c r="K294">
        <f t="shared" si="9"/>
        <v>2</v>
      </c>
    </row>
    <row r="295" spans="1:11" x14ac:dyDescent="0.35">
      <c r="A295">
        <v>18057111104</v>
      </c>
      <c r="G295">
        <v>1.225595982378217</v>
      </c>
      <c r="J295">
        <f t="shared" si="8"/>
        <v>1.225595982378217</v>
      </c>
      <c r="K295">
        <f t="shared" si="9"/>
        <v>1</v>
      </c>
    </row>
    <row r="296" spans="1:11" x14ac:dyDescent="0.35">
      <c r="A296">
        <v>18059410801</v>
      </c>
      <c r="G296">
        <v>-0.22596272037372869</v>
      </c>
      <c r="H296">
        <v>1.0810426707168239</v>
      </c>
      <c r="J296">
        <f t="shared" si="8"/>
        <v>0.85507995034309525</v>
      </c>
      <c r="K296">
        <f t="shared" si="9"/>
        <v>2</v>
      </c>
    </row>
    <row r="297" spans="1:11" x14ac:dyDescent="0.35">
      <c r="A297">
        <v>18059410802</v>
      </c>
      <c r="G297">
        <v>0.88718171147205327</v>
      </c>
      <c r="H297">
        <v>1.628030188256526</v>
      </c>
      <c r="J297">
        <f t="shared" si="8"/>
        <v>2.5152118997285795</v>
      </c>
      <c r="K297">
        <f t="shared" si="9"/>
        <v>2</v>
      </c>
    </row>
    <row r="298" spans="1:11" x14ac:dyDescent="0.35">
      <c r="A298">
        <v>18059410901</v>
      </c>
      <c r="G298">
        <v>-0.23420025468895109</v>
      </c>
      <c r="H298">
        <v>1.0567458220576851</v>
      </c>
      <c r="J298">
        <f t="shared" si="8"/>
        <v>0.82254556736873397</v>
      </c>
      <c r="K298">
        <f t="shared" si="9"/>
        <v>2</v>
      </c>
    </row>
    <row r="299" spans="1:11" x14ac:dyDescent="0.35">
      <c r="A299">
        <v>18059410902</v>
      </c>
      <c r="G299">
        <v>-0.2309105139367045</v>
      </c>
      <c r="H299">
        <v>1.0786113767706971</v>
      </c>
      <c r="J299">
        <f t="shared" si="8"/>
        <v>0.8477008628339926</v>
      </c>
      <c r="K299">
        <f t="shared" si="9"/>
        <v>2</v>
      </c>
    </row>
    <row r="300" spans="1:11" x14ac:dyDescent="0.35">
      <c r="A300">
        <v>18063210106</v>
      </c>
      <c r="G300">
        <v>2.6396143983150622</v>
      </c>
      <c r="H300">
        <v>1.8016276961293241</v>
      </c>
      <c r="J300">
        <f t="shared" si="8"/>
        <v>4.4412420944443864</v>
      </c>
      <c r="K300">
        <f t="shared" si="9"/>
        <v>2</v>
      </c>
    </row>
    <row r="301" spans="1:11" x14ac:dyDescent="0.35">
      <c r="A301">
        <v>18063210107</v>
      </c>
      <c r="G301">
        <v>2.666004563136898</v>
      </c>
      <c r="J301">
        <f t="shared" si="8"/>
        <v>2.666004563136898</v>
      </c>
      <c r="K301">
        <f t="shared" si="9"/>
        <v>1</v>
      </c>
    </row>
    <row r="302" spans="1:11" x14ac:dyDescent="0.35">
      <c r="A302">
        <v>18063210108</v>
      </c>
      <c r="G302">
        <v>0.71004691507952611</v>
      </c>
      <c r="H302">
        <v>1.8016276961293229</v>
      </c>
      <c r="J302">
        <f t="shared" si="8"/>
        <v>2.5116746112088491</v>
      </c>
      <c r="K302">
        <f t="shared" si="9"/>
        <v>2</v>
      </c>
    </row>
    <row r="303" spans="1:11" x14ac:dyDescent="0.35">
      <c r="A303">
        <v>18063210109</v>
      </c>
      <c r="G303">
        <v>0.71004691507952611</v>
      </c>
      <c r="H303">
        <v>1.8016276961293229</v>
      </c>
      <c r="J303">
        <f t="shared" si="8"/>
        <v>2.5116746112088491</v>
      </c>
      <c r="K303">
        <f t="shared" si="9"/>
        <v>2</v>
      </c>
    </row>
    <row r="304" spans="1:11" x14ac:dyDescent="0.35">
      <c r="A304">
        <v>18063210607</v>
      </c>
      <c r="G304">
        <v>0.38200013807202737</v>
      </c>
      <c r="J304">
        <f t="shared" si="8"/>
        <v>0.38200013807202737</v>
      </c>
      <c r="K304">
        <f t="shared" si="9"/>
        <v>1</v>
      </c>
    </row>
    <row r="305" spans="1:11" x14ac:dyDescent="0.35">
      <c r="A305">
        <v>18063210608</v>
      </c>
      <c r="G305">
        <v>0.38200013807202737</v>
      </c>
      <c r="J305">
        <f t="shared" si="8"/>
        <v>0.38200013807202737</v>
      </c>
      <c r="K305">
        <f t="shared" si="9"/>
        <v>1</v>
      </c>
    </row>
    <row r="306" spans="1:11" x14ac:dyDescent="0.35">
      <c r="A306">
        <v>18063210611</v>
      </c>
      <c r="G306">
        <v>0.71004691507952611</v>
      </c>
      <c r="H306">
        <v>1.8016276961293229</v>
      </c>
      <c r="J306">
        <f t="shared" si="8"/>
        <v>2.5116746112088491</v>
      </c>
      <c r="K306">
        <f t="shared" si="9"/>
        <v>2</v>
      </c>
    </row>
    <row r="307" spans="1:11" x14ac:dyDescent="0.35">
      <c r="A307">
        <v>18063210614</v>
      </c>
      <c r="G307">
        <v>0.38200013807202737</v>
      </c>
      <c r="J307">
        <f t="shared" si="8"/>
        <v>0.38200013807202737</v>
      </c>
      <c r="K307">
        <f t="shared" si="9"/>
        <v>1</v>
      </c>
    </row>
    <row r="308" spans="1:11" x14ac:dyDescent="0.35">
      <c r="A308">
        <v>18063210616</v>
      </c>
      <c r="G308">
        <v>0.71004691507952611</v>
      </c>
      <c r="H308">
        <v>1.8016276961293229</v>
      </c>
      <c r="J308">
        <f t="shared" si="8"/>
        <v>2.5116746112088491</v>
      </c>
      <c r="K308">
        <f t="shared" si="9"/>
        <v>2</v>
      </c>
    </row>
    <row r="309" spans="1:11" x14ac:dyDescent="0.35">
      <c r="A309">
        <v>18063210617</v>
      </c>
      <c r="G309">
        <v>0.71004691507952611</v>
      </c>
      <c r="H309">
        <v>1.8016276961293229</v>
      </c>
      <c r="J309">
        <f t="shared" si="8"/>
        <v>2.5116746112088491</v>
      </c>
      <c r="K309">
        <f t="shared" si="9"/>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88A8C-50AD-49DA-97B3-F21DA911746B}">
  <sheetPr codeName="Sheet5"/>
  <dimension ref="A1:O1541"/>
  <sheetViews>
    <sheetView workbookViewId="0">
      <selection activeCell="B403" sqref="B403"/>
    </sheetView>
  </sheetViews>
  <sheetFormatPr defaultRowHeight="14.5" x14ac:dyDescent="0.35"/>
  <cols>
    <col min="1" max="1" width="17.36328125" customWidth="1"/>
  </cols>
  <sheetData>
    <row r="1" spans="1:15" s="23" customFormat="1" x14ac:dyDescent="0.35">
      <c r="B1" s="23" t="s">
        <v>174</v>
      </c>
      <c r="C1" s="23" t="s">
        <v>183</v>
      </c>
      <c r="D1" s="23" t="s">
        <v>191</v>
      </c>
      <c r="E1" s="23" t="s">
        <v>190</v>
      </c>
      <c r="F1" s="23" t="s">
        <v>189</v>
      </c>
      <c r="G1" s="23" t="s">
        <v>188</v>
      </c>
      <c r="H1" s="23" t="s">
        <v>187</v>
      </c>
      <c r="I1" s="23" t="s">
        <v>186</v>
      </c>
      <c r="J1" s="23" t="s">
        <v>185</v>
      </c>
      <c r="K1" s="23" t="s">
        <v>184</v>
      </c>
      <c r="M1" s="23" t="s">
        <v>196</v>
      </c>
      <c r="N1" s="23" t="s">
        <v>197</v>
      </c>
    </row>
    <row r="2" spans="1:15" x14ac:dyDescent="0.35">
      <c r="A2" t="str">
        <f>TEXT(B2,0)&amp;"_"&amp;TEXT(C2,0)</f>
        <v>18097310104_2024</v>
      </c>
      <c r="B2">
        <v>18097310104</v>
      </c>
      <c r="C2">
        <v>2024</v>
      </c>
      <c r="D2">
        <v>0.7333424902596104</v>
      </c>
      <c r="E2">
        <v>3.88945578516545E-2</v>
      </c>
      <c r="F2">
        <v>1.0304310477457079</v>
      </c>
      <c r="G2">
        <v>-0.18632415864518651</v>
      </c>
      <c r="H2">
        <v>-1.792803205554807E-2</v>
      </c>
      <c r="I2">
        <v>-1.7435987647086091</v>
      </c>
      <c r="J2">
        <v>-0.30227617511650801</v>
      </c>
      <c r="K2">
        <v>0.17088213730755539</v>
      </c>
      <c r="M2">
        <f>SUM(D2:K2)</f>
        <v>-0.27657689736132363</v>
      </c>
      <c r="N2">
        <f>IF(D2=0,0,1)+IF(E2=0,0,1)+IF(F2=0,0,1)+IF(G2=0,0,1)+IF(H2=0,0,1)+IF(I2=0,0,1)++IF(J2=0,0,1)++IF(K2=0,0,1)</f>
        <v>8</v>
      </c>
      <c r="O2" s="23"/>
    </row>
    <row r="3" spans="1:15" x14ac:dyDescent="0.35">
      <c r="A3" t="str">
        <f t="shared" ref="A3:A66" si="0">TEXT(B3,0)&amp;"_"&amp;TEXT(C3,0)</f>
        <v>18097310104_2025</v>
      </c>
      <c r="B3">
        <v>18097310104</v>
      </c>
      <c r="C3">
        <v>2025</v>
      </c>
      <c r="D3">
        <v>1.8892472667825899</v>
      </c>
      <c r="E3">
        <v>-5.7477129120176357E-2</v>
      </c>
      <c r="F3">
        <v>1.4962767829317329</v>
      </c>
      <c r="G3">
        <v>-0.29864191088103431</v>
      </c>
      <c r="H3">
        <v>-0.81705961083249279</v>
      </c>
      <c r="I3">
        <v>-1.7232153493799309</v>
      </c>
      <c r="J3">
        <v>-0.3893972248338412</v>
      </c>
      <c r="K3">
        <v>-5.5117098868447317E-2</v>
      </c>
      <c r="M3">
        <f t="shared" ref="M3:M66" si="1">SUM(D3:K3)</f>
        <v>4.4615725798399758E-2</v>
      </c>
      <c r="N3">
        <f t="shared" ref="N3:N66" si="2">IF(D3=0,0,1)+IF(E3=0,0,1)+IF(F3=0,0,1)+IF(G3=0,0,1)+IF(H3=0,0,1)+IF(I3=0,0,1)++IF(J3=0,0,1)++IF(K3=0,0,1)</f>
        <v>8</v>
      </c>
    </row>
    <row r="4" spans="1:15" x14ac:dyDescent="0.35">
      <c r="A4" t="str">
        <f t="shared" si="0"/>
        <v>18097310104_2026</v>
      </c>
      <c r="B4">
        <v>18097310104</v>
      </c>
      <c r="C4">
        <v>2026</v>
      </c>
      <c r="D4">
        <v>1.271939646823576</v>
      </c>
      <c r="E4">
        <v>9.1258247127998706E-3</v>
      </c>
      <c r="F4">
        <v>1.011969365472899</v>
      </c>
      <c r="G4">
        <v>-0.33251192825256742</v>
      </c>
      <c r="H4">
        <v>-0.68328412210735079</v>
      </c>
      <c r="I4">
        <v>-1.24480204538876</v>
      </c>
      <c r="J4">
        <v>-0.45516976893515171</v>
      </c>
      <c r="K4">
        <v>-7.0732063066128864E-2</v>
      </c>
      <c r="M4">
        <f t="shared" si="1"/>
        <v>-0.49346509074068423</v>
      </c>
      <c r="N4">
        <f t="shared" si="2"/>
        <v>8</v>
      </c>
    </row>
    <row r="5" spans="1:15" x14ac:dyDescent="0.35">
      <c r="A5" t="str">
        <f t="shared" si="0"/>
        <v>18097310104_2027</v>
      </c>
      <c r="B5">
        <v>18097310104</v>
      </c>
      <c r="C5">
        <v>2027</v>
      </c>
      <c r="D5">
        <v>1.9937165831536421</v>
      </c>
      <c r="E5">
        <v>2.3338767169932551E-2</v>
      </c>
      <c r="F5">
        <v>0.8915824452771377</v>
      </c>
      <c r="G5">
        <v>-0.33883204943052059</v>
      </c>
      <c r="H5">
        <v>-0.72670705933167157</v>
      </c>
      <c r="I5">
        <v>-0.65119974972453254</v>
      </c>
      <c r="J5">
        <v>-0.48144777445684889</v>
      </c>
      <c r="K5">
        <v>-6.4489863545660359E-2</v>
      </c>
      <c r="M5">
        <f t="shared" si="1"/>
        <v>0.64596129911147826</v>
      </c>
      <c r="N5">
        <f t="shared" si="2"/>
        <v>8</v>
      </c>
    </row>
    <row r="6" spans="1:15" x14ac:dyDescent="0.35">
      <c r="A6" t="str">
        <f t="shared" si="0"/>
        <v>18097310104_2028</v>
      </c>
      <c r="B6">
        <v>18097310104</v>
      </c>
      <c r="C6">
        <v>2028</v>
      </c>
      <c r="D6">
        <v>1.8051261745817759</v>
      </c>
      <c r="E6">
        <v>0.1038885181666004</v>
      </c>
      <c r="F6">
        <v>0.90562910652608397</v>
      </c>
      <c r="G6">
        <v>-0.33514094650850912</v>
      </c>
      <c r="H6">
        <v>-0.63116329775889024</v>
      </c>
      <c r="I6">
        <v>-0.24906763394501319</v>
      </c>
      <c r="J6">
        <v>-0.49218906471145002</v>
      </c>
      <c r="K6">
        <v>-4.8359156632349361E-2</v>
      </c>
      <c r="M6">
        <f t="shared" si="1"/>
        <v>1.0587236997182485</v>
      </c>
      <c r="N6">
        <f t="shared" si="2"/>
        <v>8</v>
      </c>
    </row>
    <row r="7" spans="1:15" x14ac:dyDescent="0.35">
      <c r="A7" t="str">
        <f t="shared" si="0"/>
        <v>18097310105_2024</v>
      </c>
      <c r="B7">
        <v>18097310105</v>
      </c>
      <c r="C7">
        <v>2024</v>
      </c>
      <c r="D7">
        <v>0.56449803528023623</v>
      </c>
      <c r="E7">
        <v>0.8555369664685768</v>
      </c>
      <c r="F7">
        <v>2.9403120195501141E-2</v>
      </c>
      <c r="G7">
        <v>-0.27611931516123972</v>
      </c>
      <c r="H7">
        <v>1.138248391169008</v>
      </c>
      <c r="I7">
        <v>-0.19478511560979389</v>
      </c>
      <c r="J7">
        <v>-0.84965999926732139</v>
      </c>
      <c r="K7">
        <v>0.17088213730755539</v>
      </c>
      <c r="M7">
        <f t="shared" si="1"/>
        <v>1.4380042203825227</v>
      </c>
      <c r="N7">
        <f t="shared" si="2"/>
        <v>8</v>
      </c>
    </row>
    <row r="8" spans="1:15" x14ac:dyDescent="0.35">
      <c r="A8" t="str">
        <f t="shared" si="0"/>
        <v>18097310105_2025</v>
      </c>
      <c r="B8">
        <v>18097310105</v>
      </c>
      <c r="C8">
        <v>2025</v>
      </c>
      <c r="D8">
        <v>2.190546647885756</v>
      </c>
      <c r="E8">
        <v>0.91257610481422402</v>
      </c>
      <c r="F8">
        <v>0.8042615523861868</v>
      </c>
      <c r="G8">
        <v>-0.61031947420267341</v>
      </c>
      <c r="H8">
        <v>0.36674935288941313</v>
      </c>
      <c r="I8">
        <v>-0.26472044936153333</v>
      </c>
      <c r="J8">
        <v>-0.91360125588405838</v>
      </c>
      <c r="K8">
        <v>-5.5117098868447317E-2</v>
      </c>
      <c r="M8">
        <f t="shared" si="1"/>
        <v>2.4303753796588676</v>
      </c>
      <c r="N8">
        <f t="shared" si="2"/>
        <v>8</v>
      </c>
    </row>
    <row r="9" spans="1:15" x14ac:dyDescent="0.35">
      <c r="A9" t="str">
        <f t="shared" si="0"/>
        <v>18097310105_2026</v>
      </c>
      <c r="B9">
        <v>18097310105</v>
      </c>
      <c r="C9">
        <v>2026</v>
      </c>
      <c r="D9">
        <v>1.396906995264833</v>
      </c>
      <c r="E9">
        <v>0.72810069716872461</v>
      </c>
      <c r="F9">
        <v>0.87859683622947526</v>
      </c>
      <c r="G9">
        <v>-0.65184455158799415</v>
      </c>
      <c r="H9">
        <v>0.40948397758588129</v>
      </c>
      <c r="I9">
        <v>-0.22518437088126569</v>
      </c>
      <c r="J9">
        <v>-0.94288717270992961</v>
      </c>
      <c r="K9">
        <v>-7.0732063066128864E-2</v>
      </c>
      <c r="M9">
        <f t="shared" si="1"/>
        <v>1.5224403480035962</v>
      </c>
      <c r="N9">
        <f t="shared" si="2"/>
        <v>8</v>
      </c>
    </row>
    <row r="10" spans="1:15" x14ac:dyDescent="0.35">
      <c r="A10" t="str">
        <f t="shared" si="0"/>
        <v>18097310105_2027</v>
      </c>
      <c r="B10">
        <v>18097310105</v>
      </c>
      <c r="C10">
        <v>2027</v>
      </c>
      <c r="D10">
        <v>2.18401000421736</v>
      </c>
      <c r="E10">
        <v>0.51307148379489831</v>
      </c>
      <c r="F10">
        <v>1.011093272228768</v>
      </c>
      <c r="G10">
        <v>-0.7165832421462518</v>
      </c>
      <c r="H10">
        <v>0.25011362921902031</v>
      </c>
      <c r="I10">
        <v>-0.1150881863539394</v>
      </c>
      <c r="J10">
        <v>-0.9546013287679328</v>
      </c>
      <c r="K10">
        <v>-6.4489863545660359E-2</v>
      </c>
      <c r="M10">
        <f t="shared" si="1"/>
        <v>2.1075257686462621</v>
      </c>
      <c r="N10">
        <f t="shared" si="2"/>
        <v>8</v>
      </c>
    </row>
    <row r="11" spans="1:15" x14ac:dyDescent="0.35">
      <c r="A11" t="str">
        <f t="shared" si="0"/>
        <v>18097310105_2028</v>
      </c>
      <c r="B11">
        <v>18097310105</v>
      </c>
      <c r="C11">
        <v>2028</v>
      </c>
      <c r="D11">
        <v>2.0131577891780301</v>
      </c>
      <c r="E11">
        <v>0.4162864453688061</v>
      </c>
      <c r="F11">
        <v>1.1553150339075571</v>
      </c>
      <c r="G11">
        <v>-0.687328146035034</v>
      </c>
      <c r="H11">
        <v>0.11419589162542911</v>
      </c>
      <c r="I11">
        <v>-2.4696574086445391E-2</v>
      </c>
      <c r="J11">
        <v>-0.95923134932461362</v>
      </c>
      <c r="K11">
        <v>-4.8359156632349361E-2</v>
      </c>
      <c r="M11">
        <f t="shared" si="1"/>
        <v>1.9793399340013798</v>
      </c>
      <c r="N11">
        <f t="shared" si="2"/>
        <v>8</v>
      </c>
    </row>
    <row r="12" spans="1:15" x14ac:dyDescent="0.35">
      <c r="A12" t="str">
        <f t="shared" si="0"/>
        <v>18097310106_2024</v>
      </c>
      <c r="B12">
        <v>18097310106</v>
      </c>
      <c r="C12">
        <v>2024</v>
      </c>
      <c r="D12">
        <v>0.63722492266468911</v>
      </c>
      <c r="E12">
        <v>0.76340530914931248</v>
      </c>
      <c r="F12">
        <v>1.5583421598264731</v>
      </c>
      <c r="G12">
        <v>6.2401084938896657E-2</v>
      </c>
      <c r="H12">
        <v>-0.30711726812500673</v>
      </c>
      <c r="I12">
        <v>0.96196625119240797</v>
      </c>
      <c r="J12">
        <v>-0.43606638940294989</v>
      </c>
      <c r="K12">
        <v>0.58750937951960014</v>
      </c>
      <c r="M12">
        <f t="shared" si="1"/>
        <v>3.827665449763423</v>
      </c>
      <c r="N12">
        <f t="shared" si="2"/>
        <v>8</v>
      </c>
    </row>
    <row r="13" spans="1:15" x14ac:dyDescent="0.35">
      <c r="A13" t="str">
        <f t="shared" si="0"/>
        <v>18097310106_2025</v>
      </c>
      <c r="B13">
        <v>18097310106</v>
      </c>
      <c r="C13">
        <v>2025</v>
      </c>
      <c r="D13">
        <v>1.860498867875477</v>
      </c>
      <c r="E13">
        <v>-0.40429257583649719</v>
      </c>
      <c r="F13">
        <v>-8.9690980949750337E-2</v>
      </c>
      <c r="G13">
        <v>0.2235102010220596</v>
      </c>
      <c r="H13">
        <v>1.7419011151292001</v>
      </c>
      <c r="I13">
        <v>-0.82052371741164942</v>
      </c>
      <c r="J13">
        <v>-0.50709785021737941</v>
      </c>
      <c r="K13">
        <v>1.0793863680165809</v>
      </c>
      <c r="M13">
        <f>SUM(D13:K13)</f>
        <v>3.0836914276280414</v>
      </c>
      <c r="N13">
        <f t="shared" si="2"/>
        <v>8</v>
      </c>
    </row>
    <row r="14" spans="1:15" x14ac:dyDescent="0.35">
      <c r="A14" t="str">
        <f t="shared" si="0"/>
        <v>18097310106_2026</v>
      </c>
      <c r="B14">
        <v>18097310106</v>
      </c>
      <c r="C14">
        <v>2026</v>
      </c>
      <c r="D14">
        <v>1.183256040829993</v>
      </c>
      <c r="E14">
        <v>0.96712953718951022</v>
      </c>
      <c r="F14">
        <v>-0.13444167645834329</v>
      </c>
      <c r="G14">
        <v>0.14828063986575679</v>
      </c>
      <c r="H14">
        <v>2.2324239301221329</v>
      </c>
      <c r="I14">
        <v>0.56801103315293899</v>
      </c>
      <c r="J14">
        <v>-0.56340829629980038</v>
      </c>
      <c r="K14">
        <v>0.7520783080854091</v>
      </c>
      <c r="M14">
        <f t="shared" si="1"/>
        <v>5.153329516487597</v>
      </c>
      <c r="N14">
        <f t="shared" si="2"/>
        <v>8</v>
      </c>
    </row>
    <row r="15" spans="1:15" x14ac:dyDescent="0.35">
      <c r="A15" t="str">
        <f t="shared" si="0"/>
        <v>18097310106_2027</v>
      </c>
      <c r="B15">
        <v>18097310106</v>
      </c>
      <c r="C15">
        <v>2027</v>
      </c>
      <c r="D15">
        <v>1.9255420333416879</v>
      </c>
      <c r="E15">
        <v>-7.8808511100793774E-2</v>
      </c>
      <c r="F15">
        <v>-0.13455209814447081</v>
      </c>
      <c r="G15">
        <v>0.2170669519351501</v>
      </c>
      <c r="H15">
        <v>3.1697956755995018</v>
      </c>
      <c r="I15">
        <v>-0.20540606621507071</v>
      </c>
      <c r="J15">
        <v>-0.58660530830323154</v>
      </c>
      <c r="K15">
        <v>0.68416374606316432</v>
      </c>
      <c r="M15">
        <f t="shared" si="1"/>
        <v>4.9911964231759374</v>
      </c>
      <c r="N15">
        <f t="shared" si="2"/>
        <v>8</v>
      </c>
    </row>
    <row r="16" spans="1:15" x14ac:dyDescent="0.35">
      <c r="A16" t="str">
        <f t="shared" si="0"/>
        <v>18097310106_2028</v>
      </c>
      <c r="B16">
        <v>18097310106</v>
      </c>
      <c r="C16">
        <v>2028</v>
      </c>
      <c r="D16">
        <v>1.716993300425063</v>
      </c>
      <c r="E16">
        <v>0.72245102518124582</v>
      </c>
      <c r="F16">
        <v>-0.10216409975380331</v>
      </c>
      <c r="G16">
        <v>0.18054238314558771</v>
      </c>
      <c r="H16">
        <v>3.0929887365066229</v>
      </c>
      <c r="I16">
        <v>0.28632284585259749</v>
      </c>
      <c r="J16">
        <v>-0.59610202184341399</v>
      </c>
      <c r="K16">
        <v>0.63182418065561341</v>
      </c>
      <c r="M16">
        <f t="shared" si="1"/>
        <v>5.9328563501695122</v>
      </c>
      <c r="N16">
        <f t="shared" si="2"/>
        <v>8</v>
      </c>
    </row>
    <row r="17" spans="1:14" x14ac:dyDescent="0.35">
      <c r="A17" t="str">
        <f t="shared" si="0"/>
        <v>18097310108_2024</v>
      </c>
      <c r="B17">
        <v>18097310108</v>
      </c>
      <c r="C17">
        <v>2024</v>
      </c>
      <c r="D17">
        <v>0.20685953760741321</v>
      </c>
      <c r="E17">
        <v>7.421888120402384E-2</v>
      </c>
      <c r="F17">
        <v>-1.258109498510352</v>
      </c>
      <c r="G17">
        <v>0.18965883532119079</v>
      </c>
      <c r="H17">
        <v>0.1051286489659462</v>
      </c>
      <c r="I17">
        <v>6.8314101424341217E-2</v>
      </c>
      <c r="J17">
        <v>-0.36612081257306273</v>
      </c>
      <c r="K17">
        <v>1.4508637819592389</v>
      </c>
      <c r="M17">
        <f t="shared" si="1"/>
        <v>0.47081347539873941</v>
      </c>
      <c r="N17">
        <f t="shared" si="2"/>
        <v>8</v>
      </c>
    </row>
    <row r="18" spans="1:14" x14ac:dyDescent="0.35">
      <c r="A18" t="str">
        <f t="shared" si="0"/>
        <v>18097310108_2025</v>
      </c>
      <c r="B18">
        <v>18097310108</v>
      </c>
      <c r="C18">
        <v>2025</v>
      </c>
      <c r="D18">
        <v>0.79798754278187056</v>
      </c>
      <c r="E18">
        <v>-7.4753195418236565E-2</v>
      </c>
      <c r="F18">
        <v>0.2684033225451532</v>
      </c>
      <c r="G18">
        <v>-0.18514551411374061</v>
      </c>
      <c r="H18">
        <v>0.39457394725049449</v>
      </c>
      <c r="I18">
        <v>0.1759793729157933</v>
      </c>
      <c r="J18">
        <v>-0.44131568765779489</v>
      </c>
      <c r="K18">
        <v>4.2785767881507359</v>
      </c>
      <c r="M18">
        <f t="shared" si="1"/>
        <v>5.2143065764542751</v>
      </c>
      <c r="N18">
        <f t="shared" si="2"/>
        <v>8</v>
      </c>
    </row>
    <row r="19" spans="1:14" x14ac:dyDescent="0.35">
      <c r="A19" t="str">
        <f t="shared" si="0"/>
        <v>18097310108_2026</v>
      </c>
      <c r="B19">
        <v>18097310108</v>
      </c>
      <c r="C19">
        <v>2026</v>
      </c>
      <c r="D19">
        <v>0.43446455954600371</v>
      </c>
      <c r="E19">
        <v>9.4706355050515906E-3</v>
      </c>
      <c r="F19">
        <v>0.30196692969329192</v>
      </c>
      <c r="G19">
        <v>1.8880508204624918E-2</v>
      </c>
      <c r="H19">
        <v>0.38308815192541901</v>
      </c>
      <c r="I19">
        <v>0.199269986370051</v>
      </c>
      <c r="J19">
        <v>-0.50250425325697134</v>
      </c>
      <c r="K19">
        <v>4.003372325538229</v>
      </c>
      <c r="M19">
        <f t="shared" si="1"/>
        <v>4.8480088435257001</v>
      </c>
      <c r="N19">
        <f t="shared" si="2"/>
        <v>8</v>
      </c>
    </row>
    <row r="20" spans="1:14" x14ac:dyDescent="0.35">
      <c r="A20" t="str">
        <f t="shared" si="0"/>
        <v>18097310108_2027</v>
      </c>
      <c r="B20">
        <v>18097310108</v>
      </c>
      <c r="C20">
        <v>2027</v>
      </c>
      <c r="D20">
        <v>0.90421721618124262</v>
      </c>
      <c r="E20">
        <v>1.9772105868818449E-2</v>
      </c>
      <c r="F20">
        <v>0.34947496634336378</v>
      </c>
      <c r="G20">
        <v>-1.194448311555623E-2</v>
      </c>
      <c r="H20">
        <v>0.22901611215503101</v>
      </c>
      <c r="I20">
        <v>0.23415782730920781</v>
      </c>
      <c r="J20">
        <v>-0.52743140374404618</v>
      </c>
      <c r="K20">
        <v>3.9655326286661192</v>
      </c>
      <c r="M20">
        <f t="shared" si="1"/>
        <v>5.1627949696641799</v>
      </c>
      <c r="N20">
        <f t="shared" si="2"/>
        <v>8</v>
      </c>
    </row>
    <row r="21" spans="1:14" x14ac:dyDescent="0.35">
      <c r="A21" t="str">
        <f t="shared" si="0"/>
        <v>18097310108_2028</v>
      </c>
      <c r="B21">
        <v>18097310108</v>
      </c>
      <c r="C21">
        <v>2028</v>
      </c>
      <c r="D21">
        <v>0.64988678361955032</v>
      </c>
      <c r="E21">
        <v>0.1014527020470225</v>
      </c>
      <c r="F21">
        <v>0.432010089867432</v>
      </c>
      <c r="G21">
        <v>-9.0776181467141105E-3</v>
      </c>
      <c r="H21">
        <v>9.3935741450648313E-2</v>
      </c>
      <c r="I21">
        <v>0.2447824133544344</v>
      </c>
      <c r="J21">
        <v>-0.53763700186611718</v>
      </c>
      <c r="K21">
        <v>3.9095459274530042</v>
      </c>
      <c r="M21">
        <f t="shared" si="1"/>
        <v>4.8848990377792605</v>
      </c>
      <c r="N21">
        <f t="shared" si="2"/>
        <v>8</v>
      </c>
    </row>
    <row r="22" spans="1:14" x14ac:dyDescent="0.35">
      <c r="A22" t="str">
        <f t="shared" si="0"/>
        <v>18097310110_2024</v>
      </c>
      <c r="B22">
        <v>18097310110</v>
      </c>
      <c r="C22">
        <v>2024</v>
      </c>
      <c r="D22">
        <v>4.4563946853497287E-2</v>
      </c>
      <c r="E22">
        <v>4.0058431057199112E-2</v>
      </c>
      <c r="F22">
        <v>-0.1067557625330937</v>
      </c>
      <c r="G22">
        <v>-0.27298219226684423</v>
      </c>
      <c r="H22">
        <v>4.4328863096727969E-2</v>
      </c>
      <c r="I22">
        <v>0.15832411076343211</v>
      </c>
      <c r="J22">
        <v>-5.2810481152071737E-2</v>
      </c>
      <c r="K22">
        <v>0.18891788568755041</v>
      </c>
      <c r="M22">
        <f t="shared" si="1"/>
        <v>4.3644801506397241E-2</v>
      </c>
      <c r="N22">
        <f t="shared" si="2"/>
        <v>8</v>
      </c>
    </row>
    <row r="23" spans="1:14" x14ac:dyDescent="0.35">
      <c r="A23" t="str">
        <f t="shared" si="0"/>
        <v>18097310110_2025</v>
      </c>
      <c r="B23">
        <v>18097310110</v>
      </c>
      <c r="C23">
        <v>2025</v>
      </c>
      <c r="D23">
        <v>0.30958228772916457</v>
      </c>
      <c r="E23">
        <v>-0.1273395141268176</v>
      </c>
      <c r="F23">
        <v>-3.1102140303398931E-2</v>
      </c>
      <c r="G23">
        <v>-0.51968780322052766</v>
      </c>
      <c r="H23">
        <v>-0.26199520690273742</v>
      </c>
      <c r="I23">
        <v>0.24091807394696271</v>
      </c>
      <c r="J23">
        <v>-0.13214104251989009</v>
      </c>
      <c r="K23">
        <v>8.255296582634114E-2</v>
      </c>
      <c r="M23">
        <f t="shared" si="1"/>
        <v>-0.43921237957090326</v>
      </c>
      <c r="N23">
        <f t="shared" si="2"/>
        <v>8</v>
      </c>
    </row>
    <row r="24" spans="1:14" x14ac:dyDescent="0.35">
      <c r="A24" t="str">
        <f t="shared" si="0"/>
        <v>18097310110_2026</v>
      </c>
      <c r="B24">
        <v>18097310110</v>
      </c>
      <c r="C24">
        <v>2026</v>
      </c>
      <c r="D24">
        <v>2.667111440582718E-2</v>
      </c>
      <c r="E24">
        <v>-5.3623323103199567E-2</v>
      </c>
      <c r="F24">
        <v>-6.3085614986354496E-3</v>
      </c>
      <c r="G24">
        <v>-0.54511283569553259</v>
      </c>
      <c r="H24">
        <v>-0.17390767700867971</v>
      </c>
      <c r="I24">
        <v>0.26849172215613121</v>
      </c>
      <c r="J24">
        <v>-0.20311551025111399</v>
      </c>
      <c r="K24">
        <v>-0.1040717249070665</v>
      </c>
      <c r="M24">
        <f t="shared" si="1"/>
        <v>-0.79097679590226944</v>
      </c>
      <c r="N24">
        <f t="shared" si="2"/>
        <v>8</v>
      </c>
    </row>
    <row r="25" spans="1:14" x14ac:dyDescent="0.35">
      <c r="A25" t="str">
        <f t="shared" si="0"/>
        <v>18097310110_2027</v>
      </c>
      <c r="B25">
        <v>18097310110</v>
      </c>
      <c r="C25">
        <v>2027</v>
      </c>
      <c r="D25">
        <v>0.39545967020223899</v>
      </c>
      <c r="E25">
        <v>-3.9841488831373818E-2</v>
      </c>
      <c r="F25">
        <v>-5.3273896280358101E-3</v>
      </c>
      <c r="G25">
        <v>-0.5866076713286269</v>
      </c>
      <c r="H25">
        <v>-0.30654480531128703</v>
      </c>
      <c r="I25">
        <v>0.28778196709728993</v>
      </c>
      <c r="J25">
        <v>-0.23324674296906611</v>
      </c>
      <c r="K25">
        <v>-0.1307384344620085</v>
      </c>
      <c r="M25">
        <f t="shared" si="1"/>
        <v>-0.61906489523086927</v>
      </c>
      <c r="N25">
        <f t="shared" si="2"/>
        <v>8</v>
      </c>
    </row>
    <row r="26" spans="1:14" x14ac:dyDescent="0.35">
      <c r="A26" t="str">
        <f t="shared" si="0"/>
        <v>18097310110_2028</v>
      </c>
      <c r="B26">
        <v>18097310110</v>
      </c>
      <c r="C26">
        <v>2028</v>
      </c>
      <c r="D26">
        <v>0.11314044048140159</v>
      </c>
      <c r="E26">
        <v>4.7531966234767679E-2</v>
      </c>
      <c r="F26">
        <v>4.4234197392864189E-2</v>
      </c>
      <c r="G26">
        <v>-0.56531232977357992</v>
      </c>
      <c r="H26">
        <v>-0.34487940035163361</v>
      </c>
      <c r="I26">
        <v>0.2848487545316965</v>
      </c>
      <c r="J26">
        <v>-0.24635068694053169</v>
      </c>
      <c r="K26">
        <v>-0.17596975050991859</v>
      </c>
      <c r="M26">
        <f t="shared" si="1"/>
        <v>-0.84275680893493388</v>
      </c>
      <c r="N26">
        <f t="shared" si="2"/>
        <v>8</v>
      </c>
    </row>
    <row r="27" spans="1:14" x14ac:dyDescent="0.35">
      <c r="A27" t="str">
        <f t="shared" si="0"/>
        <v>18097310111_2024</v>
      </c>
      <c r="B27">
        <v>18097310111</v>
      </c>
      <c r="C27">
        <v>2024</v>
      </c>
      <c r="D27">
        <v>4.4563190645629788E-2</v>
      </c>
      <c r="E27">
        <v>-0.18468432453306399</v>
      </c>
      <c r="F27">
        <v>0.2601477101191047</v>
      </c>
      <c r="G27">
        <v>-0.4122161640255258</v>
      </c>
      <c r="I27">
        <v>0.30396137976585369</v>
      </c>
      <c r="J27">
        <v>-5.2810481152071737E-2</v>
      </c>
      <c r="K27">
        <v>0.18891788568755041</v>
      </c>
      <c r="M27">
        <f t="shared" si="1"/>
        <v>0.14787919650747708</v>
      </c>
      <c r="N27">
        <f t="shared" si="2"/>
        <v>7</v>
      </c>
    </row>
    <row r="28" spans="1:14" x14ac:dyDescent="0.35">
      <c r="A28" t="str">
        <f t="shared" si="0"/>
        <v>18097310111_2025</v>
      </c>
      <c r="B28">
        <v>18097310111</v>
      </c>
      <c r="C28">
        <v>2025</v>
      </c>
      <c r="D28">
        <v>0.30958367296466682</v>
      </c>
      <c r="E28">
        <v>-0.58358748837743024</v>
      </c>
      <c r="F28">
        <v>-0.16671903450473119</v>
      </c>
      <c r="G28">
        <v>-0.80362225116291586</v>
      </c>
      <c r="I28">
        <v>6.1495100375887048E-2</v>
      </c>
      <c r="J28">
        <v>-0.13214104251989009</v>
      </c>
      <c r="K28">
        <v>8.255296582634114E-2</v>
      </c>
      <c r="M28">
        <f t="shared" si="1"/>
        <v>-1.2324380773980725</v>
      </c>
      <c r="N28">
        <f t="shared" si="2"/>
        <v>7</v>
      </c>
    </row>
    <row r="29" spans="1:14" x14ac:dyDescent="0.35">
      <c r="A29" t="str">
        <f t="shared" si="0"/>
        <v>18097310111_2026</v>
      </c>
      <c r="B29">
        <v>18097310111</v>
      </c>
      <c r="C29">
        <v>2026</v>
      </c>
      <c r="D29">
        <v>2.667043027554011E-2</v>
      </c>
      <c r="E29">
        <v>-0.5710862909395592</v>
      </c>
      <c r="F29">
        <v>-0.1444771176272481</v>
      </c>
      <c r="G29">
        <v>-0.80612066502524438</v>
      </c>
      <c r="I29">
        <v>5.7398061664692239E-2</v>
      </c>
      <c r="J29">
        <v>-0.20311551025111399</v>
      </c>
      <c r="K29">
        <v>-0.1040717249070665</v>
      </c>
      <c r="M29">
        <f t="shared" si="1"/>
        <v>-1.7448028168099998</v>
      </c>
      <c r="N29">
        <f t="shared" si="2"/>
        <v>7</v>
      </c>
    </row>
    <row r="30" spans="1:14" x14ac:dyDescent="0.35">
      <c r="A30" t="str">
        <f t="shared" si="0"/>
        <v>18097310111_2027</v>
      </c>
      <c r="B30">
        <v>18097310111</v>
      </c>
      <c r="C30">
        <v>2027</v>
      </c>
      <c r="D30">
        <v>0.39546050528608939</v>
      </c>
      <c r="E30">
        <v>-0.56398907585242719</v>
      </c>
      <c r="F30">
        <v>-0.15886446640153551</v>
      </c>
      <c r="G30">
        <v>-0.88850446468914657</v>
      </c>
      <c r="I30">
        <v>0.11750987465590459</v>
      </c>
      <c r="J30">
        <v>-0.23324674296906611</v>
      </c>
      <c r="K30">
        <v>-0.1307384344620085</v>
      </c>
      <c r="M30">
        <f t="shared" si="1"/>
        <v>-1.46237280443219</v>
      </c>
      <c r="N30">
        <f t="shared" si="2"/>
        <v>7</v>
      </c>
    </row>
    <row r="31" spans="1:14" x14ac:dyDescent="0.35">
      <c r="A31" t="str">
        <f t="shared" si="0"/>
        <v>18097310111_2028</v>
      </c>
      <c r="B31">
        <v>18097310111</v>
      </c>
      <c r="C31">
        <v>2028</v>
      </c>
      <c r="D31">
        <v>0.11314045275660591</v>
      </c>
      <c r="E31">
        <v>-0.44145955723923958</v>
      </c>
      <c r="F31">
        <v>-0.1230341846472498</v>
      </c>
      <c r="G31">
        <v>-0.84541779274653561</v>
      </c>
      <c r="I31">
        <v>0.1565490778239689</v>
      </c>
      <c r="J31">
        <v>-0.24635068694053169</v>
      </c>
      <c r="K31">
        <v>-0.17596975050991859</v>
      </c>
      <c r="M31">
        <f t="shared" si="1"/>
        <v>-1.5625424415029006</v>
      </c>
      <c r="N31">
        <f t="shared" si="2"/>
        <v>7</v>
      </c>
    </row>
    <row r="32" spans="1:14" x14ac:dyDescent="0.35">
      <c r="A32" t="str">
        <f t="shared" si="0"/>
        <v>18097310112_2024</v>
      </c>
      <c r="B32">
        <v>18097310112</v>
      </c>
      <c r="C32">
        <v>2024</v>
      </c>
      <c r="D32">
        <v>0.50608456316203887</v>
      </c>
      <c r="E32">
        <v>4.4689875088711327E-2</v>
      </c>
      <c r="F32">
        <v>-1.675243522829108</v>
      </c>
      <c r="G32">
        <v>4.9661373315256052E-2</v>
      </c>
      <c r="I32">
        <v>-3.5466914809870832E-2</v>
      </c>
      <c r="J32">
        <v>-1.314543731046125</v>
      </c>
      <c r="M32">
        <f t="shared" si="1"/>
        <v>-2.4248183571190975</v>
      </c>
      <c r="N32">
        <f t="shared" si="2"/>
        <v>6</v>
      </c>
    </row>
    <row r="33" spans="1:14" x14ac:dyDescent="0.35">
      <c r="A33" t="str">
        <f t="shared" si="0"/>
        <v>18097310112_2025</v>
      </c>
      <c r="B33">
        <v>18097310112</v>
      </c>
      <c r="C33">
        <v>2025</v>
      </c>
      <c r="D33">
        <v>2.7546968406084522</v>
      </c>
      <c r="E33">
        <v>-7.994539659314813E-2</v>
      </c>
      <c r="F33">
        <v>-1.222443094614845</v>
      </c>
      <c r="G33">
        <v>-1.1199374790525081</v>
      </c>
      <c r="I33">
        <v>3.6741512331323008E-2</v>
      </c>
      <c r="J33">
        <v>-1.413059422835155</v>
      </c>
      <c r="M33">
        <f t="shared" si="1"/>
        <v>-1.0439470401558808</v>
      </c>
      <c r="N33">
        <f t="shared" si="2"/>
        <v>6</v>
      </c>
    </row>
    <row r="34" spans="1:14" x14ac:dyDescent="0.35">
      <c r="A34" t="str">
        <f t="shared" si="0"/>
        <v>18097310112_2026</v>
      </c>
      <c r="B34">
        <v>18097310112</v>
      </c>
      <c r="C34">
        <v>2026</v>
      </c>
      <c r="D34">
        <v>1.908471699090079</v>
      </c>
      <c r="E34">
        <v>-4.9666592296935801E-3</v>
      </c>
      <c r="F34">
        <v>-1.2991421363875579</v>
      </c>
      <c r="G34">
        <v>0.24886261812884861</v>
      </c>
      <c r="I34">
        <v>6.6714625568141811E-2</v>
      </c>
      <c r="J34">
        <v>-1.417065073299143</v>
      </c>
      <c r="M34">
        <f t="shared" si="1"/>
        <v>-0.49712492612932513</v>
      </c>
      <c r="N34">
        <f t="shared" si="2"/>
        <v>6</v>
      </c>
    </row>
    <row r="35" spans="1:14" x14ac:dyDescent="0.35">
      <c r="A35" t="str">
        <f t="shared" si="0"/>
        <v>18097310112_2027</v>
      </c>
      <c r="B35">
        <v>18097310112</v>
      </c>
      <c r="C35">
        <v>2027</v>
      </c>
      <c r="D35">
        <v>2.7043859714148608</v>
      </c>
      <c r="E35">
        <v>7.5498732107111997E-3</v>
      </c>
      <c r="F35">
        <v>-1.4874263976729529</v>
      </c>
      <c r="G35">
        <v>-1.241624840192227</v>
      </c>
      <c r="I35">
        <v>0.1274126692834012</v>
      </c>
      <c r="J35">
        <v>-1.4135820336287379</v>
      </c>
      <c r="M35">
        <f t="shared" si="1"/>
        <v>-1.3032847575849444</v>
      </c>
      <c r="N35">
        <f t="shared" si="2"/>
        <v>6</v>
      </c>
    </row>
    <row r="36" spans="1:14" x14ac:dyDescent="0.35">
      <c r="A36" t="str">
        <f t="shared" si="0"/>
        <v>18097310112_2028</v>
      </c>
      <c r="B36">
        <v>18097310112</v>
      </c>
      <c r="C36">
        <v>2028</v>
      </c>
      <c r="D36">
        <v>2.637319261459818</v>
      </c>
      <c r="E36">
        <v>9.0169356552764784E-2</v>
      </c>
      <c r="F36">
        <v>-1.5761459964305999</v>
      </c>
      <c r="G36">
        <v>0.27592290108222822</v>
      </c>
      <c r="I36">
        <v>0.16425432577035279</v>
      </c>
      <c r="J36">
        <v>-1.411075723039616</v>
      </c>
      <c r="M36">
        <f t="shared" si="1"/>
        <v>0.18044412539494759</v>
      </c>
      <c r="N36">
        <f t="shared" si="2"/>
        <v>6</v>
      </c>
    </row>
    <row r="37" spans="1:14" x14ac:dyDescent="0.35">
      <c r="A37" t="str">
        <f t="shared" si="0"/>
        <v>18097310113_2024</v>
      </c>
      <c r="B37">
        <v>18097310113</v>
      </c>
      <c r="C37">
        <v>2024</v>
      </c>
      <c r="D37">
        <v>0.5054771403799232</v>
      </c>
      <c r="E37">
        <v>0.15050380295871491</v>
      </c>
      <c r="I37">
        <v>1.267342463788838</v>
      </c>
      <c r="J37">
        <v>-1.3142781372542549</v>
      </c>
      <c r="K37">
        <v>0.42504894008822908</v>
      </c>
      <c r="M37">
        <f t="shared" si="1"/>
        <v>1.0340942099614503</v>
      </c>
      <c r="N37">
        <f t="shared" si="2"/>
        <v>5</v>
      </c>
    </row>
    <row r="38" spans="1:14" x14ac:dyDescent="0.35">
      <c r="A38" t="str">
        <f t="shared" si="0"/>
        <v>18097310113_2025</v>
      </c>
      <c r="B38">
        <v>18097310113</v>
      </c>
      <c r="C38">
        <v>2025</v>
      </c>
      <c r="D38">
        <v>2.7542158851640131</v>
      </c>
      <c r="E38">
        <v>0.31082205993490508</v>
      </c>
      <c r="I38">
        <v>-0.10245239409577681</v>
      </c>
      <c r="J38">
        <v>-1.412752876844154</v>
      </c>
      <c r="K38">
        <v>-0.53446323279720731</v>
      </c>
      <c r="M38">
        <f t="shared" si="1"/>
        <v>1.0153694413617798</v>
      </c>
      <c r="N38">
        <f t="shared" si="2"/>
        <v>5</v>
      </c>
    </row>
    <row r="39" spans="1:14" x14ac:dyDescent="0.35">
      <c r="A39" t="str">
        <f t="shared" si="0"/>
        <v>18097310113_2026</v>
      </c>
      <c r="B39">
        <v>18097310113</v>
      </c>
      <c r="C39">
        <v>2026</v>
      </c>
      <c r="D39">
        <v>1.907782252189578</v>
      </c>
      <c r="E39">
        <v>0.23285361805416971</v>
      </c>
      <c r="I39">
        <v>0.60092712607218812</v>
      </c>
      <c r="J39">
        <v>-1.416770814732822</v>
      </c>
      <c r="K39">
        <v>0.36863358501888221</v>
      </c>
      <c r="M39">
        <f t="shared" si="1"/>
        <v>1.6934257666019963</v>
      </c>
      <c r="N39">
        <f t="shared" si="2"/>
        <v>5</v>
      </c>
    </row>
    <row r="40" spans="1:14" x14ac:dyDescent="0.35">
      <c r="A40" t="str">
        <f t="shared" si="0"/>
        <v>18097310113_2027</v>
      </c>
      <c r="B40">
        <v>18097310113</v>
      </c>
      <c r="C40">
        <v>2027</v>
      </c>
      <c r="D40">
        <v>2.7037462105898631</v>
      </c>
      <c r="E40">
        <v>0.35630297622785068</v>
      </c>
      <c r="I40">
        <v>0.32016079720115542</v>
      </c>
      <c r="J40">
        <v>-1.413297619939899</v>
      </c>
      <c r="K40">
        <v>-0.26873790878386161</v>
      </c>
      <c r="M40">
        <f t="shared" si="1"/>
        <v>1.6981744552951081</v>
      </c>
      <c r="N40">
        <f t="shared" si="2"/>
        <v>5</v>
      </c>
    </row>
    <row r="41" spans="1:14" x14ac:dyDescent="0.35">
      <c r="A41" t="str">
        <f t="shared" si="0"/>
        <v>18097310113_2028</v>
      </c>
      <c r="B41">
        <v>18097310113</v>
      </c>
      <c r="C41">
        <v>2028</v>
      </c>
      <c r="D41">
        <v>2.6365400543691182</v>
      </c>
      <c r="E41">
        <v>0.31470781356469052</v>
      </c>
      <c r="I41">
        <v>0.38110231922180271</v>
      </c>
      <c r="J41">
        <v>-1.410796291350868</v>
      </c>
      <c r="K41">
        <v>0.19016458471589109</v>
      </c>
      <c r="M41">
        <f t="shared" si="1"/>
        <v>2.1117184805206346</v>
      </c>
      <c r="N41">
        <f t="shared" si="2"/>
        <v>5</v>
      </c>
    </row>
    <row r="42" spans="1:14" x14ac:dyDescent="0.35">
      <c r="A42" t="str">
        <f t="shared" si="0"/>
        <v>18097310201_2024</v>
      </c>
      <c r="B42">
        <v>18097310201</v>
      </c>
      <c r="C42">
        <v>2024</v>
      </c>
      <c r="D42">
        <v>0.73334357213838919</v>
      </c>
      <c r="E42">
        <v>-0.35418812315344628</v>
      </c>
      <c r="F42">
        <v>-0.40283194764975538</v>
      </c>
      <c r="G42">
        <v>-0.32257808021427448</v>
      </c>
      <c r="H42">
        <v>0.42525031358515247</v>
      </c>
      <c r="I42">
        <v>-3.9721516924235069E-2</v>
      </c>
      <c r="J42">
        <v>-0.30227617511650801</v>
      </c>
      <c r="K42">
        <v>0.17088213730755539</v>
      </c>
      <c r="M42">
        <f t="shared" si="1"/>
        <v>-9.2119820027122185E-2</v>
      </c>
      <c r="N42">
        <f t="shared" si="2"/>
        <v>8</v>
      </c>
    </row>
    <row r="43" spans="1:14" x14ac:dyDescent="0.35">
      <c r="A43" t="str">
        <f t="shared" si="0"/>
        <v>18097310201_2025</v>
      </c>
      <c r="B43">
        <v>18097310201</v>
      </c>
      <c r="C43">
        <v>2025</v>
      </c>
      <c r="D43">
        <v>1.889246320200981</v>
      </c>
      <c r="E43">
        <v>-0.4508379103602681</v>
      </c>
      <c r="F43">
        <v>-0.1664852646724102</v>
      </c>
      <c r="G43">
        <v>-0.53240188499043073</v>
      </c>
      <c r="H43">
        <v>1.3917198499045009</v>
      </c>
      <c r="I43">
        <v>-6.0580384212948271E-2</v>
      </c>
      <c r="J43">
        <v>-0.3893972248338412</v>
      </c>
      <c r="K43">
        <v>-5.5117098868447317E-2</v>
      </c>
      <c r="M43">
        <f t="shared" si="1"/>
        <v>1.6261464021671359</v>
      </c>
      <c r="N43">
        <f t="shared" si="2"/>
        <v>8</v>
      </c>
    </row>
    <row r="44" spans="1:14" x14ac:dyDescent="0.35">
      <c r="A44" t="str">
        <f t="shared" si="0"/>
        <v>18097310201_2026</v>
      </c>
      <c r="B44">
        <v>18097310201</v>
      </c>
      <c r="C44">
        <v>2026</v>
      </c>
      <c r="D44">
        <v>1.271939772419336</v>
      </c>
      <c r="E44">
        <v>-0.76682658135588266</v>
      </c>
      <c r="F44">
        <v>-0.19582520032164361</v>
      </c>
      <c r="G44">
        <v>-0.58723084813389392</v>
      </c>
      <c r="H44">
        <v>1.125029716809459</v>
      </c>
      <c r="I44">
        <v>-2.2965433344187838E-2</v>
      </c>
      <c r="J44">
        <v>-0.45516976893515171</v>
      </c>
      <c r="K44">
        <v>-7.0732063066128864E-2</v>
      </c>
      <c r="M44">
        <f t="shared" si="1"/>
        <v>0.29821959407190624</v>
      </c>
      <c r="N44">
        <f t="shared" si="2"/>
        <v>8</v>
      </c>
    </row>
    <row r="45" spans="1:14" x14ac:dyDescent="0.35">
      <c r="A45" t="str">
        <f t="shared" si="0"/>
        <v>18097310201_2027</v>
      </c>
      <c r="B45">
        <v>18097310201</v>
      </c>
      <c r="C45">
        <v>2027</v>
      </c>
      <c r="D45">
        <v>1.9937162788572531</v>
      </c>
      <c r="E45">
        <v>-0.4635987296299755</v>
      </c>
      <c r="F45">
        <v>-0.22641127398963559</v>
      </c>
      <c r="G45">
        <v>-0.62651934776563345</v>
      </c>
      <c r="H45">
        <v>0.73045788187733085</v>
      </c>
      <c r="I45">
        <v>5.3855118545990857E-2</v>
      </c>
      <c r="J45">
        <v>-0.48144777445684889</v>
      </c>
      <c r="K45">
        <v>-6.4489863545660359E-2</v>
      </c>
      <c r="M45">
        <f t="shared" si="1"/>
        <v>0.91556228989282107</v>
      </c>
      <c r="N45">
        <f t="shared" si="2"/>
        <v>8</v>
      </c>
    </row>
    <row r="46" spans="1:14" x14ac:dyDescent="0.35">
      <c r="A46" t="str">
        <f t="shared" si="0"/>
        <v>18097310201_2028</v>
      </c>
      <c r="B46">
        <v>18097310201</v>
      </c>
      <c r="C46">
        <v>2028</v>
      </c>
      <c r="D46">
        <v>1.8051259571195</v>
      </c>
      <c r="E46">
        <v>-0.57682246347090416</v>
      </c>
      <c r="F46">
        <v>-0.1982705479243401</v>
      </c>
      <c r="G46">
        <v>-0.60464890592479659</v>
      </c>
      <c r="H46">
        <v>0.38313661348346739</v>
      </c>
      <c r="I46">
        <v>0.1078425821167642</v>
      </c>
      <c r="J46">
        <v>-0.49218906471145002</v>
      </c>
      <c r="K46">
        <v>-4.8359156632349361E-2</v>
      </c>
      <c r="M46">
        <f t="shared" si="1"/>
        <v>0.37581501405589129</v>
      </c>
      <c r="N46">
        <f t="shared" si="2"/>
        <v>8</v>
      </c>
    </row>
    <row r="47" spans="1:14" x14ac:dyDescent="0.35">
      <c r="A47" t="str">
        <f t="shared" si="0"/>
        <v>18097310203_2024</v>
      </c>
      <c r="B47">
        <v>18097310203</v>
      </c>
      <c r="C47">
        <v>2024</v>
      </c>
      <c r="D47">
        <v>0.58510363609723348</v>
      </c>
      <c r="E47">
        <v>-0.21542721552702471</v>
      </c>
      <c r="F47">
        <v>-3.1495392784733789E-2</v>
      </c>
      <c r="G47">
        <v>9.9932287273091207E-3</v>
      </c>
      <c r="H47">
        <v>5.7417847110257398E-3</v>
      </c>
      <c r="I47">
        <v>-0.51725418388208888</v>
      </c>
      <c r="J47">
        <v>-0.80191413983933235</v>
      </c>
      <c r="K47">
        <v>0.17088213730755539</v>
      </c>
      <c r="M47">
        <f t="shared" si="1"/>
        <v>-0.79437014519005589</v>
      </c>
      <c r="N47">
        <f t="shared" si="2"/>
        <v>8</v>
      </c>
    </row>
    <row r="48" spans="1:14" x14ac:dyDescent="0.35">
      <c r="A48" t="str">
        <f t="shared" si="0"/>
        <v>18097310203_2025</v>
      </c>
      <c r="B48">
        <v>18097310203</v>
      </c>
      <c r="C48">
        <v>2025</v>
      </c>
      <c r="D48">
        <v>2.1538403506345429</v>
      </c>
      <c r="E48">
        <v>-0.57287709359844896</v>
      </c>
      <c r="F48">
        <v>3.9638273778376018E-2</v>
      </c>
      <c r="G48">
        <v>0.23130530500157759</v>
      </c>
      <c r="H48">
        <v>-0.62742864141653387</v>
      </c>
      <c r="I48">
        <v>-0.42999841211436562</v>
      </c>
      <c r="J48">
        <v>-0.86505280562397224</v>
      </c>
      <c r="K48">
        <v>-5.5117098868447317E-2</v>
      </c>
      <c r="M48">
        <f t="shared" si="1"/>
        <v>-0.12569012220727141</v>
      </c>
      <c r="N48">
        <f t="shared" si="2"/>
        <v>8</v>
      </c>
    </row>
    <row r="49" spans="1:14" x14ac:dyDescent="0.35">
      <c r="A49" t="str">
        <f t="shared" si="0"/>
        <v>18097310203_2026</v>
      </c>
      <c r="B49">
        <v>18097310203</v>
      </c>
      <c r="C49">
        <v>2026</v>
      </c>
      <c r="D49">
        <v>1.3777787541398481</v>
      </c>
      <c r="E49">
        <v>-0.54378192283424431</v>
      </c>
      <c r="F49">
        <v>7.6581910126358857E-2</v>
      </c>
      <c r="G49">
        <v>0.1778837495485272</v>
      </c>
      <c r="H49">
        <v>-0.52088372202541577</v>
      </c>
      <c r="I49">
        <v>-0.44425013996796942</v>
      </c>
      <c r="J49">
        <v>-0.8974530386032511</v>
      </c>
      <c r="K49">
        <v>-7.0732063066128864E-2</v>
      </c>
      <c r="M49">
        <f t="shared" si="1"/>
        <v>-0.84485647268227526</v>
      </c>
      <c r="N49">
        <f t="shared" si="2"/>
        <v>8</v>
      </c>
    </row>
    <row r="50" spans="1:14" x14ac:dyDescent="0.35">
      <c r="A50" t="str">
        <f t="shared" si="0"/>
        <v>18097310203_2027</v>
      </c>
      <c r="B50">
        <v>18097310203</v>
      </c>
      <c r="C50">
        <v>2027</v>
      </c>
      <c r="D50">
        <v>2.1593406263439801</v>
      </c>
      <c r="E50">
        <v>-0.53246430340864648</v>
      </c>
      <c r="F50">
        <v>9.9984087589111315E-2</v>
      </c>
      <c r="G50">
        <v>0.25606850157926658</v>
      </c>
      <c r="H50">
        <v>-0.60114101234290407</v>
      </c>
      <c r="I50">
        <v>-0.28973205799793128</v>
      </c>
      <c r="J50">
        <v>-0.91065113846686963</v>
      </c>
      <c r="K50">
        <v>-6.4489863545660359E-2</v>
      </c>
      <c r="M50">
        <f t="shared" si="1"/>
        <v>0.11691483975034608</v>
      </c>
      <c r="N50">
        <f t="shared" si="2"/>
        <v>8</v>
      </c>
    </row>
    <row r="51" spans="1:14" x14ac:dyDescent="0.35">
      <c r="A51" t="str">
        <f t="shared" si="0"/>
        <v>18097310203_2028</v>
      </c>
      <c r="B51">
        <v>18097310203</v>
      </c>
      <c r="C51">
        <v>2028</v>
      </c>
      <c r="D51">
        <v>1.9849952964998669</v>
      </c>
      <c r="E51">
        <v>-0.41056760560674399</v>
      </c>
      <c r="F51">
        <v>0.16324296479310579</v>
      </c>
      <c r="G51">
        <v>0.2175005518207363</v>
      </c>
      <c r="H51">
        <v>-0.55072809574505088</v>
      </c>
      <c r="I51">
        <v>-0.1701239533142069</v>
      </c>
      <c r="J51">
        <v>-0.91591926847271399</v>
      </c>
      <c r="K51">
        <v>-4.8359156632349361E-2</v>
      </c>
      <c r="M51">
        <f t="shared" si="1"/>
        <v>0.27004073334264378</v>
      </c>
      <c r="N51">
        <f t="shared" si="2"/>
        <v>8</v>
      </c>
    </row>
    <row r="52" spans="1:14" x14ac:dyDescent="0.35">
      <c r="A52" t="str">
        <f t="shared" si="0"/>
        <v>18097310204_2024</v>
      </c>
      <c r="B52">
        <v>18097310204</v>
      </c>
      <c r="C52">
        <v>2024</v>
      </c>
      <c r="D52">
        <v>0.71206240192040415</v>
      </c>
      <c r="E52">
        <v>0.22400514663771079</v>
      </c>
      <c r="F52">
        <v>-0.43038193932152452</v>
      </c>
      <c r="G52">
        <v>-0.1951919821416622</v>
      </c>
      <c r="H52">
        <v>-0.36774933089787498</v>
      </c>
      <c r="I52">
        <v>-7.3890606225535907E-2</v>
      </c>
      <c r="J52">
        <v>-0.33293387575807909</v>
      </c>
      <c r="K52">
        <v>0.15178513208339001</v>
      </c>
      <c r="M52">
        <f t="shared" si="1"/>
        <v>-0.31229505370317173</v>
      </c>
      <c r="N52">
        <f t="shared" si="2"/>
        <v>8</v>
      </c>
    </row>
    <row r="53" spans="1:14" x14ac:dyDescent="0.35">
      <c r="A53" t="str">
        <f t="shared" si="0"/>
        <v>18097310204_2025</v>
      </c>
      <c r="B53">
        <v>18097310204</v>
      </c>
      <c r="C53">
        <v>2025</v>
      </c>
      <c r="D53">
        <v>1.8830809851288819</v>
      </c>
      <c r="E53">
        <v>-9.8135781375564363E-2</v>
      </c>
      <c r="F53">
        <v>-0.23893027626256899</v>
      </c>
      <c r="G53">
        <v>0.152063864193732</v>
      </c>
      <c r="H53">
        <v>-5.1860675166937389E-2</v>
      </c>
      <c r="I53">
        <v>-0.2738160464849862</v>
      </c>
      <c r="J53">
        <v>-0.41608370331167699</v>
      </c>
      <c r="K53">
        <v>7.7765723609047363E-2</v>
      </c>
      <c r="M53">
        <f t="shared" si="1"/>
        <v>1.0340840903299273</v>
      </c>
      <c r="N53">
        <f t="shared" si="2"/>
        <v>8</v>
      </c>
    </row>
    <row r="54" spans="1:14" x14ac:dyDescent="0.35">
      <c r="A54" t="str">
        <f t="shared" si="0"/>
        <v>18097310204_2026</v>
      </c>
      <c r="B54">
        <v>18097310204</v>
      </c>
      <c r="C54">
        <v>2026</v>
      </c>
      <c r="D54">
        <v>1.2523297542012539</v>
      </c>
      <c r="E54">
        <v>0.24976065919363641</v>
      </c>
      <c r="F54">
        <v>0.1090714877858756</v>
      </c>
      <c r="G54">
        <v>4.0780829705289179E-2</v>
      </c>
      <c r="H54">
        <v>-1.0166234604525679</v>
      </c>
      <c r="I54">
        <v>-0.192840487390533</v>
      </c>
      <c r="J54">
        <v>-0.4797673150507818</v>
      </c>
      <c r="K54">
        <v>-2.2014994454720039E-2</v>
      </c>
      <c r="M54">
        <f t="shared" si="1"/>
        <v>-5.9303526462547704E-2</v>
      </c>
      <c r="N54">
        <f t="shared" si="2"/>
        <v>8</v>
      </c>
    </row>
    <row r="55" spans="1:14" x14ac:dyDescent="0.35">
      <c r="A55" t="str">
        <f t="shared" si="0"/>
        <v>18097310204_2027</v>
      </c>
      <c r="B55">
        <v>18097310204</v>
      </c>
      <c r="C55">
        <v>2027</v>
      </c>
      <c r="D55">
        <v>1.9787620738315379</v>
      </c>
      <c r="E55">
        <v>4.5611821863912258E-2</v>
      </c>
      <c r="F55">
        <v>-6.6529776358199094E-2</v>
      </c>
      <c r="G55">
        <v>0.1057320818973309</v>
      </c>
      <c r="H55">
        <v>-0.5071871531462413</v>
      </c>
      <c r="I55">
        <v>-9.399540948648416E-2</v>
      </c>
      <c r="J55">
        <v>-0.505381811403117</v>
      </c>
      <c r="K55">
        <v>1.51201763949575E-2</v>
      </c>
      <c r="M55">
        <f t="shared" si="1"/>
        <v>0.97213200359369689</v>
      </c>
      <c r="N55">
        <f t="shared" si="2"/>
        <v>8</v>
      </c>
    </row>
    <row r="56" spans="1:14" x14ac:dyDescent="0.35">
      <c r="A56" t="str">
        <f t="shared" si="0"/>
        <v>18097310204_2028</v>
      </c>
      <c r="B56">
        <v>18097310204</v>
      </c>
      <c r="C56">
        <v>2028</v>
      </c>
      <c r="D56">
        <v>1.7857266078641909</v>
      </c>
      <c r="E56">
        <v>0.2683205104275726</v>
      </c>
      <c r="F56">
        <v>7.8462007269420569E-2</v>
      </c>
      <c r="G56">
        <v>7.6669104397150828E-2</v>
      </c>
      <c r="H56">
        <v>-0.66871476569897947</v>
      </c>
      <c r="I56">
        <v>-7.0815728087367203E-3</v>
      </c>
      <c r="J56">
        <v>-0.51584990179731827</v>
      </c>
      <c r="K56">
        <v>1.713959561435931E-2</v>
      </c>
      <c r="M56">
        <f t="shared" si="1"/>
        <v>1.03467158526766</v>
      </c>
      <c r="N56">
        <f t="shared" si="2"/>
        <v>8</v>
      </c>
    </row>
    <row r="57" spans="1:14" x14ac:dyDescent="0.35">
      <c r="A57" t="str">
        <f t="shared" si="0"/>
        <v>18097310305_2024</v>
      </c>
      <c r="B57">
        <v>18097310305</v>
      </c>
      <c r="C57">
        <v>2024</v>
      </c>
      <c r="D57">
        <v>4.4561695511336277E-2</v>
      </c>
      <c r="E57">
        <v>0.34875300784246871</v>
      </c>
      <c r="F57">
        <v>0.95098777264375278</v>
      </c>
      <c r="G57">
        <v>-0.46326176280333631</v>
      </c>
      <c r="H57">
        <v>0.26930912595083939</v>
      </c>
      <c r="I57">
        <v>-1.8969107017495861</v>
      </c>
      <c r="J57">
        <v>-5.2810481152079508E-2</v>
      </c>
      <c r="K57">
        <v>0.18891788568755041</v>
      </c>
      <c r="M57">
        <f t="shared" si="1"/>
        <v>-0.61045345806905438</v>
      </c>
      <c r="N57">
        <f t="shared" si="2"/>
        <v>8</v>
      </c>
    </row>
    <row r="58" spans="1:14" x14ac:dyDescent="0.35">
      <c r="A58" t="str">
        <f t="shared" si="0"/>
        <v>18097310305_2025</v>
      </c>
      <c r="B58">
        <v>18097310305</v>
      </c>
      <c r="C58">
        <v>2025</v>
      </c>
      <c r="D58">
        <v>0.30958643885647907</v>
      </c>
      <c r="E58">
        <v>-0.78978822876579968</v>
      </c>
      <c r="F58">
        <v>7.196710291812744E-2</v>
      </c>
      <c r="G58">
        <v>-0.16726230609302961</v>
      </c>
      <c r="H58">
        <v>0.68974841711395996</v>
      </c>
      <c r="I58">
        <v>-2.1158001090388332</v>
      </c>
      <c r="J58">
        <v>-0.13214104251989009</v>
      </c>
      <c r="K58">
        <v>8.255296582634114E-2</v>
      </c>
      <c r="M58">
        <f t="shared" si="1"/>
        <v>-2.051136761702645</v>
      </c>
      <c r="N58">
        <f t="shared" si="2"/>
        <v>8</v>
      </c>
    </row>
    <row r="59" spans="1:14" x14ac:dyDescent="0.35">
      <c r="A59" t="str">
        <f t="shared" si="0"/>
        <v>18097310305_2026</v>
      </c>
      <c r="B59">
        <v>18097310305</v>
      </c>
      <c r="C59">
        <v>2026</v>
      </c>
      <c r="D59">
        <v>2.6669082739144302E-2</v>
      </c>
      <c r="E59">
        <v>6.4461182393176164E-2</v>
      </c>
      <c r="F59">
        <v>5.1447027781075377E-2</v>
      </c>
      <c r="G59">
        <v>-0.60741427407321646</v>
      </c>
      <c r="H59">
        <v>0.67792813372775451</v>
      </c>
      <c r="I59">
        <v>-2.2063019710731329</v>
      </c>
      <c r="J59">
        <v>-0.20311551025111399</v>
      </c>
      <c r="K59">
        <v>-0.1040717249070665</v>
      </c>
      <c r="M59">
        <f t="shared" si="1"/>
        <v>-2.3003980536633799</v>
      </c>
      <c r="N59">
        <f t="shared" si="2"/>
        <v>8</v>
      </c>
    </row>
    <row r="60" spans="1:14" x14ac:dyDescent="0.35">
      <c r="A60" t="str">
        <f t="shared" si="0"/>
        <v>18097310305_2027</v>
      </c>
      <c r="B60">
        <v>18097310305</v>
      </c>
      <c r="C60">
        <v>2027</v>
      </c>
      <c r="D60">
        <v>0.39546217969481823</v>
      </c>
      <c r="E60">
        <v>-0.44273530642475462</v>
      </c>
      <c r="F60">
        <v>5.0773488740956163E-2</v>
      </c>
      <c r="G60">
        <v>-0.43327599752678569</v>
      </c>
      <c r="H60">
        <v>0.51936546889239166</v>
      </c>
      <c r="I60">
        <v>-2.0456092203981919</v>
      </c>
      <c r="J60">
        <v>-0.23324674296906611</v>
      </c>
      <c r="K60">
        <v>-0.1307384344620085</v>
      </c>
      <c r="M60">
        <f t="shared" si="1"/>
        <v>-2.320004564452641</v>
      </c>
      <c r="N60">
        <f t="shared" si="2"/>
        <v>8</v>
      </c>
    </row>
    <row r="61" spans="1:14" x14ac:dyDescent="0.35">
      <c r="A61" t="str">
        <f t="shared" si="0"/>
        <v>18097310305_2028</v>
      </c>
      <c r="B61">
        <v>18097310305</v>
      </c>
      <c r="C61">
        <v>2028</v>
      </c>
      <c r="D61">
        <v>0.1131404925335993</v>
      </c>
      <c r="E61">
        <v>-2.6929612936084701E-2</v>
      </c>
      <c r="F61">
        <v>0.1024222748567704</v>
      </c>
      <c r="G61">
        <v>-0.52503573076959231</v>
      </c>
      <c r="H61">
        <v>0.37152209008533432</v>
      </c>
      <c r="I61">
        <v>-1.896556193260702</v>
      </c>
      <c r="J61">
        <v>-0.24635068694053169</v>
      </c>
      <c r="K61">
        <v>-0.17596975050991859</v>
      </c>
      <c r="M61">
        <f t="shared" si="1"/>
        <v>-2.2837571169411253</v>
      </c>
      <c r="N61">
        <f t="shared" si="2"/>
        <v>8</v>
      </c>
    </row>
    <row r="62" spans="1:14" x14ac:dyDescent="0.35">
      <c r="A62" t="str">
        <f t="shared" si="0"/>
        <v>18097310306_2024</v>
      </c>
      <c r="B62">
        <v>18097310306</v>
      </c>
      <c r="C62">
        <v>2024</v>
      </c>
      <c r="D62">
        <v>4.4562269556911727E-2</v>
      </c>
      <c r="E62">
        <v>0.38934017950508232</v>
      </c>
      <c r="F62">
        <v>0.97585217490824483</v>
      </c>
      <c r="G62">
        <v>0.27597874374243941</v>
      </c>
      <c r="H62">
        <v>0.41511816680621277</v>
      </c>
      <c r="I62">
        <v>-1.652829012939067</v>
      </c>
      <c r="J62">
        <v>-5.2810481152071737E-2</v>
      </c>
      <c r="K62">
        <v>0.18891788568755041</v>
      </c>
      <c r="M62">
        <f t="shared" si="1"/>
        <v>0.58412992611530301</v>
      </c>
      <c r="N62">
        <f t="shared" si="2"/>
        <v>8</v>
      </c>
    </row>
    <row r="63" spans="1:14" x14ac:dyDescent="0.35">
      <c r="A63" t="str">
        <f t="shared" si="0"/>
        <v>18097310306_2025</v>
      </c>
      <c r="B63">
        <v>18097310306</v>
      </c>
      <c r="C63">
        <v>2025</v>
      </c>
      <c r="D63">
        <v>0.30958538130875429</v>
      </c>
      <c r="E63">
        <v>0.51707146174611751</v>
      </c>
      <c r="F63">
        <v>-2.1124562837277198E-2</v>
      </c>
      <c r="G63">
        <v>0.40014957405702561</v>
      </c>
      <c r="H63">
        <v>1.5580676085294161</v>
      </c>
      <c r="I63">
        <v>-1.0071045837610431</v>
      </c>
      <c r="J63">
        <v>-0.13214104251989009</v>
      </c>
      <c r="K63">
        <v>8.255296582634114E-2</v>
      </c>
      <c r="M63">
        <f t="shared" si="1"/>
        <v>1.7070568023494441</v>
      </c>
      <c r="N63">
        <f t="shared" si="2"/>
        <v>8</v>
      </c>
    </row>
    <row r="64" spans="1:14" x14ac:dyDescent="0.35">
      <c r="A64" t="str">
        <f t="shared" si="0"/>
        <v>18097310306_2026</v>
      </c>
      <c r="B64">
        <v>18097310306</v>
      </c>
      <c r="C64">
        <v>2026</v>
      </c>
      <c r="D64">
        <v>2.666960094010663E-2</v>
      </c>
      <c r="E64">
        <v>0.60375870969179501</v>
      </c>
      <c r="F64">
        <v>-0.12085236402047091</v>
      </c>
      <c r="G64">
        <v>0.42553432214048509</v>
      </c>
      <c r="H64">
        <v>1.839264307407072</v>
      </c>
      <c r="I64">
        <v>-1.3827128328825831</v>
      </c>
      <c r="J64">
        <v>-0.20311551025111399</v>
      </c>
      <c r="K64">
        <v>-0.1040717249070665</v>
      </c>
      <c r="M64">
        <f t="shared" si="1"/>
        <v>1.0844745081182245</v>
      </c>
      <c r="N64">
        <f t="shared" si="2"/>
        <v>8</v>
      </c>
    </row>
    <row r="65" spans="1:14" x14ac:dyDescent="0.35">
      <c r="A65" t="str">
        <f t="shared" si="0"/>
        <v>18097310306_2027</v>
      </c>
      <c r="B65">
        <v>18097310306</v>
      </c>
      <c r="C65">
        <v>2027</v>
      </c>
      <c r="D65">
        <v>0.39546154060525462</v>
      </c>
      <c r="E65">
        <v>0.5772270094462012</v>
      </c>
      <c r="F65">
        <v>-0.2023348463096252</v>
      </c>
      <c r="G65">
        <v>0.52750034137022583</v>
      </c>
      <c r="H65">
        <v>2.291011113942119</v>
      </c>
      <c r="I65">
        <v>-1.0888389264284939</v>
      </c>
      <c r="J65">
        <v>-0.23324674296906611</v>
      </c>
      <c r="K65">
        <v>-0.1307384344620085</v>
      </c>
      <c r="M65">
        <f t="shared" si="1"/>
        <v>2.1360410551946067</v>
      </c>
      <c r="N65">
        <f t="shared" si="2"/>
        <v>8</v>
      </c>
    </row>
    <row r="66" spans="1:14" x14ac:dyDescent="0.35">
      <c r="A66" t="str">
        <f t="shared" si="0"/>
        <v>18097310306_2028</v>
      </c>
      <c r="B66">
        <v>18097310306</v>
      </c>
      <c r="C66">
        <v>2028</v>
      </c>
      <c r="D66">
        <v>0.1131404797772943</v>
      </c>
      <c r="E66">
        <v>0.58442481202190089</v>
      </c>
      <c r="F66">
        <v>-0.20914205172722999</v>
      </c>
      <c r="G66">
        <v>0.4724244292395951</v>
      </c>
      <c r="H66">
        <v>3.0929887365066229</v>
      </c>
      <c r="I66">
        <v>-0.90398292333032437</v>
      </c>
      <c r="J66">
        <v>-0.24635068694053169</v>
      </c>
      <c r="K66">
        <v>-0.17596975050991859</v>
      </c>
      <c r="M66">
        <f t="shared" si="1"/>
        <v>2.7275330450374087</v>
      </c>
      <c r="N66">
        <f t="shared" si="2"/>
        <v>8</v>
      </c>
    </row>
    <row r="67" spans="1:14" x14ac:dyDescent="0.35">
      <c r="A67" t="str">
        <f t="shared" ref="A67:A130" si="3">TEXT(B67,0)&amp;"_"&amp;TEXT(C67,0)</f>
        <v>18097310308_2024</v>
      </c>
      <c r="B67">
        <v>18097310308</v>
      </c>
      <c r="C67">
        <v>2024</v>
      </c>
      <c r="D67">
        <v>-0.1174358079978013</v>
      </c>
      <c r="E67">
        <v>-3.9389613621893749E-2</v>
      </c>
      <c r="F67">
        <v>-1.2739470265791699</v>
      </c>
      <c r="G67">
        <v>0.1750596569033806</v>
      </c>
      <c r="H67">
        <v>-12.97390441953681</v>
      </c>
      <c r="I67">
        <v>0.44051523807516552</v>
      </c>
      <c r="J67">
        <v>-0.29079289121634411</v>
      </c>
      <c r="K67">
        <v>0.1889316996406819</v>
      </c>
      <c r="M67">
        <f t="shared" ref="M67:M130" si="4">SUM(D67:K67)</f>
        <v>-13.890963164332792</v>
      </c>
      <c r="N67">
        <f t="shared" ref="N67:N130" si="5">IF(D67=0,0,1)+IF(E67=0,0,1)+IF(F67=0,0,1)+IF(G67=0,0,1)+IF(H67=0,0,1)+IF(I67=0,0,1)++IF(J67=0,0,1)++IF(K67=0,0,1)</f>
        <v>8</v>
      </c>
    </row>
    <row r="68" spans="1:14" x14ac:dyDescent="0.35">
      <c r="A68" t="str">
        <f t="shared" si="3"/>
        <v>18097310308_2025</v>
      </c>
      <c r="B68">
        <v>18097310308</v>
      </c>
      <c r="C68">
        <v>2025</v>
      </c>
      <c r="D68">
        <v>0.50211863592993666</v>
      </c>
      <c r="E68">
        <v>-0.21163766858253741</v>
      </c>
      <c r="F68">
        <v>-0.27535530043288658</v>
      </c>
      <c r="G68">
        <v>-1.0619473626978071</v>
      </c>
      <c r="H68">
        <v>-1.0084194996295479</v>
      </c>
      <c r="I68">
        <v>0.65940023182631502</v>
      </c>
      <c r="J68">
        <v>-0.40617168262020598</v>
      </c>
      <c r="K68">
        <v>8.2624799024744344E-2</v>
      </c>
      <c r="M68">
        <f t="shared" si="4"/>
        <v>-1.719387847181989</v>
      </c>
      <c r="N68">
        <f t="shared" si="5"/>
        <v>8</v>
      </c>
    </row>
    <row r="69" spans="1:14" x14ac:dyDescent="0.35">
      <c r="A69" t="str">
        <f t="shared" si="3"/>
        <v>18097310308_2026</v>
      </c>
      <c r="B69">
        <v>18097310308</v>
      </c>
      <c r="C69">
        <v>2026</v>
      </c>
      <c r="D69">
        <v>-4.0019969601060253E-2</v>
      </c>
      <c r="E69">
        <v>-0.1549007835189771</v>
      </c>
      <c r="F69">
        <v>-1.6691208542505609</v>
      </c>
      <c r="G69">
        <v>0.11517630467251321</v>
      </c>
      <c r="H69">
        <v>-0.79012514093012531</v>
      </c>
      <c r="I69">
        <v>0.65056340416723868</v>
      </c>
      <c r="J69">
        <v>-0.4786274546601787</v>
      </c>
      <c r="K69">
        <v>-0.1039867715313418</v>
      </c>
      <c r="M69">
        <f t="shared" si="4"/>
        <v>-2.4710412656524925</v>
      </c>
      <c r="N69">
        <f t="shared" si="5"/>
        <v>8</v>
      </c>
    </row>
    <row r="70" spans="1:14" x14ac:dyDescent="0.35">
      <c r="A70" t="str">
        <f t="shared" si="3"/>
        <v>18097310308_2027</v>
      </c>
      <c r="B70">
        <v>18097310308</v>
      </c>
      <c r="C70">
        <v>2027</v>
      </c>
      <c r="D70">
        <v>0.4938282031527626</v>
      </c>
      <c r="E70">
        <v>-0.13645649183574879</v>
      </c>
      <c r="F70">
        <v>-0.80585737598799212</v>
      </c>
      <c r="G70">
        <v>-0.82596414887519287</v>
      </c>
      <c r="H70">
        <v>-0.79657409027900727</v>
      </c>
      <c r="I70">
        <v>0.58429417397056704</v>
      </c>
      <c r="J70">
        <v>-0.50568000917689115</v>
      </c>
      <c r="K70">
        <v>-0.13064611408116111</v>
      </c>
      <c r="M70">
        <f t="shared" si="4"/>
        <v>-2.1230558531126635</v>
      </c>
      <c r="N70">
        <f t="shared" si="5"/>
        <v>8</v>
      </c>
    </row>
    <row r="71" spans="1:14" x14ac:dyDescent="0.35">
      <c r="A71" t="str">
        <f t="shared" si="3"/>
        <v>18097310308_2028</v>
      </c>
      <c r="B71">
        <v>18097310308</v>
      </c>
      <c r="C71">
        <v>2028</v>
      </c>
      <c r="D71">
        <v>0.1343065253408777</v>
      </c>
      <c r="E71">
        <v>-4.0873034969850848E-2</v>
      </c>
      <c r="F71">
        <v>-1.7098699994651581</v>
      </c>
      <c r="G71">
        <v>-0.1116981744145249</v>
      </c>
      <c r="H71">
        <v>-0.67268306414609913</v>
      </c>
      <c r="I71">
        <v>0.49846185353553868</v>
      </c>
      <c r="J71">
        <v>-0.51634964908551528</v>
      </c>
      <c r="K71">
        <v>-0.175874418576908</v>
      </c>
      <c r="M71">
        <f t="shared" si="4"/>
        <v>-2.5945799617816401</v>
      </c>
      <c r="N71">
        <f t="shared" si="5"/>
        <v>8</v>
      </c>
    </row>
    <row r="72" spans="1:14" x14ac:dyDescent="0.35">
      <c r="A72" t="str">
        <f t="shared" si="3"/>
        <v>18097310309_2024</v>
      </c>
      <c r="B72">
        <v>18097310309</v>
      </c>
      <c r="C72">
        <v>2024</v>
      </c>
      <c r="D72">
        <v>4.4563269727964337E-2</v>
      </c>
      <c r="E72">
        <v>-1.044139624156992</v>
      </c>
      <c r="F72">
        <v>0.38199408198738882</v>
      </c>
      <c r="G72">
        <v>0.20537214420145511</v>
      </c>
      <c r="H72">
        <v>-0.11287527766974111</v>
      </c>
      <c r="I72">
        <v>0.55488068379381783</v>
      </c>
      <c r="J72">
        <v>-5.2810481138028192E-2</v>
      </c>
      <c r="K72">
        <v>0.18891788568755041</v>
      </c>
      <c r="M72">
        <f t="shared" si="4"/>
        <v>0.16590268243341513</v>
      </c>
      <c r="N72">
        <f t="shared" si="5"/>
        <v>8</v>
      </c>
    </row>
    <row r="73" spans="1:14" x14ac:dyDescent="0.35">
      <c r="A73" t="str">
        <f t="shared" si="3"/>
        <v>18097310309_2025</v>
      </c>
      <c r="B73">
        <v>18097310309</v>
      </c>
      <c r="C73">
        <v>2025</v>
      </c>
      <c r="D73">
        <v>0.30958352921797061</v>
      </c>
      <c r="E73">
        <v>1.369989560327411</v>
      </c>
      <c r="F73">
        <v>-0.5224397765693114</v>
      </c>
      <c r="G73">
        <v>-0.93987763620008302</v>
      </c>
      <c r="H73">
        <v>-0.77141690476668567</v>
      </c>
      <c r="I73">
        <v>1.3303789073812271</v>
      </c>
      <c r="J73">
        <v>-0.13214104251670161</v>
      </c>
      <c r="K73">
        <v>8.255296582634114E-2</v>
      </c>
      <c r="M73">
        <f t="shared" si="4"/>
        <v>0.72662960270016819</v>
      </c>
      <c r="N73">
        <f t="shared" si="5"/>
        <v>8</v>
      </c>
    </row>
    <row r="74" spans="1:14" x14ac:dyDescent="0.35">
      <c r="A74" t="str">
        <f t="shared" si="3"/>
        <v>18097310309_2026</v>
      </c>
      <c r="B74">
        <v>18097310309</v>
      </c>
      <c r="C74">
        <v>2026</v>
      </c>
      <c r="D74">
        <v>2.6670502029984729E-2</v>
      </c>
      <c r="E74">
        <v>-0.71021749560145586</v>
      </c>
      <c r="F74">
        <v>-0.53734939825111649</v>
      </c>
      <c r="G74">
        <v>-9.6810010108862074E-2</v>
      </c>
      <c r="H74">
        <v>-0.65372181569347709</v>
      </c>
      <c r="I74">
        <v>1.116791230747904</v>
      </c>
      <c r="J74">
        <v>-0.2031155102507452</v>
      </c>
      <c r="K74">
        <v>-0.1040717249070665</v>
      </c>
      <c r="M74">
        <f t="shared" si="4"/>
        <v>-1.161824222034834</v>
      </c>
      <c r="N74">
        <f t="shared" si="5"/>
        <v>8</v>
      </c>
    </row>
    <row r="75" spans="1:14" x14ac:dyDescent="0.35">
      <c r="A75" t="str">
        <f t="shared" si="3"/>
        <v>18097310309_2027</v>
      </c>
      <c r="B75">
        <v>18097310309</v>
      </c>
      <c r="C75">
        <v>2027</v>
      </c>
      <c r="D75">
        <v>0.39546041891809652</v>
      </c>
      <c r="E75">
        <v>0.53364671212332548</v>
      </c>
      <c r="F75">
        <v>-0.6125715677426099</v>
      </c>
      <c r="G75">
        <v>-0.60760528958693294</v>
      </c>
      <c r="H75">
        <v>-0.6919108518693734</v>
      </c>
      <c r="I75">
        <v>0.93461723152757004</v>
      </c>
      <c r="J75">
        <v>-0.2332467429691405</v>
      </c>
      <c r="K75">
        <v>-0.1307384344620085</v>
      </c>
      <c r="M75">
        <f t="shared" si="4"/>
        <v>-0.41234852406107314</v>
      </c>
      <c r="N75">
        <f t="shared" si="5"/>
        <v>8</v>
      </c>
    </row>
    <row r="76" spans="1:14" x14ac:dyDescent="0.35">
      <c r="A76" t="str">
        <f t="shared" si="3"/>
        <v>18097310309_2028</v>
      </c>
      <c r="B76">
        <v>18097310309</v>
      </c>
      <c r="C76">
        <v>2028</v>
      </c>
      <c r="D76">
        <v>0.1131404521127849</v>
      </c>
      <c r="E76">
        <v>-7.9605865108504328E-2</v>
      </c>
      <c r="F76">
        <v>-0.61965449421357954</v>
      </c>
      <c r="G76">
        <v>-0.31320875135725829</v>
      </c>
      <c r="H76">
        <v>-0.60841137885571195</v>
      </c>
      <c r="I76">
        <v>0.73492287055250982</v>
      </c>
      <c r="J76">
        <v>-0.2463506869407448</v>
      </c>
      <c r="K76">
        <v>-0.17596975050991859</v>
      </c>
      <c r="M76">
        <f t="shared" si="4"/>
        <v>-1.1951376043204225</v>
      </c>
      <c r="N76">
        <f t="shared" si="5"/>
        <v>8</v>
      </c>
    </row>
    <row r="77" spans="1:14" x14ac:dyDescent="0.35">
      <c r="A77" t="str">
        <f t="shared" si="3"/>
        <v>18097310310_2024</v>
      </c>
      <c r="B77">
        <v>18097310310</v>
      </c>
      <c r="C77">
        <v>2024</v>
      </c>
      <c r="D77">
        <v>4.4563627524982802E-2</v>
      </c>
      <c r="E77">
        <v>-0.26397349472204462</v>
      </c>
      <c r="F77">
        <v>-0.7559701701156093</v>
      </c>
      <c r="G77">
        <v>-0.14276455247365311</v>
      </c>
      <c r="I77">
        <v>1.097728130680883</v>
      </c>
      <c r="J77">
        <v>-5.2810481152071737E-2</v>
      </c>
      <c r="K77">
        <v>0.18891788568755041</v>
      </c>
      <c r="M77">
        <f t="shared" si="4"/>
        <v>0.11569094543003747</v>
      </c>
      <c r="N77">
        <f t="shared" si="5"/>
        <v>7</v>
      </c>
    </row>
    <row r="78" spans="1:14" x14ac:dyDescent="0.35">
      <c r="A78" t="str">
        <f t="shared" si="3"/>
        <v>18097310310_2025</v>
      </c>
      <c r="B78">
        <v>18097310310</v>
      </c>
      <c r="C78">
        <v>2025</v>
      </c>
      <c r="D78">
        <v>0.30958286657075518</v>
      </c>
      <c r="E78">
        <v>-0.73135718399779959</v>
      </c>
      <c r="F78">
        <v>0.15907051687143059</v>
      </c>
      <c r="G78">
        <v>-0.24743283030534449</v>
      </c>
      <c r="I78">
        <v>-0.33789728207831132</v>
      </c>
      <c r="J78">
        <v>-0.13214104251989009</v>
      </c>
      <c r="K78">
        <v>8.255296582634114E-2</v>
      </c>
      <c r="M78">
        <f t="shared" si="4"/>
        <v>-0.89762198963281858</v>
      </c>
      <c r="N78">
        <f t="shared" si="5"/>
        <v>7</v>
      </c>
    </row>
    <row r="79" spans="1:14" x14ac:dyDescent="0.35">
      <c r="A79" t="str">
        <f t="shared" si="3"/>
        <v>18097310310_2026</v>
      </c>
      <c r="B79">
        <v>18097310310</v>
      </c>
      <c r="C79">
        <v>2026</v>
      </c>
      <c r="D79">
        <v>2.6670824366399792E-2</v>
      </c>
      <c r="E79">
        <v>-0.73144292350748297</v>
      </c>
      <c r="F79">
        <v>0.49738056415823251</v>
      </c>
      <c r="G79">
        <v>-0.27483736332697578</v>
      </c>
      <c r="I79">
        <v>0.29504197403363558</v>
      </c>
      <c r="J79">
        <v>-0.20311551025111399</v>
      </c>
      <c r="K79">
        <v>-0.1040717249070665</v>
      </c>
      <c r="M79">
        <f t="shared" si="4"/>
        <v>-0.49437415943437135</v>
      </c>
      <c r="N79">
        <f t="shared" si="5"/>
        <v>7</v>
      </c>
    </row>
    <row r="80" spans="1:14" x14ac:dyDescent="0.35">
      <c r="A80" t="str">
        <f t="shared" si="3"/>
        <v>18097310310_2027</v>
      </c>
      <c r="B80">
        <v>18097310310</v>
      </c>
      <c r="C80">
        <v>2027</v>
      </c>
      <c r="D80">
        <v>0.3954600175743202</v>
      </c>
      <c r="E80">
        <v>-0.72982160594916956</v>
      </c>
      <c r="F80">
        <v>0.36517315124169802</v>
      </c>
      <c r="G80">
        <v>-0.27279116634628142</v>
      </c>
      <c r="I80">
        <v>0.13580878792084869</v>
      </c>
      <c r="J80">
        <v>-0.23324674296906611</v>
      </c>
      <c r="K80">
        <v>-0.1307384344620085</v>
      </c>
      <c r="M80">
        <f t="shared" si="4"/>
        <v>-0.47015599298965871</v>
      </c>
      <c r="N80">
        <f t="shared" si="5"/>
        <v>7</v>
      </c>
    </row>
    <row r="81" spans="1:14" x14ac:dyDescent="0.35">
      <c r="A81" t="str">
        <f t="shared" si="3"/>
        <v>18097310310_2028</v>
      </c>
      <c r="B81">
        <v>18097310310</v>
      </c>
      <c r="C81">
        <v>2028</v>
      </c>
      <c r="D81">
        <v>0.113140442166535</v>
      </c>
      <c r="E81">
        <v>-0.60211634871278941</v>
      </c>
      <c r="F81">
        <v>0.58045983532949885</v>
      </c>
      <c r="G81">
        <v>-0.27365242565032311</v>
      </c>
      <c r="I81">
        <v>0.21891838917050899</v>
      </c>
      <c r="J81">
        <v>-0.24635068694053169</v>
      </c>
      <c r="K81">
        <v>-0.17596975050991859</v>
      </c>
      <c r="M81">
        <f t="shared" si="4"/>
        <v>-0.38557054514701994</v>
      </c>
      <c r="N81">
        <f t="shared" si="5"/>
        <v>7</v>
      </c>
    </row>
    <row r="82" spans="1:14" x14ac:dyDescent="0.35">
      <c r="A82" t="str">
        <f t="shared" si="3"/>
        <v>18097310311_2024</v>
      </c>
      <c r="B82">
        <v>18097310311</v>
      </c>
      <c r="C82">
        <v>2024</v>
      </c>
      <c r="D82">
        <v>-0.1409528634307928</v>
      </c>
      <c r="E82">
        <v>0.1246871783697847</v>
      </c>
      <c r="F82">
        <v>-1.728677955246426</v>
      </c>
      <c r="G82">
        <v>-7.7480551590270952E-2</v>
      </c>
      <c r="I82">
        <v>0.92428605959590637</v>
      </c>
      <c r="J82">
        <v>-0.33137761443373759</v>
      </c>
      <c r="K82">
        <v>0.18894052671591061</v>
      </c>
      <c r="M82">
        <f t="shared" si="4"/>
        <v>-1.0405752200196257</v>
      </c>
      <c r="N82">
        <f t="shared" si="5"/>
        <v>7</v>
      </c>
    </row>
    <row r="83" spans="1:14" x14ac:dyDescent="0.35">
      <c r="A83" t="str">
        <f t="shared" si="3"/>
        <v>18097310311_2025</v>
      </c>
      <c r="B83">
        <v>18097310311</v>
      </c>
      <c r="C83">
        <v>2025</v>
      </c>
      <c r="D83">
        <v>0.5221645428257895</v>
      </c>
      <c r="E83">
        <v>0.2148783723364186</v>
      </c>
      <c r="F83">
        <v>-2.3444549925905922</v>
      </c>
      <c r="G83">
        <v>-2.3418766747569909E-2</v>
      </c>
      <c r="I83">
        <v>-0.29586579177045019</v>
      </c>
      <c r="J83">
        <v>-0.45309762920214719</v>
      </c>
      <c r="K83">
        <v>8.2670683419990634E-2</v>
      </c>
      <c r="M83">
        <f t="shared" si="4"/>
        <v>-2.2971235817285609</v>
      </c>
      <c r="N83">
        <f t="shared" si="5"/>
        <v>7</v>
      </c>
    </row>
    <row r="84" spans="1:14" x14ac:dyDescent="0.35">
      <c r="A84" t="str">
        <f t="shared" si="3"/>
        <v>18097310311_2026</v>
      </c>
      <c r="B84">
        <v>18097310311</v>
      </c>
      <c r="C84">
        <v>2026</v>
      </c>
      <c r="D84">
        <v>-3.6383099464337057E-2</v>
      </c>
      <c r="E84">
        <v>0.33011677679881019</v>
      </c>
      <c r="F84">
        <v>-1.9490620350843431</v>
      </c>
      <c r="G84">
        <v>-6.7392094805452385E-2</v>
      </c>
      <c r="I84">
        <v>0.23335950593049459</v>
      </c>
      <c r="J84">
        <v>-0.52580342649992717</v>
      </c>
      <c r="K84">
        <v>-0.1039325275316636</v>
      </c>
      <c r="M84">
        <f t="shared" si="4"/>
        <v>-2.1190969006564186</v>
      </c>
      <c r="N84">
        <f t="shared" si="5"/>
        <v>7</v>
      </c>
    </row>
    <row r="85" spans="1:14" x14ac:dyDescent="0.35">
      <c r="A85" t="str">
        <f t="shared" si="3"/>
        <v>18097310311_2027</v>
      </c>
      <c r="B85">
        <v>18097310311</v>
      </c>
      <c r="C85">
        <v>2027</v>
      </c>
      <c r="D85">
        <v>0.50381316121118169</v>
      </c>
      <c r="E85">
        <v>0.33093549055140481</v>
      </c>
      <c r="F85">
        <v>-1.9158429943650299</v>
      </c>
      <c r="G85">
        <v>-2.9813381591713008E-2</v>
      </c>
      <c r="I85">
        <v>0.1229437462060097</v>
      </c>
      <c r="J85">
        <v>-0.55232102616548695</v>
      </c>
      <c r="K85">
        <v>-0.1305871900984773</v>
      </c>
      <c r="M85">
        <f t="shared" si="4"/>
        <v>-1.670872194252111</v>
      </c>
      <c r="N85">
        <f t="shared" si="5"/>
        <v>7</v>
      </c>
    </row>
    <row r="86" spans="1:14" x14ac:dyDescent="0.35">
      <c r="A86" t="str">
        <f t="shared" si="3"/>
        <v>18097310311_2028</v>
      </c>
      <c r="B86">
        <v>18097310311</v>
      </c>
      <c r="C86">
        <v>2028</v>
      </c>
      <c r="D86">
        <v>0.14421891914070839</v>
      </c>
      <c r="E86">
        <v>0.37553510746036878</v>
      </c>
      <c r="F86">
        <v>-1.877619287296076</v>
      </c>
      <c r="G86">
        <v>-4.8073395649127812E-2</v>
      </c>
      <c r="I86">
        <v>0.19757756282389499</v>
      </c>
      <c r="J86">
        <v>-0.5625719101077028</v>
      </c>
      <c r="K86">
        <v>-0.17581359794789661</v>
      </c>
      <c r="M86">
        <f t="shared" si="4"/>
        <v>-1.9467466015758308</v>
      </c>
      <c r="N86">
        <f t="shared" si="5"/>
        <v>7</v>
      </c>
    </row>
    <row r="87" spans="1:14" x14ac:dyDescent="0.35">
      <c r="A87" t="str">
        <f t="shared" si="3"/>
        <v>18097310312_2024</v>
      </c>
      <c r="B87">
        <v>18097310312</v>
      </c>
      <c r="C87">
        <v>2024</v>
      </c>
      <c r="D87">
        <v>4.4561440106868529E-2</v>
      </c>
      <c r="E87">
        <v>0.15920596363783451</v>
      </c>
      <c r="F87">
        <v>0.68132687545468484</v>
      </c>
      <c r="G87">
        <v>-0.63406536281117776</v>
      </c>
      <c r="I87">
        <v>-0.35883408976821463</v>
      </c>
      <c r="J87">
        <v>-5.2810481152071737E-2</v>
      </c>
      <c r="K87">
        <v>0.18891788568755041</v>
      </c>
      <c r="M87">
        <f t="shared" si="4"/>
        <v>2.8302231155474172E-2</v>
      </c>
      <c r="N87">
        <f t="shared" si="5"/>
        <v>7</v>
      </c>
    </row>
    <row r="88" spans="1:14" x14ac:dyDescent="0.35">
      <c r="A88" t="str">
        <f t="shared" si="3"/>
        <v>18097310312_2025</v>
      </c>
      <c r="B88">
        <v>18097310312</v>
      </c>
      <c r="C88">
        <v>2025</v>
      </c>
      <c r="D88">
        <v>0.30958689284864171</v>
      </c>
      <c r="E88">
        <v>7.9198600602090982E-2</v>
      </c>
      <c r="F88">
        <v>-0.4146913601677012</v>
      </c>
      <c r="G88">
        <v>0.14910472711301601</v>
      </c>
      <c r="I88">
        <v>-0.15396238272994309</v>
      </c>
      <c r="J88">
        <v>-0.13214104251989009</v>
      </c>
      <c r="K88">
        <v>8.255296582634114E-2</v>
      </c>
      <c r="M88">
        <f t="shared" si="4"/>
        <v>-8.0351599027444515E-2</v>
      </c>
      <c r="N88">
        <f t="shared" si="5"/>
        <v>7</v>
      </c>
    </row>
    <row r="89" spans="1:14" x14ac:dyDescent="0.35">
      <c r="A89" t="str">
        <f t="shared" si="3"/>
        <v>18097310312_2026</v>
      </c>
      <c r="B89">
        <v>18097310312</v>
      </c>
      <c r="C89">
        <v>2026</v>
      </c>
      <c r="D89">
        <v>2.666884907713513E-2</v>
      </c>
      <c r="E89">
        <v>0.1668465403504979</v>
      </c>
      <c r="F89">
        <v>0.40790369046440211</v>
      </c>
      <c r="G89">
        <v>-0.63316081965950322</v>
      </c>
      <c r="I89">
        <v>-0.15872876755598461</v>
      </c>
      <c r="J89">
        <v>-0.20311551025111399</v>
      </c>
      <c r="K89">
        <v>-0.1040717249070665</v>
      </c>
      <c r="M89">
        <f t="shared" si="4"/>
        <v>-0.49765774248163319</v>
      </c>
      <c r="N89">
        <f t="shared" si="5"/>
        <v>7</v>
      </c>
    </row>
    <row r="90" spans="1:14" x14ac:dyDescent="0.35">
      <c r="A90" t="str">
        <f t="shared" si="3"/>
        <v>18097310312_2027</v>
      </c>
      <c r="B90">
        <v>18097310312</v>
      </c>
      <c r="C90">
        <v>2027</v>
      </c>
      <c r="D90">
        <v>0.39546244979628059</v>
      </c>
      <c r="E90">
        <v>0.17183072849351561</v>
      </c>
      <c r="F90">
        <v>-3.2751907915007157E-2</v>
      </c>
      <c r="G90">
        <v>-0.29998591831156929</v>
      </c>
      <c r="I90">
        <v>-5.2428007994945777E-2</v>
      </c>
      <c r="J90">
        <v>-0.23324674296906611</v>
      </c>
      <c r="K90">
        <v>-0.1307384344620085</v>
      </c>
      <c r="M90">
        <f t="shared" si="4"/>
        <v>-0.18185783336280065</v>
      </c>
      <c r="N90">
        <f t="shared" si="5"/>
        <v>7</v>
      </c>
    </row>
    <row r="91" spans="1:14" x14ac:dyDescent="0.35">
      <c r="A91" t="str">
        <f t="shared" si="3"/>
        <v>18097310312_2028</v>
      </c>
      <c r="B91">
        <v>18097310312</v>
      </c>
      <c r="C91">
        <v>2028</v>
      </c>
      <c r="D91">
        <v>0.1131404887446153</v>
      </c>
      <c r="E91">
        <v>0.23618941438018021</v>
      </c>
      <c r="F91">
        <v>0.29225009333484631</v>
      </c>
      <c r="G91">
        <v>-0.46658246874551218</v>
      </c>
      <c r="I91">
        <v>2.395894585563723E-2</v>
      </c>
      <c r="J91">
        <v>-0.24635068694053169</v>
      </c>
      <c r="K91">
        <v>-0.17596975050991859</v>
      </c>
      <c r="M91">
        <f t="shared" si="4"/>
        <v>-0.22336396388068341</v>
      </c>
      <c r="N91">
        <f t="shared" si="5"/>
        <v>7</v>
      </c>
    </row>
    <row r="92" spans="1:14" x14ac:dyDescent="0.35">
      <c r="A92" t="str">
        <f t="shared" si="3"/>
        <v>18097320105_2024</v>
      </c>
      <c r="B92">
        <v>18097320105</v>
      </c>
      <c r="C92">
        <v>2024</v>
      </c>
      <c r="D92">
        <v>-9.6995799808662519E-2</v>
      </c>
      <c r="E92">
        <v>9.0408976896434762E-2</v>
      </c>
      <c r="F92">
        <v>-0.29700259730512762</v>
      </c>
      <c r="G92">
        <v>-4.494120391557619E-2</v>
      </c>
      <c r="H92">
        <v>0.3694051289117799</v>
      </c>
      <c r="I92">
        <v>-1.3573114327306619</v>
      </c>
      <c r="J92">
        <v>-1.153068820969386</v>
      </c>
      <c r="M92">
        <f t="shared" si="4"/>
        <v>-2.4895057489211996</v>
      </c>
      <c r="N92">
        <f t="shared" si="5"/>
        <v>7</v>
      </c>
    </row>
    <row r="93" spans="1:14" x14ac:dyDescent="0.35">
      <c r="A93" t="str">
        <f t="shared" si="3"/>
        <v>18097320105_2025</v>
      </c>
      <c r="B93">
        <v>18097320105</v>
      </c>
      <c r="C93">
        <v>2025</v>
      </c>
      <c r="D93">
        <v>1.5265258619940689</v>
      </c>
      <c r="E93">
        <v>5.2135307651879903E-3</v>
      </c>
      <c r="F93">
        <v>-0.8660203925431923</v>
      </c>
      <c r="G93">
        <v>7.8949003392744729E-2</v>
      </c>
      <c r="H93">
        <v>1.702929430544708</v>
      </c>
      <c r="I93">
        <v>0.17937969676409379</v>
      </c>
      <c r="J93">
        <v>-1.2051154907695041</v>
      </c>
      <c r="M93">
        <f t="shared" si="4"/>
        <v>1.421861640148107</v>
      </c>
      <c r="N93">
        <f t="shared" si="5"/>
        <v>7</v>
      </c>
    </row>
    <row r="94" spans="1:14" x14ac:dyDescent="0.35">
      <c r="A94" t="str">
        <f t="shared" si="3"/>
        <v>18097320105_2026</v>
      </c>
      <c r="B94">
        <v>18097320105</v>
      </c>
      <c r="C94">
        <v>2026</v>
      </c>
      <c r="D94">
        <v>0.4596314936275101</v>
      </c>
      <c r="E94">
        <v>8.1930611629166164E-2</v>
      </c>
      <c r="F94">
        <v>-0.7143952603741901</v>
      </c>
      <c r="G94">
        <v>3.2128786847168862E-2</v>
      </c>
      <c r="H94">
        <v>2.1790642693958771</v>
      </c>
      <c r="I94">
        <v>-0.67325936547401743</v>
      </c>
      <c r="J94">
        <v>-1.2079545580963129</v>
      </c>
      <c r="M94">
        <f t="shared" si="4"/>
        <v>0.15714597755520177</v>
      </c>
      <c r="N94">
        <f t="shared" si="5"/>
        <v>7</v>
      </c>
    </row>
    <row r="95" spans="1:14" x14ac:dyDescent="0.35">
      <c r="A95" t="str">
        <f t="shared" si="3"/>
        <v>18097320105_2027</v>
      </c>
      <c r="B95">
        <v>18097320105</v>
      </c>
      <c r="C95">
        <v>2027</v>
      </c>
      <c r="D95">
        <v>1.319105059298282</v>
      </c>
      <c r="E95">
        <v>9.2072815729416904E-2</v>
      </c>
      <c r="F95">
        <v>-0.68280472767988476</v>
      </c>
      <c r="G95">
        <v>8.6481721940755901E-2</v>
      </c>
      <c r="H95">
        <v>3.0412045678081259</v>
      </c>
      <c r="I95">
        <v>-0.15188382683283069</v>
      </c>
      <c r="J95">
        <v>-1.2077411088438921</v>
      </c>
      <c r="M95">
        <f t="shared" si="4"/>
        <v>2.4964345014199729</v>
      </c>
      <c r="N95">
        <f t="shared" si="5"/>
        <v>7</v>
      </c>
    </row>
    <row r="96" spans="1:14" x14ac:dyDescent="0.35">
      <c r="A96" t="str">
        <f t="shared" si="3"/>
        <v>18097320105_2028</v>
      </c>
      <c r="B96">
        <v>18097320105</v>
      </c>
      <c r="C96">
        <v>2028</v>
      </c>
      <c r="D96">
        <v>0.95758447136129321</v>
      </c>
      <c r="E96">
        <v>0.16545769092543131</v>
      </c>
      <c r="F96">
        <v>-0.6127206050072822</v>
      </c>
      <c r="G96">
        <v>6.0042646092506258E-2</v>
      </c>
      <c r="H96">
        <v>3.0929887365066229</v>
      </c>
      <c r="I96">
        <v>-0.18586033605727359</v>
      </c>
      <c r="J96">
        <v>-1.207538935514072</v>
      </c>
      <c r="M96">
        <f t="shared" si="4"/>
        <v>2.2699536683072261</v>
      </c>
      <c r="N96">
        <f t="shared" si="5"/>
        <v>7</v>
      </c>
    </row>
    <row r="97" spans="1:14" x14ac:dyDescent="0.35">
      <c r="A97" t="str">
        <f t="shared" si="3"/>
        <v>18097320106_2024</v>
      </c>
      <c r="B97">
        <v>18097320106</v>
      </c>
      <c r="C97">
        <v>2024</v>
      </c>
      <c r="D97">
        <v>-9.6992923351250274E-2</v>
      </c>
      <c r="E97">
        <v>-0.23006777689494279</v>
      </c>
      <c r="F97">
        <v>0.58663619039749348</v>
      </c>
      <c r="G97">
        <v>-0.65462671136152362</v>
      </c>
      <c r="H97">
        <v>0.26278260752896948</v>
      </c>
      <c r="I97">
        <v>-0.52221332282558153</v>
      </c>
      <c r="J97">
        <v>-1.153068820969386</v>
      </c>
      <c r="M97">
        <f t="shared" si="4"/>
        <v>-1.8075507574762213</v>
      </c>
      <c r="N97">
        <f t="shared" si="5"/>
        <v>7</v>
      </c>
    </row>
    <row r="98" spans="1:14" x14ac:dyDescent="0.35">
      <c r="A98" t="str">
        <f t="shared" si="3"/>
        <v>18097320106_2025</v>
      </c>
      <c r="B98">
        <v>18097320106</v>
      </c>
      <c r="C98">
        <v>2025</v>
      </c>
      <c r="D98">
        <v>1.5265238091057329</v>
      </c>
      <c r="E98">
        <v>-0.79928566906330401</v>
      </c>
      <c r="F98">
        <v>0.1604571152197844</v>
      </c>
      <c r="G98">
        <v>-2.089419054709762</v>
      </c>
      <c r="H98">
        <v>0.72304021927986362</v>
      </c>
      <c r="I98">
        <v>-0.72436835574476188</v>
      </c>
      <c r="J98">
        <v>-1.2051154907695041</v>
      </c>
      <c r="M98">
        <f t="shared" si="4"/>
        <v>-2.4081674266819508</v>
      </c>
      <c r="N98">
        <f t="shared" si="5"/>
        <v>7</v>
      </c>
    </row>
    <row r="99" spans="1:14" x14ac:dyDescent="0.35">
      <c r="A99" t="str">
        <f t="shared" si="3"/>
        <v>18097320106_2026</v>
      </c>
      <c r="B99">
        <v>18097320106</v>
      </c>
      <c r="C99">
        <v>2026</v>
      </c>
      <c r="D99">
        <v>0.45963124969086822</v>
      </c>
      <c r="E99">
        <v>-0.84624248327958629</v>
      </c>
      <c r="F99">
        <v>0.21519653127718791</v>
      </c>
      <c r="G99">
        <v>-1.46758204674952</v>
      </c>
      <c r="H99">
        <v>0.76549390242440007</v>
      </c>
      <c r="I99">
        <v>-0.72614517125389155</v>
      </c>
      <c r="J99">
        <v>-1.2079545580963129</v>
      </c>
      <c r="M99">
        <f t="shared" si="4"/>
        <v>-2.8076025759868548</v>
      </c>
      <c r="N99">
        <f t="shared" si="5"/>
        <v>7</v>
      </c>
    </row>
    <row r="100" spans="1:14" x14ac:dyDescent="0.35">
      <c r="A100" t="str">
        <f t="shared" si="3"/>
        <v>18097320106_2027</v>
      </c>
      <c r="B100">
        <v>18097320106</v>
      </c>
      <c r="C100">
        <v>2027</v>
      </c>
      <c r="D100">
        <v>1.319104311545344</v>
      </c>
      <c r="E100">
        <v>-0.86038097917968681</v>
      </c>
      <c r="F100">
        <v>0.2457812310615638</v>
      </c>
      <c r="G100">
        <v>-0.41435075000604699</v>
      </c>
      <c r="H100">
        <v>0.64598482308620309</v>
      </c>
      <c r="I100">
        <v>-0.55854432569367174</v>
      </c>
      <c r="J100">
        <v>-1.2077411088438921</v>
      </c>
      <c r="M100">
        <f t="shared" si="4"/>
        <v>-0.83014679803018665</v>
      </c>
      <c r="N100">
        <f t="shared" si="5"/>
        <v>7</v>
      </c>
    </row>
    <row r="101" spans="1:14" x14ac:dyDescent="0.35">
      <c r="A101" t="str">
        <f t="shared" si="3"/>
        <v>18097320106_2028</v>
      </c>
      <c r="B101">
        <v>18097320106</v>
      </c>
      <c r="C101">
        <v>2028</v>
      </c>
      <c r="D101">
        <v>0.95758369200443461</v>
      </c>
      <c r="E101">
        <v>-0.73297115888604814</v>
      </c>
      <c r="F101">
        <v>0.31924118496463949</v>
      </c>
      <c r="G101">
        <v>1.5373046851176971E-2</v>
      </c>
      <c r="H101">
        <v>0.51690306734288161</v>
      </c>
      <c r="I101">
        <v>-0.39380267244059541</v>
      </c>
      <c r="J101">
        <v>-1.207538935514072</v>
      </c>
      <c r="M101">
        <f t="shared" si="4"/>
        <v>-0.52521177567758293</v>
      </c>
      <c r="N101">
        <f t="shared" si="5"/>
        <v>7</v>
      </c>
    </row>
    <row r="102" spans="1:14" x14ac:dyDescent="0.35">
      <c r="A102" t="str">
        <f t="shared" si="3"/>
        <v>18097320107_2024</v>
      </c>
      <c r="B102">
        <v>18097320107</v>
      </c>
      <c r="C102">
        <v>2024</v>
      </c>
      <c r="D102">
        <v>-9.6989022133685418E-2</v>
      </c>
      <c r="E102">
        <v>0.1288449353980621</v>
      </c>
      <c r="F102">
        <v>-1.047197795055349</v>
      </c>
      <c r="G102">
        <v>-2.9439882695489361E-2</v>
      </c>
      <c r="H102">
        <v>-0.15022354744109009</v>
      </c>
      <c r="I102">
        <v>0.14531409806752299</v>
      </c>
      <c r="J102">
        <v>-1.153068820969386</v>
      </c>
      <c r="M102">
        <f t="shared" si="4"/>
        <v>-2.2027600348294145</v>
      </c>
      <c r="N102">
        <f t="shared" si="5"/>
        <v>7</v>
      </c>
    </row>
    <row r="103" spans="1:14" x14ac:dyDescent="0.35">
      <c r="A103" t="str">
        <f t="shared" si="3"/>
        <v>18097320107_2025</v>
      </c>
      <c r="B103">
        <v>18097320107</v>
      </c>
      <c r="C103">
        <v>2025</v>
      </c>
      <c r="D103">
        <v>1.5265210249061201</v>
      </c>
      <c r="E103">
        <v>5.9046090625468631E-2</v>
      </c>
      <c r="F103">
        <v>-1.312766626580093</v>
      </c>
      <c r="G103">
        <v>-0.26991341836316779</v>
      </c>
      <c r="H103">
        <v>-0.92290248371506844</v>
      </c>
      <c r="I103">
        <v>0.27676375503718742</v>
      </c>
      <c r="J103">
        <v>-1.2051154907695041</v>
      </c>
      <c r="M103">
        <f t="shared" si="4"/>
        <v>-1.8483671488590572</v>
      </c>
      <c r="N103">
        <f t="shared" si="5"/>
        <v>7</v>
      </c>
    </row>
    <row r="104" spans="1:14" x14ac:dyDescent="0.35">
      <c r="A104" t="str">
        <f t="shared" si="3"/>
        <v>18097320107_2026</v>
      </c>
      <c r="B104">
        <v>18097320107</v>
      </c>
      <c r="C104">
        <v>2026</v>
      </c>
      <c r="D104">
        <v>0.45963091890929653</v>
      </c>
      <c r="E104">
        <v>0.14093083959424199</v>
      </c>
      <c r="F104">
        <v>-3.3294834356871431E-2</v>
      </c>
      <c r="G104">
        <v>-0.1971879730557084</v>
      </c>
      <c r="H104">
        <v>-0.6297684259440216</v>
      </c>
      <c r="I104">
        <v>0.29361245949444309</v>
      </c>
      <c r="J104">
        <v>-1.2079545580963129</v>
      </c>
      <c r="M104">
        <f t="shared" si="4"/>
        <v>-1.1740315734549327</v>
      </c>
      <c r="N104">
        <f t="shared" si="5"/>
        <v>7</v>
      </c>
    </row>
    <row r="105" spans="1:14" x14ac:dyDescent="0.35">
      <c r="A105" t="str">
        <f t="shared" si="3"/>
        <v>18097320107_2027</v>
      </c>
      <c r="B105">
        <v>18097320107</v>
      </c>
      <c r="C105">
        <v>2027</v>
      </c>
      <c r="D105">
        <v>1.3191032974511001</v>
      </c>
      <c r="E105">
        <v>0.14779357097914039</v>
      </c>
      <c r="F105">
        <v>-0.92823911180628838</v>
      </c>
      <c r="G105">
        <v>-0.21760137451750849</v>
      </c>
      <c r="H105">
        <v>-0.64726380196628597</v>
      </c>
      <c r="I105">
        <v>0.30891579050920781</v>
      </c>
      <c r="J105">
        <v>-1.2077411088438921</v>
      </c>
      <c r="M105">
        <f t="shared" si="4"/>
        <v>-1.2250327381945265</v>
      </c>
      <c r="N105">
        <f t="shared" si="5"/>
        <v>7</v>
      </c>
    </row>
    <row r="106" spans="1:14" x14ac:dyDescent="0.35">
      <c r="A106" t="str">
        <f t="shared" si="3"/>
        <v>18097320107_2028</v>
      </c>
      <c r="B106">
        <v>18097320107</v>
      </c>
      <c r="C106">
        <v>2028</v>
      </c>
      <c r="D106">
        <v>0.9575826350603468</v>
      </c>
      <c r="E106">
        <v>0.214942823724008</v>
      </c>
      <c r="F106">
        <v>-0.43950996382623231</v>
      </c>
      <c r="G106">
        <v>-0.2126629271632158</v>
      </c>
      <c r="H106">
        <v>-0.57066724659976775</v>
      </c>
      <c r="I106">
        <v>0.30025300204031402</v>
      </c>
      <c r="J106">
        <v>-1.207538935514072</v>
      </c>
      <c r="M106">
        <f t="shared" si="4"/>
        <v>-0.95760061227861903</v>
      </c>
      <c r="N106">
        <f t="shared" si="5"/>
        <v>7</v>
      </c>
    </row>
    <row r="107" spans="1:14" x14ac:dyDescent="0.35">
      <c r="A107" t="str">
        <f t="shared" si="3"/>
        <v>18097320108_2024</v>
      </c>
      <c r="B107">
        <v>18097320108</v>
      </c>
      <c r="C107">
        <v>2024</v>
      </c>
      <c r="D107">
        <v>-9.6996879650800963E-2</v>
      </c>
      <c r="E107">
        <v>0.43226278956047309</v>
      </c>
      <c r="F107">
        <v>1.521137414650346</v>
      </c>
      <c r="G107">
        <v>-1.4188335235385821</v>
      </c>
      <c r="H107">
        <v>-8.8761545499684819E-2</v>
      </c>
      <c r="I107">
        <v>0.63552323499082519</v>
      </c>
      <c r="J107">
        <v>-1.153068820969386</v>
      </c>
      <c r="M107">
        <f t="shared" si="4"/>
        <v>-0.1687373304568095</v>
      </c>
      <c r="N107">
        <f t="shared" si="5"/>
        <v>7</v>
      </c>
    </row>
    <row r="108" spans="1:14" x14ac:dyDescent="0.35">
      <c r="A108" t="str">
        <f t="shared" si="3"/>
        <v>18097320108_2025</v>
      </c>
      <c r="B108">
        <v>18097320108</v>
      </c>
      <c r="C108">
        <v>2025</v>
      </c>
      <c r="D108">
        <v>1.5265266348041451</v>
      </c>
      <c r="E108">
        <v>0.3309552975882219</v>
      </c>
      <c r="F108">
        <v>-8.4142407025189339E-2</v>
      </c>
      <c r="G108">
        <v>2.9005677422520542</v>
      </c>
      <c r="H108">
        <v>-0.66241675829553193</v>
      </c>
      <c r="I108">
        <v>0.61383634851385971</v>
      </c>
      <c r="J108">
        <v>-1.2051154907695041</v>
      </c>
      <c r="M108">
        <f t="shared" si="4"/>
        <v>3.4202113670680552</v>
      </c>
      <c r="N108">
        <f t="shared" si="5"/>
        <v>7</v>
      </c>
    </row>
    <row r="109" spans="1:14" x14ac:dyDescent="0.35">
      <c r="A109" t="str">
        <f t="shared" si="3"/>
        <v>18097320108_2026</v>
      </c>
      <c r="B109">
        <v>18097320108</v>
      </c>
      <c r="C109">
        <v>2026</v>
      </c>
      <c r="D109">
        <v>0.45963158710340762</v>
      </c>
      <c r="E109">
        <v>0.44703466092269961</v>
      </c>
      <c r="F109">
        <v>-3.5328949358692921E-2</v>
      </c>
      <c r="G109">
        <v>-1.5782584167425731</v>
      </c>
      <c r="H109">
        <v>-0.37795136801120599</v>
      </c>
      <c r="I109">
        <v>0.57705861929208369</v>
      </c>
      <c r="J109">
        <v>-1.2079545580963129</v>
      </c>
      <c r="M109">
        <f t="shared" si="4"/>
        <v>-1.715768424890594</v>
      </c>
      <c r="N109">
        <f t="shared" si="5"/>
        <v>7</v>
      </c>
    </row>
    <row r="110" spans="1:14" x14ac:dyDescent="0.35">
      <c r="A110" t="str">
        <f t="shared" si="3"/>
        <v>18097320108_2027</v>
      </c>
      <c r="B110">
        <v>18097320108</v>
      </c>
      <c r="C110">
        <v>2027</v>
      </c>
      <c r="D110">
        <v>1.3191053419823691</v>
      </c>
      <c r="E110">
        <v>0.4312796725052867</v>
      </c>
      <c r="F110">
        <v>-4.9862356721912242E-2</v>
      </c>
      <c r="G110">
        <v>1.4341832073379439</v>
      </c>
      <c r="H110">
        <v>-0.40920849800565912</v>
      </c>
      <c r="I110">
        <v>0.52533484850176349</v>
      </c>
      <c r="J110">
        <v>-1.2077411088438921</v>
      </c>
      <c r="M110">
        <f t="shared" si="4"/>
        <v>2.0430911067559001</v>
      </c>
      <c r="N110">
        <f t="shared" si="5"/>
        <v>7</v>
      </c>
    </row>
    <row r="111" spans="1:14" x14ac:dyDescent="0.35">
      <c r="A111" t="str">
        <f t="shared" si="3"/>
        <v>18097320108_2028</v>
      </c>
      <c r="B111">
        <v>18097320108</v>
      </c>
      <c r="C111">
        <v>2028</v>
      </c>
      <c r="D111">
        <v>0.95758476628910938</v>
      </c>
      <c r="E111">
        <v>0.46118159841812861</v>
      </c>
      <c r="F111">
        <v>-9.5342438953393779E-4</v>
      </c>
      <c r="G111">
        <v>-0.72684831419197293</v>
      </c>
      <c r="H111">
        <v>-0.38915259545697528</v>
      </c>
      <c r="I111">
        <v>0.45648349776407038</v>
      </c>
      <c r="J111">
        <v>-1.207538935514072</v>
      </c>
      <c r="M111">
        <f t="shared" si="4"/>
        <v>-0.44924340708124588</v>
      </c>
      <c r="N111">
        <f t="shared" si="5"/>
        <v>7</v>
      </c>
    </row>
    <row r="112" spans="1:14" x14ac:dyDescent="0.35">
      <c r="A112" t="str">
        <f t="shared" si="3"/>
        <v>18097320109_2024</v>
      </c>
      <c r="B112">
        <v>18097320109</v>
      </c>
      <c r="C112">
        <v>2024</v>
      </c>
      <c r="D112">
        <v>-9.6993197990767915E-2</v>
      </c>
      <c r="E112">
        <v>0.16947463696239751</v>
      </c>
      <c r="F112">
        <v>-1.6274184854230249</v>
      </c>
      <c r="G112">
        <v>-0.84371934216987787</v>
      </c>
      <c r="I112">
        <v>0.22263415765334521</v>
      </c>
      <c r="J112">
        <v>-1.153068820969386</v>
      </c>
      <c r="M112">
        <f t="shared" si="4"/>
        <v>-3.329091051937314</v>
      </c>
      <c r="N112">
        <f t="shared" si="5"/>
        <v>6</v>
      </c>
    </row>
    <row r="113" spans="1:14" x14ac:dyDescent="0.35">
      <c r="A113" t="str">
        <f t="shared" si="3"/>
        <v>18097320109_2025</v>
      </c>
      <c r="B113">
        <v>18097320109</v>
      </c>
      <c r="C113">
        <v>2025</v>
      </c>
      <c r="D113">
        <v>1.526524007823796</v>
      </c>
      <c r="E113">
        <v>-0.2466173839627325</v>
      </c>
      <c r="F113">
        <v>-1.8089411699219831</v>
      </c>
      <c r="G113">
        <v>0.4524807843458229</v>
      </c>
      <c r="I113">
        <v>0.27618094702721102</v>
      </c>
      <c r="J113">
        <v>-1.2051154907695041</v>
      </c>
      <c r="M113">
        <f t="shared" si="4"/>
        <v>-1.0054883054573898</v>
      </c>
      <c r="N113">
        <f t="shared" si="5"/>
        <v>6</v>
      </c>
    </row>
    <row r="114" spans="1:14" x14ac:dyDescent="0.35">
      <c r="A114" t="str">
        <f t="shared" si="3"/>
        <v>18097320109_2026</v>
      </c>
      <c r="B114">
        <v>18097320109</v>
      </c>
      <c r="C114">
        <v>2026</v>
      </c>
      <c r="D114">
        <v>0.45963127538344839</v>
      </c>
      <c r="E114">
        <v>-3.8142114002149348E-2</v>
      </c>
      <c r="F114">
        <v>-1.9291358315773779</v>
      </c>
      <c r="G114">
        <v>-1.140857531958724</v>
      </c>
      <c r="I114">
        <v>0.30340337966783942</v>
      </c>
      <c r="J114">
        <v>-1.2079545580963129</v>
      </c>
      <c r="M114">
        <f t="shared" si="4"/>
        <v>-3.5530553805832765</v>
      </c>
      <c r="N114">
        <f t="shared" si="5"/>
        <v>6</v>
      </c>
    </row>
    <row r="115" spans="1:14" x14ac:dyDescent="0.35">
      <c r="A115" t="str">
        <f t="shared" si="3"/>
        <v>18097320109_2027</v>
      </c>
      <c r="B115">
        <v>18097320109</v>
      </c>
      <c r="C115">
        <v>2027</v>
      </c>
      <c r="D115">
        <v>1.3191043854350091</v>
      </c>
      <c r="E115">
        <v>-7.4599762666518882E-2</v>
      </c>
      <c r="F115">
        <v>-2.210220459356651</v>
      </c>
      <c r="G115">
        <v>-0.17172083840517441</v>
      </c>
      <c r="I115">
        <v>0.31557805115161158</v>
      </c>
      <c r="J115">
        <v>-1.2077411088438921</v>
      </c>
      <c r="M115">
        <f t="shared" si="4"/>
        <v>-2.0295997326856159</v>
      </c>
      <c r="N115">
        <f t="shared" si="5"/>
        <v>6</v>
      </c>
    </row>
    <row r="116" spans="1:14" x14ac:dyDescent="0.35">
      <c r="A116" t="str">
        <f t="shared" si="3"/>
        <v>18097320109_2028</v>
      </c>
      <c r="B116">
        <v>18097320109</v>
      </c>
      <c r="C116">
        <v>2028</v>
      </c>
      <c r="D116">
        <v>0.95758376939067835</v>
      </c>
      <c r="E116">
        <v>3.2042014681276182E-2</v>
      </c>
      <c r="F116">
        <v>-2.3663273831662348</v>
      </c>
      <c r="G116">
        <v>-0.83613105789966446</v>
      </c>
      <c r="I116">
        <v>0.30525914855363739</v>
      </c>
      <c r="J116">
        <v>-1.207538935514072</v>
      </c>
      <c r="M116">
        <f t="shared" si="4"/>
        <v>-3.1151124439543794</v>
      </c>
      <c r="N116">
        <f t="shared" si="5"/>
        <v>6</v>
      </c>
    </row>
    <row r="117" spans="1:14" x14ac:dyDescent="0.35">
      <c r="A117" t="str">
        <f t="shared" si="3"/>
        <v>18097320202_2024</v>
      </c>
      <c r="B117">
        <v>18097320202</v>
      </c>
      <c r="C117">
        <v>2024</v>
      </c>
      <c r="D117">
        <v>0.43349129415463999</v>
      </c>
      <c r="E117">
        <v>-4.7212887308060829E-2</v>
      </c>
      <c r="F117">
        <v>-0.1451867767663636</v>
      </c>
      <c r="G117">
        <v>-0.19013137751636919</v>
      </c>
      <c r="H117">
        <v>-6.4504287731928969E-2</v>
      </c>
      <c r="I117">
        <v>-0.12739034446043601</v>
      </c>
      <c r="J117">
        <v>-1.0309158143957791</v>
      </c>
      <c r="K117">
        <v>-4.9478310298230049E-2</v>
      </c>
      <c r="M117">
        <f t="shared" si="4"/>
        <v>-1.2213285043225277</v>
      </c>
      <c r="N117">
        <f t="shared" si="5"/>
        <v>8</v>
      </c>
    </row>
    <row r="118" spans="1:14" x14ac:dyDescent="0.35">
      <c r="A118" t="str">
        <f t="shared" si="3"/>
        <v>18097320202_2025</v>
      </c>
      <c r="B118">
        <v>18097320202</v>
      </c>
      <c r="C118">
        <v>2025</v>
      </c>
      <c r="D118">
        <v>-0.32743212600359878</v>
      </c>
      <c r="E118">
        <v>-0.32813628000661982</v>
      </c>
      <c r="F118">
        <v>0.97693323179984315</v>
      </c>
      <c r="G118">
        <v>-1.0788695640461201</v>
      </c>
      <c r="H118">
        <v>-0.42819771024482428</v>
      </c>
      <c r="I118">
        <v>-2.9776001629432069E-2</v>
      </c>
      <c r="J118">
        <v>-1.2208455548201109</v>
      </c>
      <c r="K118">
        <v>-0.55633501692306586</v>
      </c>
      <c r="M118">
        <f t="shared" si="4"/>
        <v>-2.9926590218739286</v>
      </c>
      <c r="N118">
        <f t="shared" si="5"/>
        <v>8</v>
      </c>
    </row>
    <row r="119" spans="1:14" x14ac:dyDescent="0.35">
      <c r="A119" t="str">
        <f t="shared" si="3"/>
        <v>18097320202_2026</v>
      </c>
      <c r="B119">
        <v>18097320202</v>
      </c>
      <c r="C119">
        <v>2026</v>
      </c>
      <c r="D119">
        <v>-0.1440609049849968</v>
      </c>
      <c r="E119">
        <v>-0.25813493706450152</v>
      </c>
      <c r="F119">
        <v>0.98294578593349557</v>
      </c>
      <c r="G119">
        <v>-0.8075621267949733</v>
      </c>
      <c r="H119">
        <v>-0.49546670566695938</v>
      </c>
      <c r="I119">
        <v>-4.2657088565262796E-3</v>
      </c>
      <c r="J119">
        <v>-1.2872414757850681</v>
      </c>
      <c r="K119">
        <v>-0.62844511951446425</v>
      </c>
      <c r="M119">
        <f t="shared" si="4"/>
        <v>-2.6422311927339939</v>
      </c>
      <c r="N119">
        <f t="shared" si="5"/>
        <v>8</v>
      </c>
    </row>
    <row r="120" spans="1:14" x14ac:dyDescent="0.35">
      <c r="A120" t="str">
        <f t="shared" si="3"/>
        <v>18097320202_2027</v>
      </c>
      <c r="B120">
        <v>18097320202</v>
      </c>
      <c r="C120">
        <v>2027</v>
      </c>
      <c r="D120">
        <v>-4.4610528661158867E-2</v>
      </c>
      <c r="E120">
        <v>-0.2441328745207646</v>
      </c>
      <c r="F120">
        <v>1.096728896197686</v>
      </c>
      <c r="G120">
        <v>-1.0135197050338129</v>
      </c>
      <c r="H120">
        <v>-0.52322470596741677</v>
      </c>
      <c r="I120">
        <v>7.0437517795781168E-2</v>
      </c>
      <c r="J120">
        <v>-1.3035541230677741</v>
      </c>
      <c r="K120">
        <v>-0.57970527583708553</v>
      </c>
      <c r="M120">
        <f t="shared" si="4"/>
        <v>-2.5415807990945458</v>
      </c>
      <c r="N120">
        <f t="shared" si="5"/>
        <v>8</v>
      </c>
    </row>
    <row r="121" spans="1:14" x14ac:dyDescent="0.35">
      <c r="A121" t="str">
        <f t="shared" si="3"/>
        <v>18097320202_2028</v>
      </c>
      <c r="B121">
        <v>18097320202</v>
      </c>
      <c r="C121">
        <v>2028</v>
      </c>
      <c r="D121">
        <v>-0.27355986894251949</v>
      </c>
      <c r="E121">
        <v>-0.1387181989024345</v>
      </c>
      <c r="F121">
        <v>1.235241670272577</v>
      </c>
      <c r="G121">
        <v>-0.91989392014245919</v>
      </c>
      <c r="H121">
        <v>-0.51304147100174546</v>
      </c>
      <c r="I121">
        <v>0.1204714474506515</v>
      </c>
      <c r="J121">
        <v>-1.3068568058612891</v>
      </c>
      <c r="K121">
        <v>-0.56884888135612821</v>
      </c>
      <c r="M121">
        <f t="shared" si="4"/>
        <v>-2.3652060284833474</v>
      </c>
      <c r="N121">
        <f t="shared" si="5"/>
        <v>8</v>
      </c>
    </row>
    <row r="122" spans="1:14" x14ac:dyDescent="0.35">
      <c r="A122" t="str">
        <f t="shared" si="3"/>
        <v>18097320206_2024</v>
      </c>
      <c r="B122">
        <v>18097320206</v>
      </c>
      <c r="C122">
        <v>2024</v>
      </c>
      <c r="D122">
        <v>7.112859071929436</v>
      </c>
      <c r="E122">
        <v>0.94684552748792639</v>
      </c>
      <c r="F122">
        <v>1.2867615414306719</v>
      </c>
      <c r="G122">
        <v>3.915626861553425E-2</v>
      </c>
      <c r="H122">
        <v>-0.19788842274266299</v>
      </c>
      <c r="I122">
        <v>9.7822633061625794E-2</v>
      </c>
      <c r="J122">
        <v>-0.60750624230189876</v>
      </c>
      <c r="M122">
        <f t="shared" si="4"/>
        <v>8.6780503774806306</v>
      </c>
      <c r="N122">
        <f t="shared" si="5"/>
        <v>7</v>
      </c>
    </row>
    <row r="123" spans="1:14" x14ac:dyDescent="0.35">
      <c r="A123" t="str">
        <f t="shared" si="3"/>
        <v>18097320206_2025</v>
      </c>
      <c r="B123">
        <v>18097320206</v>
      </c>
      <c r="C123">
        <v>2025</v>
      </c>
      <c r="D123">
        <v>-0.80476152452137606</v>
      </c>
      <c r="E123">
        <v>1.573772196978825</v>
      </c>
      <c r="F123">
        <v>5.7419635224959811E-2</v>
      </c>
      <c r="G123">
        <v>0.23635218657913859</v>
      </c>
      <c r="H123">
        <v>-1.283874159486226</v>
      </c>
      <c r="I123">
        <v>0.42054188734449582</v>
      </c>
      <c r="J123">
        <v>-0.78617577468721456</v>
      </c>
      <c r="M123">
        <f t="shared" si="4"/>
        <v>-0.58672555256739733</v>
      </c>
      <c r="N123">
        <f t="shared" si="5"/>
        <v>7</v>
      </c>
    </row>
    <row r="124" spans="1:14" x14ac:dyDescent="0.35">
      <c r="A124" t="str">
        <f t="shared" si="3"/>
        <v>18097320206_2026</v>
      </c>
      <c r="B124">
        <v>18097320206</v>
      </c>
      <c r="C124">
        <v>2026</v>
      </c>
      <c r="D124">
        <v>-2.7300955575626582</v>
      </c>
      <c r="E124">
        <v>1.559992120549514</v>
      </c>
      <c r="F124">
        <v>7.6095246063401706E-2</v>
      </c>
      <c r="G124">
        <v>0.19432201294214779</v>
      </c>
      <c r="H124">
        <v>-1.0444005380610719</v>
      </c>
      <c r="I124">
        <v>0.30193479577648119</v>
      </c>
      <c r="J124">
        <v>-0.83057190725358909</v>
      </c>
      <c r="M124">
        <f t="shared" si="4"/>
        <v>-2.4727238275457744</v>
      </c>
      <c r="N124">
        <f t="shared" si="5"/>
        <v>7</v>
      </c>
    </row>
    <row r="125" spans="1:14" x14ac:dyDescent="0.35">
      <c r="A125" t="str">
        <f t="shared" si="3"/>
        <v>18097320206_2027</v>
      </c>
      <c r="B125">
        <v>18097320206</v>
      </c>
      <c r="C125">
        <v>2027</v>
      </c>
      <c r="D125">
        <v>-1.648240726479699</v>
      </c>
      <c r="E125">
        <v>1.3952519422962919</v>
      </c>
      <c r="F125">
        <v>9.0382633992558276E-2</v>
      </c>
      <c r="G125">
        <v>0.27252404332626179</v>
      </c>
      <c r="H125">
        <v>-0.94020842560902718</v>
      </c>
      <c r="I125">
        <v>0.37863877572482918</v>
      </c>
      <c r="J125">
        <v>-0.84337929346785956</v>
      </c>
      <c r="M125">
        <f t="shared" si="4"/>
        <v>-1.2950310502166444</v>
      </c>
      <c r="N125">
        <f t="shared" si="5"/>
        <v>7</v>
      </c>
    </row>
    <row r="126" spans="1:14" x14ac:dyDescent="0.35">
      <c r="A126" t="str">
        <f t="shared" si="3"/>
        <v>18097320206_2028</v>
      </c>
      <c r="B126">
        <v>18097320206</v>
      </c>
      <c r="C126">
        <v>2028</v>
      </c>
      <c r="D126">
        <v>-2.6571971280141731</v>
      </c>
      <c r="E126">
        <v>1.2393446281169831</v>
      </c>
      <c r="F126">
        <v>0.14876493621779349</v>
      </c>
      <c r="G126">
        <v>0.233293647183026</v>
      </c>
      <c r="H126">
        <v>-0.77131357994380523</v>
      </c>
      <c r="I126">
        <v>0.32151495230172938</v>
      </c>
      <c r="J126">
        <v>-0.84817547447810271</v>
      </c>
      <c r="M126">
        <f t="shared" si="4"/>
        <v>-2.3337680186165493</v>
      </c>
      <c r="N126">
        <f t="shared" si="5"/>
        <v>7</v>
      </c>
    </row>
    <row r="127" spans="1:14" x14ac:dyDescent="0.35">
      <c r="A127" t="str">
        <f t="shared" si="3"/>
        <v>18097320301_2024</v>
      </c>
      <c r="B127">
        <v>18097320301</v>
      </c>
      <c r="C127">
        <v>2024</v>
      </c>
      <c r="D127">
        <v>0.43347385062074101</v>
      </c>
      <c r="E127">
        <v>0.1208833894824362</v>
      </c>
      <c r="F127">
        <v>-1.1717865020406759</v>
      </c>
      <c r="G127">
        <v>0.1244441358459379</v>
      </c>
      <c r="H127">
        <v>0.20942640983550601</v>
      </c>
      <c r="I127">
        <v>0.13158636209571381</v>
      </c>
      <c r="J127">
        <v>-1.0309158143957791</v>
      </c>
      <c r="K127">
        <v>-4.9478310298230049E-2</v>
      </c>
      <c r="M127">
        <f t="shared" si="4"/>
        <v>-1.2323664788543502</v>
      </c>
      <c r="N127">
        <f t="shared" si="5"/>
        <v>8</v>
      </c>
    </row>
    <row r="128" spans="1:14" x14ac:dyDescent="0.35">
      <c r="A128" t="str">
        <f t="shared" si="3"/>
        <v>18097320301_2025</v>
      </c>
      <c r="B128">
        <v>18097320301</v>
      </c>
      <c r="C128">
        <v>2025</v>
      </c>
      <c r="D128">
        <v>-0.32746410714318303</v>
      </c>
      <c r="E128">
        <v>-0.40970271920298618</v>
      </c>
      <c r="F128">
        <v>0.17971839485577379</v>
      </c>
      <c r="G128">
        <v>-0.85681953592608551</v>
      </c>
      <c r="H128">
        <v>0.15904890497886989</v>
      </c>
      <c r="I128">
        <v>0.32320230478052192</v>
      </c>
      <c r="J128">
        <v>-1.2208455548201109</v>
      </c>
      <c r="K128">
        <v>-0.55633501692306586</v>
      </c>
      <c r="M128">
        <f t="shared" si="4"/>
        <v>-2.7091973294002658</v>
      </c>
      <c r="N128">
        <f t="shared" si="5"/>
        <v>8</v>
      </c>
    </row>
    <row r="129" spans="1:14" x14ac:dyDescent="0.35">
      <c r="A129" t="str">
        <f t="shared" si="3"/>
        <v>18097320301_2026</v>
      </c>
      <c r="B129">
        <v>18097320301</v>
      </c>
      <c r="C129">
        <v>2026</v>
      </c>
      <c r="D129">
        <v>-0.14408785802646809</v>
      </c>
      <c r="E129">
        <v>-4.4337091204100967E-2</v>
      </c>
      <c r="F129">
        <v>-7.9420051027188202E-2</v>
      </c>
      <c r="G129">
        <v>-0.29612138149616291</v>
      </c>
      <c r="H129">
        <v>8.7010665918972455E-2</v>
      </c>
      <c r="I129">
        <v>0.36883933448094242</v>
      </c>
      <c r="J129">
        <v>-1.2872414757850681</v>
      </c>
      <c r="K129">
        <v>-0.62844511951446425</v>
      </c>
      <c r="M129">
        <f t="shared" si="4"/>
        <v>-2.0238029766535375</v>
      </c>
      <c r="N129">
        <f t="shared" si="5"/>
        <v>8</v>
      </c>
    </row>
    <row r="130" spans="1:14" x14ac:dyDescent="0.35">
      <c r="A130" t="str">
        <f t="shared" si="3"/>
        <v>18097320301_2027</v>
      </c>
      <c r="B130">
        <v>18097320301</v>
      </c>
      <c r="C130">
        <v>2027</v>
      </c>
      <c r="D130">
        <v>-4.4646461885315139E-2</v>
      </c>
      <c r="E130">
        <v>-0.22744018104018709</v>
      </c>
      <c r="F130">
        <v>2.18515073238638E-2</v>
      </c>
      <c r="G130">
        <v>-0.59435289759774868</v>
      </c>
      <c r="H130">
        <v>-0.1039065262774629</v>
      </c>
      <c r="I130">
        <v>0.3796896116857344</v>
      </c>
      <c r="J130">
        <v>-1.3035541230677741</v>
      </c>
      <c r="K130">
        <v>-0.57970527583708553</v>
      </c>
      <c r="M130">
        <f t="shared" si="4"/>
        <v>-2.4520643466959751</v>
      </c>
      <c r="N130">
        <f t="shared" si="5"/>
        <v>8</v>
      </c>
    </row>
    <row r="131" spans="1:14" x14ac:dyDescent="0.35">
      <c r="A131" t="str">
        <f t="shared" ref="A131:A194" si="6">TEXT(B131,0)&amp;"_"&amp;TEXT(C131,0)</f>
        <v>18097320301_2028</v>
      </c>
      <c r="B131">
        <v>18097320301</v>
      </c>
      <c r="C131">
        <v>2028</v>
      </c>
      <c r="D131">
        <v>-0.27359560629832902</v>
      </c>
      <c r="E131">
        <v>-9.4449070790235002E-3</v>
      </c>
      <c r="F131">
        <v>3.3148406586598129E-2</v>
      </c>
      <c r="G131">
        <v>-0.45069129579569328</v>
      </c>
      <c r="H131">
        <v>-0.19749658230765049</v>
      </c>
      <c r="I131">
        <v>0.35622886005618992</v>
      </c>
      <c r="J131">
        <v>-1.3068568058612891</v>
      </c>
      <c r="K131">
        <v>-0.56884888135612821</v>
      </c>
      <c r="M131">
        <f t="shared" ref="M131:M194" si="7">SUM(D131:K131)</f>
        <v>-2.4175568120553255</v>
      </c>
      <c r="N131">
        <f t="shared" ref="N131:N194" si="8">IF(D131=0,0,1)+IF(E131=0,0,1)+IF(F131=0,0,1)+IF(G131=0,0,1)+IF(H131=0,0,1)+IF(I131=0,0,1)++IF(J131=0,0,1)++IF(K131=0,0,1)</f>
        <v>8</v>
      </c>
    </row>
    <row r="132" spans="1:14" x14ac:dyDescent="0.35">
      <c r="A132" t="str">
        <f t="shared" si="6"/>
        <v>18097320305_2024</v>
      </c>
      <c r="B132">
        <v>18097320305</v>
      </c>
      <c r="C132">
        <v>2024</v>
      </c>
      <c r="D132">
        <v>0.43350034641772311</v>
      </c>
      <c r="E132">
        <v>-0.71592628266256442</v>
      </c>
      <c r="F132">
        <v>-1.5207651633420971</v>
      </c>
      <c r="G132">
        <v>0.103805758877376</v>
      </c>
      <c r="I132">
        <v>-0.66547421730009781</v>
      </c>
      <c r="J132">
        <v>-1.0309158143957791</v>
      </c>
      <c r="K132">
        <v>-4.9478310298230049E-2</v>
      </c>
      <c r="M132">
        <f t="shared" si="7"/>
        <v>-3.4452536827036693</v>
      </c>
      <c r="N132">
        <f t="shared" si="8"/>
        <v>7</v>
      </c>
    </row>
    <row r="133" spans="1:14" x14ac:dyDescent="0.35">
      <c r="A133" t="str">
        <f t="shared" si="6"/>
        <v>18097320305_2025</v>
      </c>
      <c r="B133">
        <v>18097320305</v>
      </c>
      <c r="C133">
        <v>2025</v>
      </c>
      <c r="D133">
        <v>-0.32744760241034199</v>
      </c>
      <c r="E133">
        <v>-0.21392224023257339</v>
      </c>
      <c r="F133">
        <v>-0.43430346792815899</v>
      </c>
      <c r="G133">
        <v>-4.1645418853817062E-2</v>
      </c>
      <c r="I133">
        <v>-0.90755177480634219</v>
      </c>
      <c r="J133">
        <v>-1.2208455548201109</v>
      </c>
      <c r="K133">
        <v>-0.55633501692306586</v>
      </c>
      <c r="M133">
        <f t="shared" si="7"/>
        <v>-3.7020510759744103</v>
      </c>
      <c r="N133">
        <f t="shared" si="8"/>
        <v>7</v>
      </c>
    </row>
    <row r="134" spans="1:14" x14ac:dyDescent="0.35">
      <c r="A134" t="str">
        <f t="shared" si="6"/>
        <v>18097320305_2026</v>
      </c>
      <c r="B134">
        <v>18097320305</v>
      </c>
      <c r="C134">
        <v>2026</v>
      </c>
      <c r="D134">
        <v>-0.14405269776566609</v>
      </c>
      <c r="E134">
        <v>-1.6146776209481211</v>
      </c>
      <c r="F134">
        <v>-0.45228371939887307</v>
      </c>
      <c r="G134">
        <v>0.24054900331065979</v>
      </c>
      <c r="I134">
        <v>-0.80770916936458537</v>
      </c>
      <c r="J134">
        <v>-1.2872414757850681</v>
      </c>
      <c r="K134">
        <v>-0.62844511951446425</v>
      </c>
      <c r="M134">
        <f t="shared" si="7"/>
        <v>-4.6938607994661181</v>
      </c>
      <c r="N134">
        <f t="shared" si="8"/>
        <v>7</v>
      </c>
    </row>
    <row r="135" spans="1:14" x14ac:dyDescent="0.35">
      <c r="A135" t="str">
        <f t="shared" si="6"/>
        <v>18097320305_2027</v>
      </c>
      <c r="B135">
        <v>18097320305</v>
      </c>
      <c r="C135">
        <v>2027</v>
      </c>
      <c r="D135">
        <v>-4.4620061250253612E-2</v>
      </c>
      <c r="E135">
        <v>-0.1765535321567982</v>
      </c>
      <c r="F135">
        <v>-0.51582660351308118</v>
      </c>
      <c r="G135">
        <v>7.4112419592208351E-2</v>
      </c>
      <c r="I135">
        <v>-0.68430520814355533</v>
      </c>
      <c r="J135">
        <v>-1.3035541230677741</v>
      </c>
      <c r="K135">
        <v>-0.57970527583708553</v>
      </c>
      <c r="M135">
        <f t="shared" si="7"/>
        <v>-3.2304523843763393</v>
      </c>
      <c r="N135">
        <f t="shared" si="8"/>
        <v>7</v>
      </c>
    </row>
    <row r="136" spans="1:14" x14ac:dyDescent="0.35">
      <c r="A136" t="str">
        <f t="shared" si="6"/>
        <v>18097320305_2028</v>
      </c>
      <c r="B136">
        <v>18097320305</v>
      </c>
      <c r="C136">
        <v>2028</v>
      </c>
      <c r="D136">
        <v>-0.2735596963325852</v>
      </c>
      <c r="E136">
        <v>-1.450249109694733</v>
      </c>
      <c r="F136">
        <v>-0.51396224389575473</v>
      </c>
      <c r="G136">
        <v>0.20699271977607159</v>
      </c>
      <c r="I136">
        <v>-0.47570721918932052</v>
      </c>
      <c r="J136">
        <v>-1.3068568058612891</v>
      </c>
      <c r="K136">
        <v>-0.56884888135612821</v>
      </c>
      <c r="M136">
        <f t="shared" si="7"/>
        <v>-4.382191236553739</v>
      </c>
      <c r="N136">
        <f t="shared" si="8"/>
        <v>7</v>
      </c>
    </row>
    <row r="137" spans="1:14" x14ac:dyDescent="0.35">
      <c r="A137" t="str">
        <f t="shared" si="6"/>
        <v>18097320306_2024</v>
      </c>
      <c r="B137">
        <v>18097320306</v>
      </c>
      <c r="C137">
        <v>2024</v>
      </c>
      <c r="D137">
        <v>0.43350289190170588</v>
      </c>
      <c r="E137">
        <v>-0.27964085320580168</v>
      </c>
      <c r="F137">
        <v>0.49778694659122141</v>
      </c>
      <c r="G137">
        <v>0.137018595771464</v>
      </c>
      <c r="I137">
        <v>0.40936298299991092</v>
      </c>
      <c r="J137">
        <v>-1.0309158143957791</v>
      </c>
      <c r="K137">
        <v>-4.9478310298230049E-2</v>
      </c>
      <c r="M137">
        <f t="shared" si="7"/>
        <v>0.11763643936449139</v>
      </c>
      <c r="N137">
        <f t="shared" si="8"/>
        <v>7</v>
      </c>
    </row>
    <row r="138" spans="1:14" x14ac:dyDescent="0.35">
      <c r="A138" t="str">
        <f t="shared" si="6"/>
        <v>18097320306_2025</v>
      </c>
      <c r="B138">
        <v>18097320306</v>
      </c>
      <c r="C138">
        <v>2025</v>
      </c>
      <c r="D138">
        <v>-0.32745197091184391</v>
      </c>
      <c r="E138">
        <v>-0.110460053589302</v>
      </c>
      <c r="F138">
        <v>0.47402337769894071</v>
      </c>
      <c r="G138">
        <v>-0.14048201702767771</v>
      </c>
      <c r="I138">
        <v>-0.21645229944821751</v>
      </c>
      <c r="J138">
        <v>-1.2208455548201109</v>
      </c>
      <c r="K138">
        <v>-0.55633501692306586</v>
      </c>
      <c r="M138">
        <f t="shared" si="7"/>
        <v>-2.0980035350212773</v>
      </c>
      <c r="N138">
        <f t="shared" si="8"/>
        <v>7</v>
      </c>
    </row>
    <row r="139" spans="1:14" x14ac:dyDescent="0.35">
      <c r="A139" t="str">
        <f t="shared" si="6"/>
        <v>18097320306_2026</v>
      </c>
      <c r="B139">
        <v>18097320306</v>
      </c>
      <c r="C139">
        <v>2026</v>
      </c>
      <c r="D139">
        <v>-0.14405039286074309</v>
      </c>
      <c r="E139">
        <v>-0.43316643207585792</v>
      </c>
      <c r="F139">
        <v>0.52245172052142763</v>
      </c>
      <c r="G139">
        <v>-5.3299318725348217E-2</v>
      </c>
      <c r="I139">
        <v>0.35938413194553448</v>
      </c>
      <c r="J139">
        <v>-1.2872414757850681</v>
      </c>
      <c r="K139">
        <v>-0.62844511951446425</v>
      </c>
      <c r="M139">
        <f t="shared" si="7"/>
        <v>-1.6643668864945194</v>
      </c>
      <c r="N139">
        <f t="shared" si="8"/>
        <v>7</v>
      </c>
    </row>
    <row r="140" spans="1:14" x14ac:dyDescent="0.35">
      <c r="A140" t="str">
        <f t="shared" si="6"/>
        <v>18097320306_2027</v>
      </c>
      <c r="B140">
        <v>18097320306</v>
      </c>
      <c r="C140">
        <v>2027</v>
      </c>
      <c r="D140">
        <v>-4.4622756359236598E-2</v>
      </c>
      <c r="E140">
        <v>-0.17000477450432741</v>
      </c>
      <c r="F140">
        <v>0.60252686575903169</v>
      </c>
      <c r="G140">
        <v>-4.1957919723940938E-2</v>
      </c>
      <c r="I140">
        <v>6.0644107772902467E-2</v>
      </c>
      <c r="J140">
        <v>-1.3035541230677741</v>
      </c>
      <c r="K140">
        <v>-0.57970527583708553</v>
      </c>
      <c r="M140">
        <f t="shared" si="7"/>
        <v>-1.4766738759604303</v>
      </c>
      <c r="N140">
        <f t="shared" si="8"/>
        <v>7</v>
      </c>
    </row>
    <row r="141" spans="1:14" x14ac:dyDescent="0.35">
      <c r="A141" t="str">
        <f t="shared" si="6"/>
        <v>18097320306_2028</v>
      </c>
      <c r="B141">
        <v>18097320306</v>
      </c>
      <c r="C141">
        <v>2028</v>
      </c>
      <c r="D141">
        <v>-0.27355965725324383</v>
      </c>
      <c r="E141">
        <v>-0.21308344534179249</v>
      </c>
      <c r="F141">
        <v>0.70865611797321393</v>
      </c>
      <c r="G141">
        <v>-5.4237397782948768E-2</v>
      </c>
      <c r="I141">
        <v>0.27303919400784032</v>
      </c>
      <c r="J141">
        <v>-1.3068568058612891</v>
      </c>
      <c r="K141">
        <v>-0.56884888135612821</v>
      </c>
      <c r="M141">
        <f t="shared" si="7"/>
        <v>-1.4348908756143479</v>
      </c>
      <c r="N141">
        <f t="shared" si="8"/>
        <v>7</v>
      </c>
    </row>
    <row r="142" spans="1:14" x14ac:dyDescent="0.35">
      <c r="A142" t="str">
        <f t="shared" si="6"/>
        <v>18097320400_2024</v>
      </c>
      <c r="B142">
        <v>18097320400</v>
      </c>
      <c r="C142">
        <v>2024</v>
      </c>
      <c r="D142">
        <v>0.43348654454790642</v>
      </c>
      <c r="E142">
        <v>0.19817479612947109</v>
      </c>
      <c r="F142">
        <v>-1.1384208455974879E-2</v>
      </c>
      <c r="G142">
        <v>0.19193901509016559</v>
      </c>
      <c r="H142">
        <v>0.80295177016782804</v>
      </c>
      <c r="I142">
        <v>-0.15275637850382581</v>
      </c>
      <c r="J142">
        <v>-1.0309158143957791</v>
      </c>
      <c r="K142">
        <v>-4.9478310298230049E-2</v>
      </c>
      <c r="M142">
        <f t="shared" si="7"/>
        <v>0.38201741428156122</v>
      </c>
      <c r="N142">
        <f t="shared" si="8"/>
        <v>8</v>
      </c>
    </row>
    <row r="143" spans="1:14" x14ac:dyDescent="0.35">
      <c r="A143" t="str">
        <f t="shared" si="6"/>
        <v>18097320400_2025</v>
      </c>
      <c r="B143">
        <v>18097320400</v>
      </c>
      <c r="C143">
        <v>2025</v>
      </c>
      <c r="D143">
        <v>-0.32742401603223231</v>
      </c>
      <c r="E143">
        <v>0.2416717689888746</v>
      </c>
      <c r="F143">
        <v>7.8328701395823749E-2</v>
      </c>
      <c r="G143">
        <v>0.53226980486899855</v>
      </c>
      <c r="H143">
        <v>-0.21928852291299489</v>
      </c>
      <c r="I143">
        <v>0.40229281701248731</v>
      </c>
      <c r="J143">
        <v>-1.2208455548201109</v>
      </c>
      <c r="K143">
        <v>-0.55633501692306586</v>
      </c>
      <c r="M143">
        <f t="shared" si="7"/>
        <v>-1.0693300184222199</v>
      </c>
      <c r="N143">
        <f t="shared" si="8"/>
        <v>8</v>
      </c>
    </row>
    <row r="144" spans="1:14" x14ac:dyDescent="0.35">
      <c r="A144" t="str">
        <f t="shared" si="6"/>
        <v>18097320400_2026</v>
      </c>
      <c r="B144">
        <v>18097320400</v>
      </c>
      <c r="C144">
        <v>2026</v>
      </c>
      <c r="D144">
        <v>-0.1440652129983456</v>
      </c>
      <c r="E144">
        <v>0.33106855862063173</v>
      </c>
      <c r="F144">
        <v>7.0155797129714856E-2</v>
      </c>
      <c r="G144">
        <v>0.4894229925618877</v>
      </c>
      <c r="H144">
        <v>-0.1429219571872713</v>
      </c>
      <c r="I144">
        <v>0.21445173876830459</v>
      </c>
      <c r="J144">
        <v>-1.2872414757850681</v>
      </c>
      <c r="K144">
        <v>-0.62844511951446425</v>
      </c>
      <c r="M144">
        <f t="shared" si="7"/>
        <v>-1.0975746784046105</v>
      </c>
      <c r="N144">
        <f t="shared" si="8"/>
        <v>8</v>
      </c>
    </row>
    <row r="145" spans="1:14" x14ac:dyDescent="0.35">
      <c r="A145" t="str">
        <f t="shared" si="6"/>
        <v>18097320400_2027</v>
      </c>
      <c r="B145">
        <v>18097320400</v>
      </c>
      <c r="C145">
        <v>2027</v>
      </c>
      <c r="D145">
        <v>-4.460553610783189E-2</v>
      </c>
      <c r="E145">
        <v>0.32707303868090559</v>
      </c>
      <c r="F145">
        <v>8.7544943437299932E-2</v>
      </c>
      <c r="G145">
        <v>0.61567055664996551</v>
      </c>
      <c r="H145">
        <v>-0.28818226165199162</v>
      </c>
      <c r="I145">
        <v>0.3118568497921192</v>
      </c>
      <c r="J145">
        <v>-1.3035541230677741</v>
      </c>
      <c r="K145">
        <v>-0.57970527583708553</v>
      </c>
      <c r="M145">
        <f t="shared" si="7"/>
        <v>-0.87390180810439277</v>
      </c>
      <c r="N145">
        <f t="shared" si="8"/>
        <v>8</v>
      </c>
    </row>
    <row r="146" spans="1:14" x14ac:dyDescent="0.35">
      <c r="A146" t="str">
        <f t="shared" si="6"/>
        <v>18097320400_2028</v>
      </c>
      <c r="B146">
        <v>18097320400</v>
      </c>
      <c r="C146">
        <v>2028</v>
      </c>
      <c r="D146">
        <v>-0.27355996535133059</v>
      </c>
      <c r="E146">
        <v>0.37144743163528432</v>
      </c>
      <c r="F146">
        <v>0.14513195144737681</v>
      </c>
      <c r="G146">
        <v>0.5520110701572446</v>
      </c>
      <c r="H146">
        <v>-0.33107718726818691</v>
      </c>
      <c r="I146">
        <v>0.28192615700403562</v>
      </c>
      <c r="J146">
        <v>-1.3068568058612891</v>
      </c>
      <c r="K146">
        <v>-0.56884888135612821</v>
      </c>
      <c r="M146">
        <f t="shared" si="7"/>
        <v>-1.1298262295929935</v>
      </c>
      <c r="N146">
        <f t="shared" si="8"/>
        <v>8</v>
      </c>
    </row>
    <row r="147" spans="1:14" x14ac:dyDescent="0.35">
      <c r="A147" t="str">
        <f t="shared" si="6"/>
        <v>18097320500_2024</v>
      </c>
      <c r="B147">
        <v>18097320500</v>
      </c>
      <c r="C147">
        <v>2024</v>
      </c>
      <c r="D147">
        <v>0.43346080390100739</v>
      </c>
      <c r="E147">
        <v>-0.41788523355183599</v>
      </c>
      <c r="F147">
        <v>6.7037832612009449E-2</v>
      </c>
      <c r="G147">
        <v>1.1837623184235879</v>
      </c>
      <c r="H147">
        <v>-2.7049231433403351E-2</v>
      </c>
      <c r="I147">
        <v>0.20697665818357491</v>
      </c>
      <c r="J147">
        <v>-1.0309158143957791</v>
      </c>
      <c r="K147">
        <v>-4.9478310298230049E-2</v>
      </c>
      <c r="M147">
        <f t="shared" si="7"/>
        <v>0.36590902344093112</v>
      </c>
      <c r="N147">
        <f t="shared" si="8"/>
        <v>8</v>
      </c>
    </row>
    <row r="148" spans="1:14" x14ac:dyDescent="0.35">
      <c r="A148" t="str">
        <f t="shared" si="6"/>
        <v>18097320500_2025</v>
      </c>
      <c r="B148">
        <v>18097320500</v>
      </c>
      <c r="C148">
        <v>2025</v>
      </c>
      <c r="D148">
        <v>-0.32744165555820143</v>
      </c>
      <c r="E148">
        <v>0.25349223589672371</v>
      </c>
      <c r="F148">
        <v>0.44683751651692982</v>
      </c>
      <c r="G148">
        <v>0.99047325033601841</v>
      </c>
      <c r="H148">
        <v>-0.61194852715228309</v>
      </c>
      <c r="I148">
        <v>0.40398708261481392</v>
      </c>
      <c r="J148">
        <v>-1.2208455548201109</v>
      </c>
      <c r="K148">
        <v>-0.55633501692306586</v>
      </c>
      <c r="M148">
        <f t="shared" si="7"/>
        <v>-0.6217806690891754</v>
      </c>
      <c r="N148">
        <f t="shared" si="8"/>
        <v>8</v>
      </c>
    </row>
    <row r="149" spans="1:14" x14ac:dyDescent="0.35">
      <c r="A149" t="str">
        <f t="shared" si="6"/>
        <v>18097320500_2026</v>
      </c>
      <c r="B149">
        <v>18097320500</v>
      </c>
      <c r="C149">
        <v>2026</v>
      </c>
      <c r="D149">
        <v>-0.1440996604337057</v>
      </c>
      <c r="E149">
        <v>-0.57131473228571805</v>
      </c>
      <c r="F149">
        <v>0.49526853976391583</v>
      </c>
      <c r="G149">
        <v>9.5298815463445485E-2</v>
      </c>
      <c r="H149">
        <v>-0.45948045682243588</v>
      </c>
      <c r="I149">
        <v>0.41978278656544887</v>
      </c>
      <c r="J149">
        <v>-1.2872414757850681</v>
      </c>
      <c r="K149">
        <v>-0.62844511951446425</v>
      </c>
      <c r="M149">
        <f t="shared" si="7"/>
        <v>-2.0802313030485817</v>
      </c>
      <c r="N149">
        <f t="shared" si="8"/>
        <v>8</v>
      </c>
    </row>
    <row r="150" spans="1:14" x14ac:dyDescent="0.35">
      <c r="A150" t="str">
        <f t="shared" si="6"/>
        <v>18097320500_2027</v>
      </c>
      <c r="B150">
        <v>18097320500</v>
      </c>
      <c r="C150">
        <v>2027</v>
      </c>
      <c r="D150">
        <v>-4.4632594676406109E-2</v>
      </c>
      <c r="E150">
        <v>9.2026797115267595E-2</v>
      </c>
      <c r="F150">
        <v>0.57132392329986337</v>
      </c>
      <c r="G150">
        <v>0.73441311750156812</v>
      </c>
      <c r="H150">
        <v>-0.53877581564639332</v>
      </c>
      <c r="I150">
        <v>0.40826316176007449</v>
      </c>
      <c r="J150">
        <v>-1.3035541230677741</v>
      </c>
      <c r="K150">
        <v>-0.57970527583708553</v>
      </c>
      <c r="M150">
        <f t="shared" si="7"/>
        <v>-0.66064080955088533</v>
      </c>
      <c r="N150">
        <f t="shared" si="8"/>
        <v>8</v>
      </c>
    </row>
    <row r="151" spans="1:14" x14ac:dyDescent="0.35">
      <c r="A151" t="str">
        <f t="shared" si="6"/>
        <v>18097320500_2028</v>
      </c>
      <c r="B151">
        <v>18097320500</v>
      </c>
      <c r="C151">
        <v>2028</v>
      </c>
      <c r="D151">
        <v>-0.27359577139476182</v>
      </c>
      <c r="E151">
        <v>-0.25029920700138092</v>
      </c>
      <c r="F151">
        <v>0.6745459539000126</v>
      </c>
      <c r="G151">
        <v>0.33421252853666111</v>
      </c>
      <c r="H151">
        <v>-0.50600370048960575</v>
      </c>
      <c r="I151">
        <v>0.37291412197045898</v>
      </c>
      <c r="J151">
        <v>-1.3068568058612891</v>
      </c>
      <c r="K151">
        <v>-0.56884888135612821</v>
      </c>
      <c r="M151">
        <f t="shared" si="7"/>
        <v>-1.5239317616960331</v>
      </c>
      <c r="N151">
        <f t="shared" si="8"/>
        <v>8</v>
      </c>
    </row>
    <row r="152" spans="1:14" x14ac:dyDescent="0.35">
      <c r="A152" t="str">
        <f t="shared" si="6"/>
        <v>18097320600_2024</v>
      </c>
      <c r="B152">
        <v>18097320600</v>
      </c>
      <c r="C152">
        <v>2024</v>
      </c>
      <c r="D152">
        <v>0.43348863098049722</v>
      </c>
      <c r="E152">
        <v>-1.363690853678012E-2</v>
      </c>
      <c r="F152">
        <v>-0.88076287320479552</v>
      </c>
      <c r="G152">
        <v>-0.31440370507185861</v>
      </c>
      <c r="H152">
        <v>5.8611660399545597E-3</v>
      </c>
      <c r="I152">
        <v>-0.27130654194257692</v>
      </c>
      <c r="J152">
        <v>-1.0309158143957791</v>
      </c>
      <c r="K152">
        <v>-4.9478310298230049E-2</v>
      </c>
      <c r="M152">
        <f t="shared" si="7"/>
        <v>-2.1211543564295683</v>
      </c>
      <c r="N152">
        <f t="shared" si="8"/>
        <v>8</v>
      </c>
    </row>
    <row r="153" spans="1:14" x14ac:dyDescent="0.35">
      <c r="A153" t="str">
        <f t="shared" si="6"/>
        <v>18097320600_2025</v>
      </c>
      <c r="B153">
        <v>18097320600</v>
      </c>
      <c r="C153">
        <v>2025</v>
      </c>
      <c r="D153">
        <v>-0.32742758143833067</v>
      </c>
      <c r="E153">
        <v>-0.17238672887098211</v>
      </c>
      <c r="F153">
        <v>-0.36026496401235347</v>
      </c>
      <c r="G153">
        <v>-0.22851027804532159</v>
      </c>
      <c r="H153">
        <v>-0.40835133288345232</v>
      </c>
      <c r="I153">
        <v>-0.14383845372556259</v>
      </c>
      <c r="J153">
        <v>-1.2208455548201109</v>
      </c>
      <c r="K153">
        <v>-0.55633501692306586</v>
      </c>
      <c r="M153">
        <f t="shared" si="7"/>
        <v>-3.4179599107191794</v>
      </c>
      <c r="N153">
        <f t="shared" si="8"/>
        <v>8</v>
      </c>
    </row>
    <row r="154" spans="1:14" x14ac:dyDescent="0.35">
      <c r="A154" t="str">
        <f t="shared" si="6"/>
        <v>18097320600_2026</v>
      </c>
      <c r="B154">
        <v>18097320600</v>
      </c>
      <c r="C154">
        <v>2026</v>
      </c>
      <c r="D154">
        <v>-0.1440633210640917</v>
      </c>
      <c r="E154">
        <v>-0.1039186292329294</v>
      </c>
      <c r="F154">
        <v>-0.48833057043093347</v>
      </c>
      <c r="G154">
        <v>-0.42900356547491258</v>
      </c>
      <c r="H154">
        <v>-0.29082201830643323</v>
      </c>
      <c r="I154">
        <v>-9.6186957175387555E-2</v>
      </c>
      <c r="J154">
        <v>-1.2872414757850681</v>
      </c>
      <c r="K154">
        <v>-0.62844511951446425</v>
      </c>
      <c r="M154">
        <f t="shared" si="7"/>
        <v>-3.4680116569842205</v>
      </c>
      <c r="N154">
        <f t="shared" si="8"/>
        <v>8</v>
      </c>
    </row>
    <row r="155" spans="1:14" x14ac:dyDescent="0.35">
      <c r="A155" t="str">
        <f t="shared" si="6"/>
        <v>18097320600_2027</v>
      </c>
      <c r="B155">
        <v>18097320600</v>
      </c>
      <c r="C155">
        <v>2027</v>
      </c>
      <c r="D155">
        <v>-4.4607731734317257E-2</v>
      </c>
      <c r="E155">
        <v>-8.8962650238319105E-2</v>
      </c>
      <c r="F155">
        <v>-0.51899955121032881</v>
      </c>
      <c r="G155">
        <v>-0.37025743098788411</v>
      </c>
      <c r="H155">
        <v>-0.40412431927887099</v>
      </c>
      <c r="I155">
        <v>-5.1386292984175897E-3</v>
      </c>
      <c r="J155">
        <v>-1.3035541230677741</v>
      </c>
      <c r="K155">
        <v>-0.57970527583708553</v>
      </c>
      <c r="M155">
        <f t="shared" si="7"/>
        <v>-3.3153497116529973</v>
      </c>
      <c r="N155">
        <f t="shared" si="8"/>
        <v>8</v>
      </c>
    </row>
    <row r="156" spans="1:14" x14ac:dyDescent="0.35">
      <c r="A156" t="str">
        <f t="shared" si="6"/>
        <v>18097320600_2028</v>
      </c>
      <c r="B156">
        <v>18097320600</v>
      </c>
      <c r="C156">
        <v>2028</v>
      </c>
      <c r="D156">
        <v>-0.27355992461769851</v>
      </c>
      <c r="E156">
        <v>3.0742852551685598E-3</v>
      </c>
      <c r="F156">
        <v>-0.52951823135139653</v>
      </c>
      <c r="G156">
        <v>-0.39631393599949571</v>
      </c>
      <c r="H156">
        <v>-0.41467655009375848</v>
      </c>
      <c r="I156">
        <v>6.2176216582336907E-2</v>
      </c>
      <c r="J156">
        <v>-1.3068568058612891</v>
      </c>
      <c r="K156">
        <v>-0.56884888135612821</v>
      </c>
      <c r="M156">
        <f t="shared" si="7"/>
        <v>-3.4245238274422611</v>
      </c>
      <c r="N156">
        <f t="shared" si="8"/>
        <v>8</v>
      </c>
    </row>
    <row r="157" spans="1:14" x14ac:dyDescent="0.35">
      <c r="A157" t="str">
        <f t="shared" si="6"/>
        <v>18097320700_2024</v>
      </c>
      <c r="B157">
        <v>18097320700</v>
      </c>
      <c r="C157">
        <v>2024</v>
      </c>
      <c r="D157">
        <v>0.43343839230102083</v>
      </c>
      <c r="E157">
        <v>-7.6617771456975303E-3</v>
      </c>
      <c r="F157">
        <v>-1.620782601867243E-2</v>
      </c>
      <c r="G157">
        <v>0.1312750728174335</v>
      </c>
      <c r="H157">
        <v>-0.38941222593199282</v>
      </c>
      <c r="I157">
        <v>-0.21633935436055221</v>
      </c>
      <c r="J157">
        <v>-1.0310738620441759</v>
      </c>
      <c r="K157">
        <v>-4.7240695813518391E-2</v>
      </c>
      <c r="M157">
        <f t="shared" si="7"/>
        <v>-1.143222276196155</v>
      </c>
      <c r="N157">
        <f t="shared" si="8"/>
        <v>8</v>
      </c>
    </row>
    <row r="158" spans="1:14" x14ac:dyDescent="0.35">
      <c r="A158" t="str">
        <f t="shared" si="6"/>
        <v>18097320700_2025</v>
      </c>
      <c r="B158">
        <v>18097320700</v>
      </c>
      <c r="C158">
        <v>2025</v>
      </c>
      <c r="D158">
        <v>-0.32677897550218032</v>
      </c>
      <c r="E158">
        <v>0.14549597156244409</v>
      </c>
      <c r="F158">
        <v>0.31015133892380797</v>
      </c>
      <c r="G158">
        <v>0.49654890219554892</v>
      </c>
      <c r="H158">
        <v>-1.473312388861624</v>
      </c>
      <c r="I158">
        <v>-4.4912334119962E-3</v>
      </c>
      <c r="J158">
        <v>-1.2208322928377691</v>
      </c>
      <c r="K158">
        <v>-0.5527809119427175</v>
      </c>
      <c r="M158">
        <f t="shared" si="7"/>
        <v>-2.6259995898744859</v>
      </c>
      <c r="N158">
        <f t="shared" si="8"/>
        <v>8</v>
      </c>
    </row>
    <row r="159" spans="1:14" x14ac:dyDescent="0.35">
      <c r="A159" t="str">
        <f t="shared" si="6"/>
        <v>18097320700_2026</v>
      </c>
      <c r="B159">
        <v>18097320700</v>
      </c>
      <c r="C159">
        <v>2026</v>
      </c>
      <c r="D159">
        <v>-0.14387957740950599</v>
      </c>
      <c r="E159">
        <v>8.1263242384528256E-2</v>
      </c>
      <c r="F159">
        <v>0.1914488723390052</v>
      </c>
      <c r="G159">
        <v>0.42862427703058598</v>
      </c>
      <c r="H159">
        <v>-0.83699724388218988</v>
      </c>
      <c r="I159">
        <v>0.120946052398561</v>
      </c>
      <c r="J159">
        <v>-1.2871892521728581</v>
      </c>
      <c r="K159">
        <v>-0.62624160875181045</v>
      </c>
      <c r="M159">
        <f t="shared" si="7"/>
        <v>-2.0720252380636839</v>
      </c>
      <c r="N159">
        <f t="shared" si="8"/>
        <v>8</v>
      </c>
    </row>
    <row r="160" spans="1:14" x14ac:dyDescent="0.35">
      <c r="A160" t="str">
        <f t="shared" si="6"/>
        <v>18097320700_2027</v>
      </c>
      <c r="B160">
        <v>18097320700</v>
      </c>
      <c r="C160">
        <v>2027</v>
      </c>
      <c r="D160">
        <v>-4.4045391617021083E-2</v>
      </c>
      <c r="E160">
        <v>0.15304290283886271</v>
      </c>
      <c r="F160">
        <v>0.14115669770974501</v>
      </c>
      <c r="G160">
        <v>0.54763307182064047</v>
      </c>
      <c r="H160">
        <v>-0.69634166683240395</v>
      </c>
      <c r="I160">
        <v>0.21473734354418039</v>
      </c>
      <c r="J160">
        <v>-1.3034969740480931</v>
      </c>
      <c r="K160">
        <v>-0.57795616782865988</v>
      </c>
      <c r="M160">
        <f t="shared" si="7"/>
        <v>-1.5652701844127495</v>
      </c>
      <c r="N160">
        <f t="shared" si="8"/>
        <v>8</v>
      </c>
    </row>
    <row r="161" spans="1:14" x14ac:dyDescent="0.35">
      <c r="A161" t="str">
        <f t="shared" si="6"/>
        <v>18097320700_2028</v>
      </c>
      <c r="B161">
        <v>18097320700</v>
      </c>
      <c r="C161">
        <v>2028</v>
      </c>
      <c r="D161">
        <v>-0.27313857818745391</v>
      </c>
      <c r="E161">
        <v>0.1955344700184099</v>
      </c>
      <c r="F161">
        <v>0.16340554219405079</v>
      </c>
      <c r="G161">
        <v>0.48827465979782542</v>
      </c>
      <c r="H161">
        <v>-0.55338435031432909</v>
      </c>
      <c r="I161">
        <v>0.2489011660467228</v>
      </c>
      <c r="J161">
        <v>-1.3067994762115971</v>
      </c>
      <c r="K161">
        <v>-0.5672682515804558</v>
      </c>
      <c r="M161">
        <f t="shared" si="7"/>
        <v>-1.6044748182368269</v>
      </c>
      <c r="N161">
        <f t="shared" si="8"/>
        <v>8</v>
      </c>
    </row>
    <row r="162" spans="1:14" x14ac:dyDescent="0.35">
      <c r="A162" t="str">
        <f t="shared" si="6"/>
        <v>18097320800_2024</v>
      </c>
      <c r="B162">
        <v>18097320800</v>
      </c>
      <c r="C162">
        <v>2024</v>
      </c>
      <c r="D162">
        <v>5.0967432320202448E-2</v>
      </c>
      <c r="E162">
        <v>-0.16240493026267469</v>
      </c>
      <c r="F162">
        <v>-1.61200350383367</v>
      </c>
      <c r="G162">
        <v>1.7092737656166899E-3</v>
      </c>
      <c r="H162">
        <v>-3.7396339574985303E-2</v>
      </c>
      <c r="I162">
        <v>0.1699306763607247</v>
      </c>
      <c r="J162">
        <v>-1.152098193670531</v>
      </c>
      <c r="K162">
        <v>-7.031023995814655</v>
      </c>
      <c r="M162">
        <f t="shared" si="7"/>
        <v>-9.7723195807099721</v>
      </c>
      <c r="N162">
        <f t="shared" si="8"/>
        <v>8</v>
      </c>
    </row>
    <row r="163" spans="1:14" x14ac:dyDescent="0.35">
      <c r="A163" t="str">
        <f t="shared" si="6"/>
        <v>18097320800_2025</v>
      </c>
      <c r="B163">
        <v>18097320800</v>
      </c>
      <c r="C163">
        <v>2025</v>
      </c>
      <c r="D163">
        <v>1.2464113149466289</v>
      </c>
      <c r="E163">
        <v>0.22468011476787</v>
      </c>
      <c r="F163">
        <v>0.47127289753171508</v>
      </c>
      <c r="G163">
        <v>0.1742317929343738</v>
      </c>
      <c r="H163">
        <v>-0.44848039121209787</v>
      </c>
      <c r="I163">
        <v>0.33186680421283538</v>
      </c>
      <c r="J163">
        <v>-1.208949246681609</v>
      </c>
      <c r="K163">
        <v>-0.28405095195380992</v>
      </c>
      <c r="M163">
        <f t="shared" si="7"/>
        <v>0.5069823345459068</v>
      </c>
      <c r="N163">
        <f t="shared" si="8"/>
        <v>8</v>
      </c>
    </row>
    <row r="164" spans="1:14" x14ac:dyDescent="0.35">
      <c r="A164" t="str">
        <f t="shared" si="6"/>
        <v>18097320800_2026</v>
      </c>
      <c r="B164">
        <v>18097320800</v>
      </c>
      <c r="C164">
        <v>2026</v>
      </c>
      <c r="D164">
        <v>0.32088244497494639</v>
      </c>
      <c r="E164">
        <v>-0.3620761852999293</v>
      </c>
      <c r="F164">
        <v>0.46485232471558569</v>
      </c>
      <c r="G164">
        <v>0.1210853779577836</v>
      </c>
      <c r="H164">
        <v>-0.29095696866330673</v>
      </c>
      <c r="I164">
        <v>0.3594222628013839</v>
      </c>
      <c r="J164">
        <v>-1.2168158943203859</v>
      </c>
      <c r="K164">
        <v>-0.43545076409646882</v>
      </c>
      <c r="M164">
        <f t="shared" si="7"/>
        <v>-1.0390574019303913</v>
      </c>
      <c r="N164">
        <f t="shared" si="8"/>
        <v>8</v>
      </c>
    </row>
    <row r="165" spans="1:14" x14ac:dyDescent="0.35">
      <c r="A165" t="str">
        <f t="shared" si="6"/>
        <v>18097320800_2027</v>
      </c>
      <c r="B165">
        <v>18097320800</v>
      </c>
      <c r="C165">
        <v>2027</v>
      </c>
      <c r="D165">
        <v>1.1308892398202</v>
      </c>
      <c r="E165">
        <v>0.27287427016278398</v>
      </c>
      <c r="F165">
        <v>0.54323743636773436</v>
      </c>
      <c r="G165">
        <v>0.18967604596975049</v>
      </c>
      <c r="H165">
        <v>-0.39716445461356897</v>
      </c>
      <c r="I165">
        <v>0.36548951539598129</v>
      </c>
      <c r="J165">
        <v>-1.2185452329469091</v>
      </c>
      <c r="K165">
        <v>-0.43092232053656498</v>
      </c>
      <c r="M165">
        <f t="shared" si="7"/>
        <v>0.45553449961940695</v>
      </c>
      <c r="N165">
        <f t="shared" si="8"/>
        <v>8</v>
      </c>
    </row>
    <row r="166" spans="1:14" x14ac:dyDescent="0.35">
      <c r="A166" t="str">
        <f t="shared" si="6"/>
        <v>18097320800_2028</v>
      </c>
      <c r="B166">
        <v>18097320800</v>
      </c>
      <c r="C166">
        <v>2028</v>
      </c>
      <c r="D166">
        <v>0.74634206528090519</v>
      </c>
      <c r="E166">
        <v>-0.18301286065585171</v>
      </c>
      <c r="F166">
        <v>0.64304217476121295</v>
      </c>
      <c r="G166">
        <v>0.15580932452780921</v>
      </c>
      <c r="H166">
        <v>-0.40850128821575338</v>
      </c>
      <c r="I166">
        <v>0.34337423114333648</v>
      </c>
      <c r="J166">
        <v>-1.218924902878654</v>
      </c>
      <c r="K166">
        <v>-0.44673461906615569</v>
      </c>
      <c r="M166">
        <f t="shared" si="7"/>
        <v>-0.36860587510315096</v>
      </c>
      <c r="N166">
        <f t="shared" si="8"/>
        <v>8</v>
      </c>
    </row>
    <row r="167" spans="1:14" x14ac:dyDescent="0.35">
      <c r="A167" t="str">
        <f t="shared" si="6"/>
        <v>18097320901_2024</v>
      </c>
      <c r="B167">
        <v>18097320901</v>
      </c>
      <c r="C167">
        <v>2024</v>
      </c>
      <c r="D167">
        <v>-9.6996379266701335E-2</v>
      </c>
      <c r="E167">
        <v>-0.58657872446283377</v>
      </c>
      <c r="F167">
        <v>-0.58816570890429021</v>
      </c>
      <c r="G167">
        <v>7.5776009736519184E-2</v>
      </c>
      <c r="H167">
        <v>-0.29091291148587189</v>
      </c>
      <c r="I167">
        <v>7.6646052402907533E-2</v>
      </c>
      <c r="J167">
        <v>-1.153068820969386</v>
      </c>
      <c r="M167">
        <f t="shared" si="7"/>
        <v>-2.5633004829496566</v>
      </c>
      <c r="N167">
        <f t="shared" si="8"/>
        <v>7</v>
      </c>
    </row>
    <row r="168" spans="1:14" x14ac:dyDescent="0.35">
      <c r="A168" t="str">
        <f t="shared" si="6"/>
        <v>18097320901_2025</v>
      </c>
      <c r="B168">
        <v>18097320901</v>
      </c>
      <c r="C168">
        <v>2025</v>
      </c>
      <c r="D168">
        <v>1.526526277874541</v>
      </c>
      <c r="E168">
        <v>-1.1453626177547871</v>
      </c>
      <c r="F168">
        <v>-4.0567198362508043E-2</v>
      </c>
      <c r="G168">
        <v>0.35988438564810482</v>
      </c>
      <c r="H168">
        <v>0.27996752929137009</v>
      </c>
      <c r="I168">
        <v>5.5151960012616623E-2</v>
      </c>
      <c r="J168">
        <v>-1.2051154907695041</v>
      </c>
      <c r="M168">
        <f t="shared" si="7"/>
        <v>-0.16951515406016671</v>
      </c>
      <c r="N168">
        <f t="shared" si="8"/>
        <v>7</v>
      </c>
    </row>
    <row r="169" spans="1:14" x14ac:dyDescent="0.35">
      <c r="A169" t="str">
        <f t="shared" si="6"/>
        <v>18097320901_2026</v>
      </c>
      <c r="B169">
        <v>18097320901</v>
      </c>
      <c r="C169">
        <v>2026</v>
      </c>
      <c r="D169">
        <v>0.45963154483318691</v>
      </c>
      <c r="E169">
        <v>-1.060044706957616</v>
      </c>
      <c r="F169">
        <v>0.27765424497681279</v>
      </c>
      <c r="G169">
        <v>0.30380066003826389</v>
      </c>
      <c r="H169">
        <v>-0.56790980097621979</v>
      </c>
      <c r="I169">
        <v>0.1201445919323476</v>
      </c>
      <c r="J169">
        <v>-1.2079545580963129</v>
      </c>
      <c r="M169">
        <f t="shared" si="7"/>
        <v>-1.6746780242495376</v>
      </c>
      <c r="N169">
        <f t="shared" si="8"/>
        <v>7</v>
      </c>
    </row>
    <row r="170" spans="1:14" x14ac:dyDescent="0.35">
      <c r="A170" t="str">
        <f t="shared" si="6"/>
        <v>18097320901_2027</v>
      </c>
      <c r="B170">
        <v>18097320901</v>
      </c>
      <c r="C170">
        <v>2027</v>
      </c>
      <c r="D170">
        <v>1.3191052120763891</v>
      </c>
      <c r="E170">
        <v>-0.96600080070759076</v>
      </c>
      <c r="F170">
        <v>0.19344643873407391</v>
      </c>
      <c r="G170">
        <v>0.402670993498567</v>
      </c>
      <c r="H170">
        <v>-0.29750874258516619</v>
      </c>
      <c r="I170">
        <v>0.16232775657194731</v>
      </c>
      <c r="J170">
        <v>-1.2077411088438921</v>
      </c>
      <c r="M170">
        <f t="shared" si="7"/>
        <v>-0.39370025125567165</v>
      </c>
      <c r="N170">
        <f t="shared" si="8"/>
        <v>7</v>
      </c>
    </row>
    <row r="171" spans="1:14" x14ac:dyDescent="0.35">
      <c r="A171" t="str">
        <f t="shared" si="6"/>
        <v>18097320901_2028</v>
      </c>
      <c r="B171">
        <v>18097320901</v>
      </c>
      <c r="C171">
        <v>2028</v>
      </c>
      <c r="D171">
        <v>0.95758463091804957</v>
      </c>
      <c r="E171">
        <v>-0.7545152283033375</v>
      </c>
      <c r="F171">
        <v>0.31169620007573162</v>
      </c>
      <c r="G171">
        <v>0.35369889274233202</v>
      </c>
      <c r="H171">
        <v>-0.45257398515199471</v>
      </c>
      <c r="I171">
        <v>0.19258831021738701</v>
      </c>
      <c r="J171">
        <v>-1.207538935514072</v>
      </c>
      <c r="M171">
        <f t="shared" si="7"/>
        <v>-0.59906011501590395</v>
      </c>
      <c r="N171">
        <f t="shared" si="8"/>
        <v>7</v>
      </c>
    </row>
    <row r="172" spans="1:14" x14ac:dyDescent="0.35">
      <c r="A172" t="str">
        <f t="shared" si="6"/>
        <v>18097320902_2024</v>
      </c>
      <c r="B172">
        <v>18097320902</v>
      </c>
      <c r="C172">
        <v>2024</v>
      </c>
      <c r="D172">
        <v>-9.6995245062410598E-2</v>
      </c>
      <c r="E172">
        <v>-0.2241537681541397</v>
      </c>
      <c r="F172">
        <v>0.47061747212893501</v>
      </c>
      <c r="G172">
        <v>-0.20629518801945879</v>
      </c>
      <c r="H172">
        <v>-3.6346860189804639E-2</v>
      </c>
      <c r="I172">
        <v>0.28427108620084118</v>
      </c>
      <c r="J172">
        <v>-1.153068820969386</v>
      </c>
      <c r="M172">
        <f t="shared" si="7"/>
        <v>-0.96197132406542352</v>
      </c>
      <c r="N172">
        <f t="shared" si="8"/>
        <v>7</v>
      </c>
    </row>
    <row r="173" spans="1:14" x14ac:dyDescent="0.35">
      <c r="A173" t="str">
        <f t="shared" si="6"/>
        <v>18097320902_2025</v>
      </c>
      <c r="B173">
        <v>18097320902</v>
      </c>
      <c r="C173">
        <v>2025</v>
      </c>
      <c r="D173">
        <v>1.5265254653182581</v>
      </c>
      <c r="E173">
        <v>-0.46820950748677143</v>
      </c>
      <c r="F173">
        <v>-6.4449162755455675E-2</v>
      </c>
      <c r="G173">
        <v>-0.40294025060277572</v>
      </c>
      <c r="H173">
        <v>0.20412907371983419</v>
      </c>
      <c r="I173">
        <v>-1.42110138543535E-3</v>
      </c>
      <c r="J173">
        <v>-1.2051154907695041</v>
      </c>
      <c r="M173">
        <f t="shared" si="7"/>
        <v>-0.41148097396185002</v>
      </c>
      <c r="N173">
        <f t="shared" si="8"/>
        <v>7</v>
      </c>
    </row>
    <row r="174" spans="1:14" x14ac:dyDescent="0.35">
      <c r="A174" t="str">
        <f t="shared" si="6"/>
        <v>18097320902_2026</v>
      </c>
      <c r="B174">
        <v>18097320902</v>
      </c>
      <c r="C174">
        <v>2026</v>
      </c>
      <c r="D174">
        <v>0.45963144590739391</v>
      </c>
      <c r="E174">
        <v>-0.41189548403262771</v>
      </c>
      <c r="F174">
        <v>-2.80496218931462E-2</v>
      </c>
      <c r="G174">
        <v>-0.44506021124230022</v>
      </c>
      <c r="H174">
        <v>-0.2086543051337568</v>
      </c>
      <c r="I174">
        <v>0.25522294157431741</v>
      </c>
      <c r="J174">
        <v>-1.2079545580963129</v>
      </c>
      <c r="M174">
        <f t="shared" si="7"/>
        <v>-1.5867597929164325</v>
      </c>
      <c r="N174">
        <f t="shared" si="8"/>
        <v>7</v>
      </c>
    </row>
    <row r="175" spans="1:14" x14ac:dyDescent="0.35">
      <c r="A175" t="str">
        <f t="shared" si="6"/>
        <v>18097320902_2027</v>
      </c>
      <c r="B175">
        <v>18097320902</v>
      </c>
      <c r="C175">
        <v>2027</v>
      </c>
      <c r="D175">
        <v>1.3191049143877369</v>
      </c>
      <c r="E175">
        <v>-0.39544318816563118</v>
      </c>
      <c r="F175">
        <v>-1.8094824652973358E-2</v>
      </c>
      <c r="G175">
        <v>-0.47321488343936002</v>
      </c>
      <c r="H175">
        <v>-0.1458775110429163</v>
      </c>
      <c r="I175">
        <v>0.18103157552892371</v>
      </c>
      <c r="J175">
        <v>-1.2077411088438921</v>
      </c>
      <c r="M175">
        <f t="shared" si="7"/>
        <v>-0.74023502622811232</v>
      </c>
      <c r="N175">
        <f t="shared" si="8"/>
        <v>7</v>
      </c>
    </row>
    <row r="176" spans="1:14" x14ac:dyDescent="0.35">
      <c r="A176" t="str">
        <f t="shared" si="6"/>
        <v>18097320902_2028</v>
      </c>
      <c r="B176">
        <v>18097320902</v>
      </c>
      <c r="C176">
        <v>2028</v>
      </c>
      <c r="D176">
        <v>0.95758432022094142</v>
      </c>
      <c r="E176">
        <v>-0.28021197023707978</v>
      </c>
      <c r="F176">
        <v>3.4483553220360071E-2</v>
      </c>
      <c r="G176">
        <v>-0.46064475668609439</v>
      </c>
      <c r="H176">
        <v>-0.29780510338636318</v>
      </c>
      <c r="I176">
        <v>0.24478723409130271</v>
      </c>
      <c r="J176">
        <v>-1.207538935514072</v>
      </c>
      <c r="M176">
        <f t="shared" si="7"/>
        <v>-1.009345658291005</v>
      </c>
      <c r="N176">
        <f t="shared" si="8"/>
        <v>7</v>
      </c>
    </row>
    <row r="177" spans="1:14" x14ac:dyDescent="0.35">
      <c r="A177" t="str">
        <f t="shared" si="6"/>
        <v>18097320903_2024</v>
      </c>
      <c r="B177">
        <v>18097320903</v>
      </c>
      <c r="C177">
        <v>2024</v>
      </c>
      <c r="D177">
        <v>-9.5076311922338702E-2</v>
      </c>
      <c r="E177">
        <v>1.157058869823848</v>
      </c>
      <c r="F177">
        <v>0.69678269260977521</v>
      </c>
      <c r="G177">
        <v>-0.35833908053725561</v>
      </c>
      <c r="H177">
        <v>0.1353509160874147</v>
      </c>
      <c r="I177">
        <v>-0.92351255673853561</v>
      </c>
      <c r="J177">
        <v>-1.1517270655157219</v>
      </c>
      <c r="K177">
        <v>-7.7492344988519193</v>
      </c>
      <c r="M177">
        <f t="shared" si="7"/>
        <v>-8.2886970350447324</v>
      </c>
      <c r="N177">
        <f t="shared" si="8"/>
        <v>8</v>
      </c>
    </row>
    <row r="178" spans="1:14" x14ac:dyDescent="0.35">
      <c r="A178" t="str">
        <f t="shared" si="6"/>
        <v>18097320903_2025</v>
      </c>
      <c r="B178">
        <v>18097320903</v>
      </c>
      <c r="C178">
        <v>2025</v>
      </c>
      <c r="D178">
        <v>1.5277866521882899</v>
      </c>
      <c r="E178">
        <v>5.1003439270873141E-2</v>
      </c>
      <c r="F178">
        <v>7.6523086994760597E-2</v>
      </c>
      <c r="G178">
        <v>-0.47005168982031409</v>
      </c>
      <c r="H178">
        <v>-0.88881981699406409</v>
      </c>
      <c r="I178">
        <v>3.7642569926936109</v>
      </c>
      <c r="J178">
        <v>-1.203674201157098</v>
      </c>
      <c r="K178">
        <v>2.499393837978825E-2</v>
      </c>
      <c r="M178">
        <f t="shared" si="7"/>
        <v>2.8820184015558472</v>
      </c>
      <c r="N178">
        <f t="shared" si="8"/>
        <v>8</v>
      </c>
    </row>
    <row r="179" spans="1:14" x14ac:dyDescent="0.35">
      <c r="A179" t="str">
        <f t="shared" si="6"/>
        <v>18097320903_2026</v>
      </c>
      <c r="B179">
        <v>18097320903</v>
      </c>
      <c r="C179">
        <v>2026</v>
      </c>
      <c r="D179">
        <v>0.46176105541147372</v>
      </c>
      <c r="E179">
        <v>1.1101247710433539</v>
      </c>
      <c r="F179">
        <v>9.8772792544845042E-2</v>
      </c>
      <c r="G179">
        <v>-0.53506429418293966</v>
      </c>
      <c r="H179">
        <v>-0.170833775451254</v>
      </c>
      <c r="I179">
        <v>-0.2004644075312508</v>
      </c>
      <c r="J179">
        <v>-1.206583986531814</v>
      </c>
      <c r="K179">
        <v>-6.5877272853009164E-2</v>
      </c>
      <c r="M179">
        <f t="shared" si="7"/>
        <v>-0.50816511755059512</v>
      </c>
      <c r="N179">
        <f t="shared" si="8"/>
        <v>8</v>
      </c>
    </row>
    <row r="180" spans="1:14" x14ac:dyDescent="0.35">
      <c r="A180" t="str">
        <f t="shared" si="6"/>
        <v>18097320903_2027</v>
      </c>
      <c r="B180">
        <v>18097320903</v>
      </c>
      <c r="C180">
        <v>2027</v>
      </c>
      <c r="D180">
        <v>1.321002490267815</v>
      </c>
      <c r="E180">
        <v>0.51594683932411511</v>
      </c>
      <c r="F180">
        <v>0.1162940172591535</v>
      </c>
      <c r="G180">
        <v>-0.56863860990746851</v>
      </c>
      <c r="H180">
        <v>-0.61064380079810721</v>
      </c>
      <c r="I180">
        <v>2.0767195709166981</v>
      </c>
      <c r="J180">
        <v>-1.206415149986739</v>
      </c>
      <c r="K180">
        <v>-2.921013462707291E-2</v>
      </c>
      <c r="M180">
        <f t="shared" si="7"/>
        <v>1.6150552224483941</v>
      </c>
      <c r="N180">
        <f t="shared" si="8"/>
        <v>8</v>
      </c>
    </row>
    <row r="181" spans="1:14" x14ac:dyDescent="0.35">
      <c r="A181" t="str">
        <f t="shared" si="6"/>
        <v>18097320903_2028</v>
      </c>
      <c r="B181">
        <v>18097320903</v>
      </c>
      <c r="C181">
        <v>2028</v>
      </c>
      <c r="D181">
        <v>0.95991721468730096</v>
      </c>
      <c r="E181">
        <v>0.78252389738670702</v>
      </c>
      <c r="F181">
        <v>0.1770971743852954</v>
      </c>
      <c r="G181">
        <v>-0.54945373335358449</v>
      </c>
      <c r="H181">
        <v>-0.41924284473563539</v>
      </c>
      <c r="I181">
        <v>0.25542406025810799</v>
      </c>
      <c r="J181">
        <v>-1.206234374113228</v>
      </c>
      <c r="K181">
        <v>-2.6280614497833352E-2</v>
      </c>
      <c r="M181">
        <f t="shared" si="7"/>
        <v>-2.6249219982869873E-2</v>
      </c>
      <c r="N181">
        <f t="shared" si="8"/>
        <v>8</v>
      </c>
    </row>
    <row r="182" spans="1:14" x14ac:dyDescent="0.35">
      <c r="A182" t="str">
        <f t="shared" si="6"/>
        <v>18097321001_2024</v>
      </c>
      <c r="B182">
        <v>18097321001</v>
      </c>
      <c r="C182">
        <v>2024</v>
      </c>
      <c r="D182">
        <v>-0.1334859723733125</v>
      </c>
      <c r="E182">
        <v>-0.84577109851890897</v>
      </c>
      <c r="F182">
        <v>-0.82941518650306179</v>
      </c>
      <c r="G182">
        <v>0.1730271365701177</v>
      </c>
      <c r="H182">
        <v>0.93011009478605555</v>
      </c>
      <c r="I182">
        <v>-0.23496753878306759</v>
      </c>
      <c r="J182">
        <v>-0.37634847928445708</v>
      </c>
      <c r="K182">
        <v>-4.8370031565981426</v>
      </c>
      <c r="M182">
        <f t="shared" si="7"/>
        <v>-6.1538542007047772</v>
      </c>
      <c r="N182">
        <f t="shared" si="8"/>
        <v>8</v>
      </c>
    </row>
    <row r="183" spans="1:14" x14ac:dyDescent="0.35">
      <c r="A183" t="str">
        <f t="shared" si="6"/>
        <v>18097321001_2025</v>
      </c>
      <c r="B183">
        <v>18097321001</v>
      </c>
      <c r="C183">
        <v>2025</v>
      </c>
      <c r="D183">
        <v>0.55540079627369499</v>
      </c>
      <c r="E183">
        <v>-1.2391832804854901</v>
      </c>
      <c r="F183">
        <v>0.17033911634307219</v>
      </c>
      <c r="G183">
        <v>0.66043816222555063</v>
      </c>
      <c r="H183">
        <v>1.9215610137955781</v>
      </c>
      <c r="I183">
        <v>-0.1328884307204258</v>
      </c>
      <c r="J183">
        <v>-0.49936397299271279</v>
      </c>
      <c r="K183">
        <v>2.4990938002714951E-2</v>
      </c>
      <c r="M183">
        <f t="shared" si="7"/>
        <v>1.461294342441982</v>
      </c>
      <c r="N183">
        <f t="shared" si="8"/>
        <v>8</v>
      </c>
    </row>
    <row r="184" spans="1:14" x14ac:dyDescent="0.35">
      <c r="A184" t="str">
        <f t="shared" si="6"/>
        <v>18097321001_2026</v>
      </c>
      <c r="B184">
        <v>18097321001</v>
      </c>
      <c r="C184">
        <v>2026</v>
      </c>
      <c r="D184">
        <v>-6.2960262177780496E-3</v>
      </c>
      <c r="E184">
        <v>-0.90671127340994484</v>
      </c>
      <c r="F184">
        <v>0.33649769840362498</v>
      </c>
      <c r="G184">
        <v>0.59188369633112747</v>
      </c>
      <c r="H184">
        <v>2.5749009417080782</v>
      </c>
      <c r="I184">
        <v>-0.11444923594798791</v>
      </c>
      <c r="J184">
        <v>-0.57113663613638266</v>
      </c>
      <c r="K184">
        <v>-6.5877360543426536E-2</v>
      </c>
      <c r="M184">
        <f t="shared" si="7"/>
        <v>1.8388118041873103</v>
      </c>
      <c r="N184">
        <f t="shared" si="8"/>
        <v>8</v>
      </c>
    </row>
    <row r="185" spans="1:14" x14ac:dyDescent="0.35">
      <c r="A185" t="str">
        <f t="shared" si="6"/>
        <v>18097321001_2027</v>
      </c>
      <c r="B185">
        <v>18097321001</v>
      </c>
      <c r="C185">
        <v>2027</v>
      </c>
      <c r="D185">
        <v>0.53763047245058471</v>
      </c>
      <c r="E185">
        <v>-0.67467633570054009</v>
      </c>
      <c r="F185">
        <v>0.35215144460505998</v>
      </c>
      <c r="G185">
        <v>0.7386454099206915</v>
      </c>
      <c r="H185">
        <v>4.0745962589353084</v>
      </c>
      <c r="I185">
        <v>-1.8605814067133009E-2</v>
      </c>
      <c r="J185">
        <v>-0.59697093940762413</v>
      </c>
      <c r="K185">
        <v>-2.921095083996034E-2</v>
      </c>
      <c r="M185">
        <f t="shared" si="7"/>
        <v>4.3835595458963867</v>
      </c>
      <c r="N185">
        <f t="shared" si="8"/>
        <v>8</v>
      </c>
    </row>
    <row r="186" spans="1:14" x14ac:dyDescent="0.35">
      <c r="A186" t="str">
        <f t="shared" si="6"/>
        <v>18097321001_2028</v>
      </c>
      <c r="B186">
        <v>18097321001</v>
      </c>
      <c r="C186">
        <v>2028</v>
      </c>
      <c r="D186">
        <v>0.18231246049920879</v>
      </c>
      <c r="E186">
        <v>-0.42217411117821391</v>
      </c>
      <c r="F186">
        <v>0.4442468267184948</v>
      </c>
      <c r="G186">
        <v>0.66579896990599174</v>
      </c>
      <c r="H186">
        <v>3.0929887365066229</v>
      </c>
      <c r="I186">
        <v>5.0900466795577741E-2</v>
      </c>
      <c r="J186">
        <v>-0.60679954026345784</v>
      </c>
      <c r="K186">
        <v>-2.628123771139998E-2</v>
      </c>
      <c r="M186">
        <f t="shared" si="7"/>
        <v>3.3809925712728246</v>
      </c>
      <c r="N186">
        <f t="shared" si="8"/>
        <v>8</v>
      </c>
    </row>
    <row r="187" spans="1:14" x14ac:dyDescent="0.35">
      <c r="A187" t="str">
        <f t="shared" si="6"/>
        <v>18097321002_2024</v>
      </c>
      <c r="B187">
        <v>18097321002</v>
      </c>
      <c r="C187">
        <v>2024</v>
      </c>
      <c r="D187">
        <v>-0.15467169926003879</v>
      </c>
      <c r="E187">
        <v>-0.49453880526633748</v>
      </c>
      <c r="F187">
        <v>-1.2075357180931929</v>
      </c>
      <c r="G187">
        <v>9.2514926327846803E-2</v>
      </c>
      <c r="H187">
        <v>8.759847913225996E-2</v>
      </c>
      <c r="I187">
        <v>0.55958422575980915</v>
      </c>
      <c r="J187">
        <v>-0.36119144715803703</v>
      </c>
      <c r="K187">
        <v>0.13127592861494969</v>
      </c>
      <c r="M187">
        <f t="shared" si="7"/>
        <v>-1.3469641099427407</v>
      </c>
      <c r="N187">
        <f t="shared" si="8"/>
        <v>8</v>
      </c>
    </row>
    <row r="188" spans="1:14" x14ac:dyDescent="0.35">
      <c r="A188" t="str">
        <f t="shared" si="6"/>
        <v>18097321002_2025</v>
      </c>
      <c r="B188">
        <v>18097321002</v>
      </c>
      <c r="C188">
        <v>2025</v>
      </c>
      <c r="D188">
        <v>0.52657893097449515</v>
      </c>
      <c r="E188">
        <v>0.52055719532774269</v>
      </c>
      <c r="F188">
        <v>-0.30523275128669469</v>
      </c>
      <c r="G188">
        <v>0.4596370541360047</v>
      </c>
      <c r="H188">
        <v>-5.8633897916726581E-2</v>
      </c>
      <c r="I188">
        <v>0.89251728327217406</v>
      </c>
      <c r="J188">
        <v>-0.48755660355069003</v>
      </c>
      <c r="K188">
        <v>-5.0435918660933977E-2</v>
      </c>
      <c r="M188">
        <f t="shared" si="7"/>
        <v>1.4974312922953714</v>
      </c>
      <c r="N188">
        <f t="shared" si="8"/>
        <v>8</v>
      </c>
    </row>
    <row r="189" spans="1:14" x14ac:dyDescent="0.35">
      <c r="A189" t="str">
        <f t="shared" si="6"/>
        <v>18097321002_2026</v>
      </c>
      <c r="B189">
        <v>18097321002</v>
      </c>
      <c r="C189">
        <v>2026</v>
      </c>
      <c r="D189">
        <v>-2.6388030355876769E-2</v>
      </c>
      <c r="E189">
        <v>-0.23149881309841081</v>
      </c>
      <c r="F189">
        <v>-0.30495074781597598</v>
      </c>
      <c r="G189">
        <v>0.39718977721042892</v>
      </c>
      <c r="H189">
        <v>-7.6848201088262199E-3</v>
      </c>
      <c r="I189">
        <v>0.83296020047371666</v>
      </c>
      <c r="J189">
        <v>-0.56043785323849327</v>
      </c>
      <c r="K189">
        <v>-0.18588369783452399</v>
      </c>
      <c r="M189">
        <f t="shared" si="7"/>
        <v>-8.6693984767961446E-2</v>
      </c>
      <c r="N189">
        <f t="shared" si="8"/>
        <v>8</v>
      </c>
    </row>
    <row r="190" spans="1:14" x14ac:dyDescent="0.35">
      <c r="A190" t="str">
        <f t="shared" si="6"/>
        <v>18097321002_2027</v>
      </c>
      <c r="B190">
        <v>18097321002</v>
      </c>
      <c r="C190">
        <v>2027</v>
      </c>
      <c r="D190">
        <v>0.50523272558809273</v>
      </c>
      <c r="E190">
        <v>0.19328329365292679</v>
      </c>
      <c r="F190">
        <v>-0.34750505122362041</v>
      </c>
      <c r="G190">
        <v>0.51169882926614341</v>
      </c>
      <c r="H190">
        <v>-0.1622597078420972</v>
      </c>
      <c r="I190">
        <v>0.7187960496202106</v>
      </c>
      <c r="J190">
        <v>-0.58656033050739498</v>
      </c>
      <c r="K190">
        <v>-0.17148119265438569</v>
      </c>
      <c r="M190">
        <f t="shared" si="7"/>
        <v>0.66120461589987534</v>
      </c>
      <c r="N190">
        <f t="shared" si="8"/>
        <v>8</v>
      </c>
    </row>
    <row r="191" spans="1:14" x14ac:dyDescent="0.35">
      <c r="A191" t="str">
        <f t="shared" si="6"/>
        <v>18097321002_2028</v>
      </c>
      <c r="B191">
        <v>18097321002</v>
      </c>
      <c r="C191">
        <v>2028</v>
      </c>
      <c r="D191">
        <v>0.15292764425055649</v>
      </c>
      <c r="E191">
        <v>7.5278845031871641E-2</v>
      </c>
      <c r="F191">
        <v>-0.32989120243768522</v>
      </c>
      <c r="G191">
        <v>0.45497141867374491</v>
      </c>
      <c r="H191">
        <v>-0.23663334938496861</v>
      </c>
      <c r="I191">
        <v>0.59145720624693154</v>
      </c>
      <c r="J191">
        <v>-0.59650334051725773</v>
      </c>
      <c r="K191">
        <v>-0.1829255480482519</v>
      </c>
      <c r="M191">
        <f t="shared" si="7"/>
        <v>-7.1318326185058845E-2</v>
      </c>
      <c r="N191">
        <f t="shared" si="8"/>
        <v>8</v>
      </c>
    </row>
    <row r="192" spans="1:14" x14ac:dyDescent="0.35">
      <c r="A192" t="str">
        <f t="shared" si="6"/>
        <v>18097321100_2024</v>
      </c>
      <c r="B192">
        <v>18097321100</v>
      </c>
      <c r="C192">
        <v>2024</v>
      </c>
      <c r="D192">
        <v>-0.52550822532168429</v>
      </c>
      <c r="E192">
        <v>-6.2943918214357047E-2</v>
      </c>
      <c r="F192">
        <v>-1.027434337821844</v>
      </c>
      <c r="G192">
        <v>7.3544416944168198E-3</v>
      </c>
      <c r="H192">
        <v>8.2590293851233648E-2</v>
      </c>
      <c r="I192">
        <v>0.61812874841975196</v>
      </c>
      <c r="J192">
        <v>-0.36533917305978553</v>
      </c>
      <c r="K192">
        <v>-2.4508688447925828</v>
      </c>
      <c r="M192">
        <f t="shared" si="7"/>
        <v>-3.7240210152448512</v>
      </c>
      <c r="N192">
        <f t="shared" si="8"/>
        <v>8</v>
      </c>
    </row>
    <row r="193" spans="1:14" x14ac:dyDescent="0.35">
      <c r="A193" t="str">
        <f t="shared" si="6"/>
        <v>18097321100_2025</v>
      </c>
      <c r="B193">
        <v>18097321100</v>
      </c>
      <c r="C193">
        <v>2025</v>
      </c>
      <c r="D193">
        <v>0.5630626714296727</v>
      </c>
      <c r="E193">
        <v>-0.21254820359599391</v>
      </c>
      <c r="F193">
        <v>-0.75726664378576802</v>
      </c>
      <c r="G193">
        <v>0.135707845091778</v>
      </c>
      <c r="H193">
        <v>-0.78628890297119958</v>
      </c>
      <c r="I193">
        <v>0.68146023502972608</v>
      </c>
      <c r="J193">
        <v>-0.44303967222826079</v>
      </c>
      <c r="K193">
        <v>0.75535236594739441</v>
      </c>
      <c r="M193">
        <f t="shared" si="7"/>
        <v>-6.3560305082651203E-2</v>
      </c>
      <c r="N193">
        <f t="shared" si="8"/>
        <v>8</v>
      </c>
    </row>
    <row r="194" spans="1:14" x14ac:dyDescent="0.35">
      <c r="A194" t="str">
        <f t="shared" si="6"/>
        <v>18097321100_2026</v>
      </c>
      <c r="B194">
        <v>18097321100</v>
      </c>
      <c r="C194">
        <v>2026</v>
      </c>
      <c r="D194">
        <v>-0.31486153488369262</v>
      </c>
      <c r="E194">
        <v>-0.15133746057781311</v>
      </c>
      <c r="F194">
        <v>-6.6661128857828499E-3</v>
      </c>
      <c r="G194">
        <v>6.8810576531316156E-2</v>
      </c>
      <c r="H194">
        <v>-0.2072839709449317</v>
      </c>
      <c r="I194">
        <v>0.63111110767886047</v>
      </c>
      <c r="J194">
        <v>-0.50674163154767771</v>
      </c>
      <c r="K194">
        <v>0.5257377599245352</v>
      </c>
      <c r="M194">
        <f t="shared" si="7"/>
        <v>3.8768733294813895E-2</v>
      </c>
      <c r="N194">
        <f t="shared" si="8"/>
        <v>8</v>
      </c>
    </row>
    <row r="195" spans="1:14" x14ac:dyDescent="0.35">
      <c r="A195" t="str">
        <f t="shared" ref="A195:A258" si="9">TEXT(B195,0)&amp;"_"&amp;TEXT(C195,0)</f>
        <v>18097321100_2027</v>
      </c>
      <c r="B195">
        <v>18097321100</v>
      </c>
      <c r="C195">
        <v>2027</v>
      </c>
      <c r="D195">
        <v>0.37643740249000751</v>
      </c>
      <c r="E195">
        <v>-0.13534262697793059</v>
      </c>
      <c r="F195">
        <v>-0.4231272678910542</v>
      </c>
      <c r="G195">
        <v>0.12431914595563651</v>
      </c>
      <c r="H195">
        <v>-0.6396059973776792</v>
      </c>
      <c r="I195">
        <v>0.5624022584569488</v>
      </c>
      <c r="J195">
        <v>-0.53215846529925193</v>
      </c>
      <c r="K195">
        <v>0.46713474411798089</v>
      </c>
      <c r="M195">
        <f t="shared" ref="M195:M258" si="10">SUM(D195:K195)</f>
        <v>-0.19994080652534224</v>
      </c>
      <c r="N195">
        <f t="shared" ref="N195:N258" si="11">IF(D195=0,0,1)+IF(E195=0,0,1)+IF(F195=0,0,1)+IF(G195=0,0,1)+IF(H195=0,0,1)+IF(I195=0,0,1)++IF(J195=0,0,1)++IF(K195=0,0,1)</f>
        <v>8</v>
      </c>
    </row>
    <row r="196" spans="1:14" x14ac:dyDescent="0.35">
      <c r="A196" t="str">
        <f t="shared" si="9"/>
        <v>18097321100_2028</v>
      </c>
      <c r="B196">
        <v>18097321100</v>
      </c>
      <c r="C196">
        <v>2028</v>
      </c>
      <c r="D196">
        <v>-7.9105234172520147E-2</v>
      </c>
      <c r="E196">
        <v>-3.9159392959305941E-2</v>
      </c>
      <c r="F196">
        <v>-0.20993128052834131</v>
      </c>
      <c r="G196">
        <v>9.4115815068818165E-2</v>
      </c>
      <c r="H196">
        <v>-0.40367271417480283</v>
      </c>
      <c r="I196">
        <v>0.48177993733458191</v>
      </c>
      <c r="J196">
        <v>-0.54241294620707203</v>
      </c>
      <c r="K196">
        <v>0.39017925512777057</v>
      </c>
      <c r="M196">
        <f t="shared" si="10"/>
        <v>-0.30820656051087153</v>
      </c>
      <c r="N196">
        <f t="shared" si="11"/>
        <v>8</v>
      </c>
    </row>
    <row r="197" spans="1:14" x14ac:dyDescent="0.35">
      <c r="A197" t="str">
        <f t="shared" si="9"/>
        <v>18097321200_2024</v>
      </c>
      <c r="B197">
        <v>18097321200</v>
      </c>
      <c r="C197">
        <v>2024</v>
      </c>
      <c r="D197">
        <v>1.2712792109136849E-2</v>
      </c>
      <c r="E197">
        <v>-0.10427580230907919</v>
      </c>
      <c r="F197">
        <v>-0.9460031857631348</v>
      </c>
      <c r="G197">
        <v>-0.17415503451918701</v>
      </c>
      <c r="H197">
        <v>-8.9354355101426253E-2</v>
      </c>
      <c r="I197">
        <v>0.10036937004804949</v>
      </c>
      <c r="J197">
        <v>-0.96308263847542797</v>
      </c>
      <c r="M197">
        <f t="shared" si="10"/>
        <v>-2.1637888540110688</v>
      </c>
      <c r="N197">
        <f t="shared" si="11"/>
        <v>7</v>
      </c>
    </row>
    <row r="198" spans="1:14" x14ac:dyDescent="0.35">
      <c r="A198" t="str">
        <f t="shared" si="9"/>
        <v>18097321200_2025</v>
      </c>
      <c r="B198">
        <v>18097321200</v>
      </c>
      <c r="C198">
        <v>2025</v>
      </c>
      <c r="D198">
        <v>-0.11894459955489051</v>
      </c>
      <c r="E198">
        <v>-0.31049348471065158</v>
      </c>
      <c r="F198">
        <v>0.89499017451089924</v>
      </c>
      <c r="G198">
        <v>-0.44198197710646259</v>
      </c>
      <c r="H198">
        <v>-0.93435845539017404</v>
      </c>
      <c r="I198">
        <v>0.22670242138186741</v>
      </c>
      <c r="J198">
        <v>-1.088988663814755</v>
      </c>
      <c r="M198">
        <f t="shared" si="10"/>
        <v>-1.7730745846841671</v>
      </c>
      <c r="N198">
        <f t="shared" si="11"/>
        <v>7</v>
      </c>
    </row>
    <row r="199" spans="1:14" x14ac:dyDescent="0.35">
      <c r="A199" t="str">
        <f t="shared" si="9"/>
        <v>18097321200_2026</v>
      </c>
      <c r="B199">
        <v>18097321200</v>
      </c>
      <c r="C199">
        <v>2026</v>
      </c>
      <c r="D199">
        <v>-0.35314423060758993</v>
      </c>
      <c r="E199">
        <v>-0.26464428561020897</v>
      </c>
      <c r="F199">
        <v>0.99755759422936641</v>
      </c>
      <c r="G199">
        <v>-0.50326107217325311</v>
      </c>
      <c r="H199">
        <v>-0.73331142572574082</v>
      </c>
      <c r="I199">
        <v>0.24415347778321081</v>
      </c>
      <c r="J199">
        <v>-1.1447401305790319</v>
      </c>
      <c r="M199">
        <f t="shared" si="10"/>
        <v>-1.7573900726832474</v>
      </c>
      <c r="N199">
        <f t="shared" si="11"/>
        <v>7</v>
      </c>
    </row>
    <row r="200" spans="1:14" x14ac:dyDescent="0.35">
      <c r="A200" t="str">
        <f t="shared" si="9"/>
        <v>18097321200_2027</v>
      </c>
      <c r="B200">
        <v>18097321200</v>
      </c>
      <c r="C200">
        <v>2027</v>
      </c>
      <c r="D200">
        <v>-2.2827849975769369E-2</v>
      </c>
      <c r="E200">
        <v>-0.24572217031441321</v>
      </c>
      <c r="F200">
        <v>1.150931414116396</v>
      </c>
      <c r="G200">
        <v>-0.54515186089893963</v>
      </c>
      <c r="H200">
        <v>-0.75541847644712012</v>
      </c>
      <c r="I200">
        <v>0.27038972713193399</v>
      </c>
      <c r="J200">
        <v>-1.161128262494429</v>
      </c>
      <c r="M200">
        <f t="shared" si="10"/>
        <v>-1.3089274788823415</v>
      </c>
      <c r="N200">
        <f t="shared" si="11"/>
        <v>7</v>
      </c>
    </row>
    <row r="201" spans="1:14" x14ac:dyDescent="0.35">
      <c r="A201" t="str">
        <f t="shared" si="9"/>
        <v>18097321200_2028</v>
      </c>
      <c r="B201">
        <v>18097321200</v>
      </c>
      <c r="C201">
        <v>2028</v>
      </c>
      <c r="D201">
        <v>-0.36877508645957968</v>
      </c>
      <c r="E201">
        <v>-0.141064600680126</v>
      </c>
      <c r="F201">
        <v>1.3086883647136021</v>
      </c>
      <c r="G201">
        <v>-0.52809966150568688</v>
      </c>
      <c r="H201">
        <v>-0.64748368865443717</v>
      </c>
      <c r="I201">
        <v>0.27166404043172282</v>
      </c>
      <c r="J201">
        <v>-1.165489770240774</v>
      </c>
      <c r="M201">
        <f t="shared" si="10"/>
        <v>-1.270560402395279</v>
      </c>
      <c r="N201">
        <f t="shared" si="11"/>
        <v>7</v>
      </c>
    </row>
    <row r="202" spans="1:14" x14ac:dyDescent="0.35">
      <c r="A202" t="str">
        <f t="shared" si="9"/>
        <v>18097321300_2024</v>
      </c>
      <c r="B202">
        <v>18097321300</v>
      </c>
      <c r="C202">
        <v>2024</v>
      </c>
      <c r="D202">
        <v>0.43346179428700687</v>
      </c>
      <c r="E202">
        <v>-0.24691941348067389</v>
      </c>
      <c r="F202">
        <v>-0.31226117976499601</v>
      </c>
      <c r="G202">
        <v>-6.663679040463738E-2</v>
      </c>
      <c r="I202">
        <v>0.18419233534179441</v>
      </c>
      <c r="J202">
        <v>-1.0309158143957791</v>
      </c>
      <c r="K202">
        <v>-4.9478310298230049E-2</v>
      </c>
      <c r="M202">
        <f t="shared" si="10"/>
        <v>-1.0885573787155152</v>
      </c>
      <c r="N202">
        <f t="shared" si="11"/>
        <v>7</v>
      </c>
    </row>
    <row r="203" spans="1:14" x14ac:dyDescent="0.35">
      <c r="A203" t="str">
        <f t="shared" si="9"/>
        <v>18097321300_2025</v>
      </c>
      <c r="B203">
        <v>18097321300</v>
      </c>
      <c r="C203">
        <v>2025</v>
      </c>
      <c r="D203">
        <v>-0.32744135212981751</v>
      </c>
      <c r="E203">
        <v>-5.9296672923982288E-2</v>
      </c>
      <c r="F203">
        <v>-0.43367577644725502</v>
      </c>
      <c r="G203">
        <v>6.8313149312238239E-2</v>
      </c>
      <c r="I203">
        <v>0.210851282051574</v>
      </c>
      <c r="J203">
        <v>-1.2208455548201109</v>
      </c>
      <c r="K203">
        <v>-0.55633501692306586</v>
      </c>
      <c r="M203">
        <f t="shared" si="10"/>
        <v>-2.3184299418804195</v>
      </c>
      <c r="N203">
        <f t="shared" si="11"/>
        <v>7</v>
      </c>
    </row>
    <row r="204" spans="1:14" x14ac:dyDescent="0.35">
      <c r="A204" t="str">
        <f t="shared" si="9"/>
        <v>18097321300_2026</v>
      </c>
      <c r="B204">
        <v>18097321300</v>
      </c>
      <c r="C204">
        <v>2026</v>
      </c>
      <c r="D204">
        <v>-0.14409840267914581</v>
      </c>
      <c r="E204">
        <v>-0.34640907691857059</v>
      </c>
      <c r="F204">
        <v>-0.36190323491740972</v>
      </c>
      <c r="G204">
        <v>1.050765395790952E-2</v>
      </c>
      <c r="I204">
        <v>0.19350844322188659</v>
      </c>
      <c r="J204">
        <v>-1.2872414757850681</v>
      </c>
      <c r="K204">
        <v>-0.62844511951446425</v>
      </c>
      <c r="M204">
        <f t="shared" si="10"/>
        <v>-2.5640812126348624</v>
      </c>
      <c r="N204">
        <f t="shared" si="11"/>
        <v>7</v>
      </c>
    </row>
    <row r="205" spans="1:14" x14ac:dyDescent="0.35">
      <c r="A205" t="str">
        <f t="shared" si="9"/>
        <v>18097321300_2027</v>
      </c>
      <c r="B205">
        <v>18097321300</v>
      </c>
      <c r="C205">
        <v>2027</v>
      </c>
      <c r="D205">
        <v>-4.4631883295840981E-2</v>
      </c>
      <c r="E205">
        <v>-0.11675413663035381</v>
      </c>
      <c r="F205">
        <v>-0.42666402120257291</v>
      </c>
      <c r="G205">
        <v>6.3708656499361374E-2</v>
      </c>
      <c r="I205">
        <v>0.21732430248289761</v>
      </c>
      <c r="J205">
        <v>-1.3035541230677741</v>
      </c>
      <c r="K205">
        <v>-0.57970527583708553</v>
      </c>
      <c r="M205">
        <f t="shared" si="10"/>
        <v>-2.1902764810513684</v>
      </c>
      <c r="N205">
        <f t="shared" si="11"/>
        <v>7</v>
      </c>
    </row>
    <row r="206" spans="1:14" x14ac:dyDescent="0.35">
      <c r="A206" t="str">
        <f t="shared" si="9"/>
        <v>18097321300_2028</v>
      </c>
      <c r="B206">
        <v>18097321300</v>
      </c>
      <c r="C206">
        <v>2028</v>
      </c>
      <c r="D206">
        <v>-0.27359460871075342</v>
      </c>
      <c r="E206">
        <v>-0.1369606721098951</v>
      </c>
      <c r="F206">
        <v>-0.4142537938648419</v>
      </c>
      <c r="G206">
        <v>3.8242095396945071E-2</v>
      </c>
      <c r="I206">
        <v>0.22855307080642001</v>
      </c>
      <c r="J206">
        <v>-1.3068568058612891</v>
      </c>
      <c r="K206">
        <v>-0.56884888135612821</v>
      </c>
      <c r="M206">
        <f t="shared" si="10"/>
        <v>-2.4337195956995425</v>
      </c>
      <c r="N206">
        <f t="shared" si="11"/>
        <v>7</v>
      </c>
    </row>
    <row r="207" spans="1:14" x14ac:dyDescent="0.35">
      <c r="A207" t="str">
        <f t="shared" si="9"/>
        <v>18097321400_2024</v>
      </c>
      <c r="B207">
        <v>18097321400</v>
      </c>
      <c r="C207">
        <v>2024</v>
      </c>
      <c r="D207">
        <v>0.43348414615928588</v>
      </c>
      <c r="E207">
        <v>0.6736105435595352</v>
      </c>
      <c r="F207">
        <v>0.15648670497573919</v>
      </c>
      <c r="G207">
        <v>-0.2457927348631907</v>
      </c>
      <c r="I207">
        <v>0.36044216888844838</v>
      </c>
      <c r="J207">
        <v>-1.0309158143957791</v>
      </c>
      <c r="K207">
        <v>-4.9478310298230049E-2</v>
      </c>
      <c r="M207">
        <f t="shared" si="10"/>
        <v>0.29783670402580886</v>
      </c>
      <c r="N207">
        <f t="shared" si="11"/>
        <v>7</v>
      </c>
    </row>
    <row r="208" spans="1:14" x14ac:dyDescent="0.35">
      <c r="A208" t="str">
        <f t="shared" si="9"/>
        <v>18097321400_2025</v>
      </c>
      <c r="B208">
        <v>18097321400</v>
      </c>
      <c r="C208">
        <v>2025</v>
      </c>
      <c r="D208">
        <v>-0.32741991643546181</v>
      </c>
      <c r="E208">
        <v>0.17614283044051329</v>
      </c>
      <c r="F208">
        <v>0.33817781146437459</v>
      </c>
      <c r="G208">
        <v>-0.4709175263059549</v>
      </c>
      <c r="H208">
        <v>0.1025366602975422</v>
      </c>
      <c r="I208">
        <v>0.32977135976516048</v>
      </c>
      <c r="J208">
        <v>-1.2208455548201109</v>
      </c>
      <c r="K208">
        <v>-0.55633501692306586</v>
      </c>
      <c r="M208">
        <f t="shared" si="10"/>
        <v>-1.628889352517003</v>
      </c>
      <c r="N208">
        <f t="shared" si="11"/>
        <v>8</v>
      </c>
    </row>
    <row r="209" spans="1:14" x14ac:dyDescent="0.35">
      <c r="A209" t="str">
        <f t="shared" si="9"/>
        <v>18097321400_2026</v>
      </c>
      <c r="B209">
        <v>18097321400</v>
      </c>
      <c r="C209">
        <v>2026</v>
      </c>
      <c r="D209">
        <v>-0.1440673875981564</v>
      </c>
      <c r="E209">
        <v>-1.0934941074302871</v>
      </c>
      <c r="F209">
        <v>0.40212021959228222</v>
      </c>
      <c r="G209">
        <v>-0.49601176835160038</v>
      </c>
      <c r="H209">
        <v>0.13894536038399341</v>
      </c>
      <c r="I209">
        <v>0.37144362304575979</v>
      </c>
      <c r="J209">
        <v>-1.2872414757850681</v>
      </c>
      <c r="K209">
        <v>-0.62844511951446425</v>
      </c>
      <c r="M209">
        <f t="shared" si="10"/>
        <v>-2.7367506556575405</v>
      </c>
      <c r="N209">
        <f t="shared" si="11"/>
        <v>8</v>
      </c>
    </row>
    <row r="210" spans="1:14" x14ac:dyDescent="0.35">
      <c r="A210" t="str">
        <f t="shared" si="9"/>
        <v>18097321400_2027</v>
      </c>
      <c r="B210">
        <v>18097321400</v>
      </c>
      <c r="C210">
        <v>2027</v>
      </c>
      <c r="D210">
        <v>-4.4603011233110161E-2</v>
      </c>
      <c r="E210">
        <v>0.36038326021996969</v>
      </c>
      <c r="F210">
        <v>0.45913266764215122</v>
      </c>
      <c r="G210">
        <v>-0.529647879058185</v>
      </c>
      <c r="H210">
        <v>-2.476869890216862E-2</v>
      </c>
      <c r="I210">
        <v>0.36628089215631271</v>
      </c>
      <c r="J210">
        <v>-1.3035541230677741</v>
      </c>
      <c r="K210">
        <v>-0.57970527583708553</v>
      </c>
      <c r="M210">
        <f t="shared" si="10"/>
        <v>-1.2964821680798897</v>
      </c>
      <c r="N210">
        <f t="shared" si="11"/>
        <v>8</v>
      </c>
    </row>
    <row r="211" spans="1:14" x14ac:dyDescent="0.35">
      <c r="A211" t="str">
        <f t="shared" si="9"/>
        <v>18097321400_2028</v>
      </c>
      <c r="B211">
        <v>18097321400</v>
      </c>
      <c r="C211">
        <v>2028</v>
      </c>
      <c r="D211">
        <v>-0.27356001153338921</v>
      </c>
      <c r="E211">
        <v>1.0641525877562801</v>
      </c>
      <c r="F211">
        <v>0.55299200449154462</v>
      </c>
      <c r="G211">
        <v>-0.51237704306179144</v>
      </c>
      <c r="H211">
        <v>-0.1266060852305862</v>
      </c>
      <c r="I211">
        <v>0.34272929493431631</v>
      </c>
      <c r="J211">
        <v>-1.3068568058612891</v>
      </c>
      <c r="K211">
        <v>-0.56884888135612821</v>
      </c>
      <c r="M211">
        <f t="shared" si="10"/>
        <v>-0.82837493986104305</v>
      </c>
      <c r="N211">
        <f t="shared" si="11"/>
        <v>8</v>
      </c>
    </row>
    <row r="212" spans="1:14" x14ac:dyDescent="0.35">
      <c r="A212" t="str">
        <f t="shared" si="9"/>
        <v>18097321600_2024</v>
      </c>
      <c r="B212">
        <v>18097321600</v>
      </c>
      <c r="C212">
        <v>2024</v>
      </c>
      <c r="D212">
        <v>-0.49662187994533141</v>
      </c>
      <c r="E212">
        <v>-7.2829329281606306E-2</v>
      </c>
      <c r="F212">
        <v>-0.34582711801545679</v>
      </c>
      <c r="G212">
        <v>0.17551504736764559</v>
      </c>
      <c r="H212">
        <v>-4.1759135168849298E-2</v>
      </c>
      <c r="I212">
        <v>0.5726925243147547</v>
      </c>
      <c r="J212">
        <v>-4.9993946622131401E-3</v>
      </c>
      <c r="K212">
        <v>0.51846773842438842</v>
      </c>
      <c r="M212">
        <f t="shared" si="10"/>
        <v>0.3046384530333317</v>
      </c>
      <c r="N212">
        <f t="shared" si="11"/>
        <v>8</v>
      </c>
    </row>
    <row r="213" spans="1:14" x14ac:dyDescent="0.35">
      <c r="A213" t="str">
        <f t="shared" si="9"/>
        <v>18097321600_2025</v>
      </c>
      <c r="B213">
        <v>18097321600</v>
      </c>
      <c r="C213">
        <v>2025</v>
      </c>
      <c r="D213">
        <v>-4.8477989817780939E-2</v>
      </c>
      <c r="E213">
        <v>-0.47480394657832359</v>
      </c>
      <c r="F213">
        <v>-4.7240834891817463E-2</v>
      </c>
      <c r="G213">
        <v>-0.96030455357617261</v>
      </c>
      <c r="H213">
        <v>7.9354423927755643E-2</v>
      </c>
      <c r="I213">
        <v>0.25568333321004177</v>
      </c>
      <c r="J213">
        <v>-0.45211326408453067</v>
      </c>
      <c r="K213">
        <v>1.4714188888856059</v>
      </c>
      <c r="M213">
        <f t="shared" si="10"/>
        <v>-0.17648394292522185</v>
      </c>
      <c r="N213">
        <f t="shared" si="11"/>
        <v>8</v>
      </c>
    </row>
    <row r="214" spans="1:14" x14ac:dyDescent="0.35">
      <c r="A214" t="str">
        <f t="shared" si="9"/>
        <v>18097321600_2026</v>
      </c>
      <c r="B214">
        <v>18097321600</v>
      </c>
      <c r="C214">
        <v>2026</v>
      </c>
      <c r="D214">
        <v>-0.85600557427096813</v>
      </c>
      <c r="E214">
        <v>-0.38355812529328343</v>
      </c>
      <c r="F214">
        <v>-7.1005490952482625E-2</v>
      </c>
      <c r="G214">
        <v>0.26308846126971919</v>
      </c>
      <c r="H214">
        <v>-0.25298595590794459</v>
      </c>
      <c r="I214">
        <v>0.49503203319699912</v>
      </c>
      <c r="J214">
        <v>-0.53695221240476898</v>
      </c>
      <c r="K214">
        <v>1.3397597230090721</v>
      </c>
      <c r="M214">
        <f t="shared" si="10"/>
        <v>-2.6271413536573807E-3</v>
      </c>
      <c r="N214">
        <f t="shared" si="11"/>
        <v>8</v>
      </c>
    </row>
    <row r="215" spans="1:14" x14ac:dyDescent="0.35">
      <c r="A215" t="str">
        <f t="shared" si="9"/>
        <v>18097321600_2027</v>
      </c>
      <c r="B215">
        <v>18097321600</v>
      </c>
      <c r="C215">
        <v>2027</v>
      </c>
      <c r="D215">
        <v>-0.1992575380670373</v>
      </c>
      <c r="E215">
        <v>-0.38162935234791329</v>
      </c>
      <c r="F215">
        <v>-7.0485774199089787E-2</v>
      </c>
      <c r="G215">
        <v>-0.8021386258207277</v>
      </c>
      <c r="H215">
        <v>-0.22852624173580571</v>
      </c>
      <c r="I215">
        <v>0.38504302561491732</v>
      </c>
      <c r="J215">
        <v>-0.56533677612100164</v>
      </c>
      <c r="K215">
        <v>1.3547575333087101</v>
      </c>
      <c r="M215">
        <f t="shared" si="10"/>
        <v>-0.50757374936794775</v>
      </c>
      <c r="N215">
        <f t="shared" si="11"/>
        <v>8</v>
      </c>
    </row>
    <row r="216" spans="1:14" x14ac:dyDescent="0.35">
      <c r="A216" t="str">
        <f t="shared" si="9"/>
        <v>18097321600_2028</v>
      </c>
      <c r="B216">
        <v>18097321600</v>
      </c>
      <c r="C216">
        <v>2028</v>
      </c>
      <c r="D216">
        <v>-0.75787782109444168</v>
      </c>
      <c r="E216">
        <v>-0.26399525837828841</v>
      </c>
      <c r="F216">
        <v>-2.881954763854119E-2</v>
      </c>
      <c r="G216">
        <v>9.078182296474524E-2</v>
      </c>
      <c r="H216">
        <v>-0.3401069120901829</v>
      </c>
      <c r="I216">
        <v>0.38342466399896191</v>
      </c>
      <c r="J216">
        <v>-0.57561297990554938</v>
      </c>
      <c r="K216">
        <v>1.337501749110853</v>
      </c>
      <c r="M216">
        <f t="shared" si="10"/>
        <v>-0.15470428303244343</v>
      </c>
      <c r="N216">
        <f t="shared" si="11"/>
        <v>8</v>
      </c>
    </row>
    <row r="217" spans="1:14" x14ac:dyDescent="0.35">
      <c r="A217" t="str">
        <f t="shared" si="9"/>
        <v>18097321700_2024</v>
      </c>
      <c r="B217">
        <v>18097321700</v>
      </c>
      <c r="C217">
        <v>2024</v>
      </c>
      <c r="D217">
        <v>-8.9755236754724577E-2</v>
      </c>
      <c r="E217">
        <v>-7.4469202798639708E-2</v>
      </c>
      <c r="F217">
        <v>-0.5616562911671924</v>
      </c>
      <c r="G217">
        <v>1.572662930547676</v>
      </c>
      <c r="H217">
        <v>1.1803927806538139</v>
      </c>
      <c r="I217">
        <v>0.24569177849450469</v>
      </c>
      <c r="J217">
        <v>-0.62641150814796509</v>
      </c>
      <c r="K217">
        <v>1.2220877797487879</v>
      </c>
      <c r="M217">
        <f t="shared" si="10"/>
        <v>2.8685430305762609</v>
      </c>
      <c r="N217">
        <f t="shared" si="11"/>
        <v>8</v>
      </c>
    </row>
    <row r="218" spans="1:14" x14ac:dyDescent="0.35">
      <c r="A218" t="str">
        <f t="shared" si="9"/>
        <v>18097321700_2025</v>
      </c>
      <c r="B218">
        <v>18097321700</v>
      </c>
      <c r="C218">
        <v>2025</v>
      </c>
      <c r="D218">
        <v>-0.17369641237091771</v>
      </c>
      <c r="E218">
        <v>3.4675802287874251E-2</v>
      </c>
      <c r="F218">
        <v>0.72348467445465248</v>
      </c>
      <c r="G218">
        <v>2.697577026453446</v>
      </c>
      <c r="H218">
        <v>0.72538744210793304</v>
      </c>
      <c r="I218">
        <v>0.40128629336715338</v>
      </c>
      <c r="J218">
        <v>-0.92441453640706039</v>
      </c>
      <c r="K218">
        <v>4.3250653857463401</v>
      </c>
      <c r="M218">
        <f t="shared" si="10"/>
        <v>7.8093656756394214</v>
      </c>
      <c r="N218">
        <f t="shared" si="11"/>
        <v>8</v>
      </c>
    </row>
    <row r="219" spans="1:14" x14ac:dyDescent="0.35">
      <c r="A219" t="str">
        <f t="shared" si="9"/>
        <v>18097321700_2026</v>
      </c>
      <c r="B219">
        <v>18097321700</v>
      </c>
      <c r="C219">
        <v>2026</v>
      </c>
      <c r="D219">
        <v>-0.5722184106855156</v>
      </c>
      <c r="E219">
        <v>-7.0768475768543157E-2</v>
      </c>
      <c r="F219">
        <v>0.90263017603456464</v>
      </c>
      <c r="G219">
        <v>1.7831585890373389</v>
      </c>
      <c r="H219">
        <v>0.83098874380855658</v>
      </c>
      <c r="I219">
        <v>0.40722118850752947</v>
      </c>
      <c r="J219">
        <v>-1.010716257432811</v>
      </c>
      <c r="K219">
        <v>4.2019479584806998</v>
      </c>
      <c r="M219">
        <f t="shared" si="10"/>
        <v>6.4722435119818194</v>
      </c>
      <c r="N219">
        <f t="shared" si="11"/>
        <v>8</v>
      </c>
    </row>
    <row r="220" spans="1:14" x14ac:dyDescent="0.35">
      <c r="A220" t="str">
        <f t="shared" si="9"/>
        <v>18097321700_2027</v>
      </c>
      <c r="B220">
        <v>18097321700</v>
      </c>
      <c r="C220">
        <v>2027</v>
      </c>
      <c r="D220">
        <v>-0.13215176217806729</v>
      </c>
      <c r="E220">
        <v>3.7403787288136647E-2</v>
      </c>
      <c r="F220">
        <v>1.0079949077970229</v>
      </c>
      <c r="G220">
        <v>1.668952139917897</v>
      </c>
      <c r="H220">
        <v>0.73278391918025376</v>
      </c>
      <c r="I220">
        <v>0.39780145713779608</v>
      </c>
      <c r="J220">
        <v>-1.0324209095877159</v>
      </c>
      <c r="K220">
        <v>4.1894579983691518</v>
      </c>
      <c r="M220">
        <f t="shared" si="10"/>
        <v>6.8698215379244747</v>
      </c>
      <c r="N220">
        <f t="shared" si="11"/>
        <v>8</v>
      </c>
    </row>
    <row r="221" spans="1:14" x14ac:dyDescent="0.35">
      <c r="A221" t="str">
        <f t="shared" si="9"/>
        <v>18097321700_2028</v>
      </c>
      <c r="B221">
        <v>18097321700</v>
      </c>
      <c r="C221">
        <v>2028</v>
      </c>
      <c r="D221">
        <v>-0.56799189955581719</v>
      </c>
      <c r="E221">
        <v>7.3351875139685649E-2</v>
      </c>
      <c r="F221">
        <v>1.159969121284909</v>
      </c>
      <c r="G221">
        <v>1.3097587846745571</v>
      </c>
      <c r="H221">
        <v>0.61914617519400594</v>
      </c>
      <c r="I221">
        <v>0.36522001749552713</v>
      </c>
      <c r="J221">
        <v>-1.0383888475629961</v>
      </c>
      <c r="K221">
        <v>4.1356515137262786</v>
      </c>
      <c r="M221">
        <f t="shared" si="10"/>
        <v>6.0567167403961495</v>
      </c>
      <c r="N221">
        <f t="shared" si="11"/>
        <v>8</v>
      </c>
    </row>
    <row r="222" spans="1:14" x14ac:dyDescent="0.35">
      <c r="A222" t="str">
        <f t="shared" si="9"/>
        <v>18097321800_2024</v>
      </c>
      <c r="B222">
        <v>18097321800</v>
      </c>
      <c r="C222">
        <v>2024</v>
      </c>
      <c r="D222">
        <v>-0.52677050418349858</v>
      </c>
      <c r="E222">
        <v>-5.9845123812846908E-2</v>
      </c>
      <c r="F222">
        <v>-1.034738177293306</v>
      </c>
      <c r="G222">
        <v>-0.26319244027799388</v>
      </c>
      <c r="H222">
        <v>-0.55954710250785045</v>
      </c>
      <c r="I222">
        <v>0.20948712088470789</v>
      </c>
      <c r="J222">
        <v>-0.83816935639509005</v>
      </c>
      <c r="K222">
        <v>1.003734674245274</v>
      </c>
      <c r="M222">
        <f t="shared" si="10"/>
        <v>-2.0690409093406044</v>
      </c>
      <c r="N222">
        <f t="shared" si="11"/>
        <v>8</v>
      </c>
    </row>
    <row r="223" spans="1:14" x14ac:dyDescent="0.35">
      <c r="A223" t="str">
        <f t="shared" si="9"/>
        <v>18097321800_2025</v>
      </c>
      <c r="B223">
        <v>18097321800</v>
      </c>
      <c r="C223">
        <v>2025</v>
      </c>
      <c r="D223">
        <v>0.11985178305132139</v>
      </c>
      <c r="E223">
        <v>-0.2623766630419378</v>
      </c>
      <c r="F223">
        <v>0.35555394471492852</v>
      </c>
      <c r="G223">
        <v>-0.3018722925929998</v>
      </c>
      <c r="H223">
        <v>0.50151834770927173</v>
      </c>
      <c r="I223">
        <v>0.33522467682342938</v>
      </c>
      <c r="J223">
        <v>-0.84215522373180718</v>
      </c>
      <c r="K223">
        <v>3.2923652566317649</v>
      </c>
      <c r="M223">
        <f t="shared" si="10"/>
        <v>3.1981098295639709</v>
      </c>
      <c r="N223">
        <f t="shared" si="11"/>
        <v>8</v>
      </c>
    </row>
    <row r="224" spans="1:14" x14ac:dyDescent="0.35">
      <c r="A224" t="str">
        <f t="shared" si="9"/>
        <v>18097321800_2026</v>
      </c>
      <c r="B224">
        <v>18097321800</v>
      </c>
      <c r="C224">
        <v>2026</v>
      </c>
      <c r="D224">
        <v>-0.63207974944093159</v>
      </c>
      <c r="E224">
        <v>-0.20185471944603869</v>
      </c>
      <c r="F224">
        <v>0.3955157814232601</v>
      </c>
      <c r="G224">
        <v>-0.30565017672084499</v>
      </c>
      <c r="H224">
        <v>-1.536813945281128</v>
      </c>
      <c r="I224">
        <v>0.34443971953676999</v>
      </c>
      <c r="J224">
        <v>-0.87107705872978813</v>
      </c>
      <c r="K224">
        <v>3.1283849200228429</v>
      </c>
      <c r="M224">
        <f t="shared" si="10"/>
        <v>0.32086477136414171</v>
      </c>
      <c r="N224">
        <f t="shared" si="11"/>
        <v>8</v>
      </c>
    </row>
    <row r="225" spans="1:14" x14ac:dyDescent="0.35">
      <c r="A225" t="str">
        <f t="shared" si="9"/>
        <v>18097321800_2027</v>
      </c>
      <c r="B225">
        <v>18097321800</v>
      </c>
      <c r="C225">
        <v>2027</v>
      </c>
      <c r="D225">
        <v>-3.0259916852458831E-2</v>
      </c>
      <c r="E225">
        <v>-0.18552368769844371</v>
      </c>
      <c r="F225">
        <v>0.45680961457872582</v>
      </c>
      <c r="G225">
        <v>-0.30196460444424023</v>
      </c>
      <c r="H225">
        <v>-0.23222866986490689</v>
      </c>
      <c r="I225">
        <v>0.34744950010941739</v>
      </c>
      <c r="J225">
        <v>-0.8852062584045941</v>
      </c>
      <c r="K225">
        <v>3.1170271980537532</v>
      </c>
      <c r="M225">
        <f t="shared" si="10"/>
        <v>2.2861031754772525</v>
      </c>
      <c r="N225">
        <f t="shared" si="11"/>
        <v>8</v>
      </c>
    </row>
    <row r="226" spans="1:14" x14ac:dyDescent="0.35">
      <c r="A226" t="str">
        <f t="shared" si="9"/>
        <v>18097321800_2028</v>
      </c>
      <c r="B226">
        <v>18097321800</v>
      </c>
      <c r="C226">
        <v>2028</v>
      </c>
      <c r="D226">
        <v>-0.51512311146825973</v>
      </c>
      <c r="E226">
        <v>-8.50974187785173E-2</v>
      </c>
      <c r="F226">
        <v>0.54935257015504413</v>
      </c>
      <c r="G226">
        <v>-0.30006822600204491</v>
      </c>
      <c r="H226">
        <v>-0.83735514920890752</v>
      </c>
      <c r="I226">
        <v>0.32811009421734733</v>
      </c>
      <c r="J226">
        <v>-0.89101441366557876</v>
      </c>
      <c r="K226">
        <v>3.074977537681586</v>
      </c>
      <c r="M226">
        <f t="shared" si="10"/>
        <v>1.3237818829306693</v>
      </c>
      <c r="N226">
        <f t="shared" si="11"/>
        <v>8</v>
      </c>
    </row>
    <row r="227" spans="1:14" x14ac:dyDescent="0.35">
      <c r="A227" t="str">
        <f t="shared" si="9"/>
        <v>18097321900_2024</v>
      </c>
      <c r="B227">
        <v>18097321900</v>
      </c>
      <c r="C227">
        <v>2024</v>
      </c>
      <c r="D227">
        <v>-1.4296978452426989</v>
      </c>
      <c r="E227">
        <v>-2.5458121329928762E-2</v>
      </c>
      <c r="F227">
        <v>-0.95663476814478121</v>
      </c>
      <c r="G227">
        <v>-0.19638965390442359</v>
      </c>
      <c r="H227">
        <v>0.35485121462665681</v>
      </c>
      <c r="I227">
        <v>0.26363660291596158</v>
      </c>
      <c r="J227">
        <v>-0.62011743738313541</v>
      </c>
      <c r="K227">
        <v>0.1266853047313036</v>
      </c>
      <c r="M227">
        <f t="shared" si="10"/>
        <v>-2.483124703731046</v>
      </c>
      <c r="N227">
        <f t="shared" si="11"/>
        <v>8</v>
      </c>
    </row>
    <row r="228" spans="1:14" x14ac:dyDescent="0.35">
      <c r="A228" t="str">
        <f t="shared" si="9"/>
        <v>18097321900_2025</v>
      </c>
      <c r="B228">
        <v>18097321900</v>
      </c>
      <c r="C228">
        <v>2025</v>
      </c>
      <c r="D228">
        <v>0.52616542429019986</v>
      </c>
      <c r="E228">
        <v>-0.148806757752939</v>
      </c>
      <c r="F228">
        <v>0.30488474351141731</v>
      </c>
      <c r="G228">
        <v>-8.0372366147209356E-2</v>
      </c>
      <c r="H228">
        <v>1.5416840967558969</v>
      </c>
      <c r="I228">
        <v>0.36518410388197647</v>
      </c>
      <c r="J228">
        <v>-5.9287902464000133E-2</v>
      </c>
      <c r="K228">
        <v>-5.7082264036570497E-2</v>
      </c>
      <c r="M228">
        <f t="shared" si="10"/>
        <v>2.3923690780387714</v>
      </c>
      <c r="N228">
        <f t="shared" si="11"/>
        <v>8</v>
      </c>
    </row>
    <row r="229" spans="1:14" x14ac:dyDescent="0.35">
      <c r="A229" t="str">
        <f t="shared" si="9"/>
        <v>18097321900_2026</v>
      </c>
      <c r="B229">
        <v>18097321900</v>
      </c>
      <c r="C229">
        <v>2026</v>
      </c>
      <c r="D229">
        <v>-1.0273447816515819</v>
      </c>
      <c r="E229">
        <v>-0.1029826779723506</v>
      </c>
      <c r="F229">
        <v>0.34521419130824638</v>
      </c>
      <c r="G229">
        <v>-0.1646265381430369</v>
      </c>
      <c r="H229">
        <v>1.922252883773254</v>
      </c>
      <c r="I229">
        <v>0.38357572836090459</v>
      </c>
      <c r="J229">
        <v>0.20545324356049821</v>
      </c>
      <c r="K229">
        <v>-0.18745042546141649</v>
      </c>
      <c r="M229">
        <f t="shared" si="10"/>
        <v>1.3740916237745173</v>
      </c>
      <c r="N229">
        <f t="shared" si="11"/>
        <v>8</v>
      </c>
    </row>
    <row r="230" spans="1:14" x14ac:dyDescent="0.35">
      <c r="A230" t="str">
        <f t="shared" si="9"/>
        <v>18097321900_2027</v>
      </c>
      <c r="B230">
        <v>18097321900</v>
      </c>
      <c r="C230">
        <v>2027</v>
      </c>
      <c r="D230">
        <v>-4.8206418043957922E-2</v>
      </c>
      <c r="E230">
        <v>-7.9615396358570373E-2</v>
      </c>
      <c r="F230">
        <v>0.3985662321209959</v>
      </c>
      <c r="G230">
        <v>-0.13406870283051439</v>
      </c>
      <c r="H230">
        <v>2.4799875644728502</v>
      </c>
      <c r="I230">
        <v>0.37807409385204638</v>
      </c>
      <c r="J230">
        <v>0.30733033429095968</v>
      </c>
      <c r="K230">
        <v>-0.1700585382532207</v>
      </c>
      <c r="M230">
        <f t="shared" si="10"/>
        <v>3.1320091692505887</v>
      </c>
      <c r="N230">
        <f t="shared" si="11"/>
        <v>8</v>
      </c>
    </row>
    <row r="231" spans="1:14" x14ac:dyDescent="0.35">
      <c r="A231" t="str">
        <f t="shared" si="9"/>
        <v>18097321900_2028</v>
      </c>
      <c r="B231">
        <v>18097321900</v>
      </c>
      <c r="C231">
        <v>2028</v>
      </c>
      <c r="D231">
        <v>-0.71100738762635463</v>
      </c>
      <c r="E231">
        <v>8.9105443255021403E-3</v>
      </c>
      <c r="F231">
        <v>0.48577999395407179</v>
      </c>
      <c r="G231">
        <v>-0.1464695585407399</v>
      </c>
      <c r="H231">
        <v>3.0929887365066229</v>
      </c>
      <c r="I231">
        <v>0.35107764463369279</v>
      </c>
      <c r="J231">
        <v>0.34344757613091309</v>
      </c>
      <c r="K231">
        <v>-0.179689829309048</v>
      </c>
      <c r="M231">
        <f t="shared" si="10"/>
        <v>3.2450377200746603</v>
      </c>
      <c r="N231">
        <f t="shared" si="11"/>
        <v>8</v>
      </c>
    </row>
    <row r="232" spans="1:14" x14ac:dyDescent="0.35">
      <c r="A232" t="str">
        <f t="shared" si="9"/>
        <v>18097322000_2024</v>
      </c>
      <c r="B232">
        <v>18097322000</v>
      </c>
      <c r="C232">
        <v>2024</v>
      </c>
      <c r="D232">
        <v>-1.431867990396503</v>
      </c>
      <c r="E232">
        <v>0.31845419920492118</v>
      </c>
      <c r="F232">
        <v>-0.30633359654267872</v>
      </c>
      <c r="G232">
        <v>-6.6995382350202956E-2</v>
      </c>
      <c r="H232">
        <v>-2.52212776936192E-3</v>
      </c>
      <c r="I232">
        <v>0.21703363925915431</v>
      </c>
      <c r="J232">
        <v>-0.62539408060487833</v>
      </c>
      <c r="K232">
        <v>0.1270140450590562</v>
      </c>
      <c r="M232">
        <f t="shared" si="10"/>
        <v>-1.7706112941404932</v>
      </c>
      <c r="N232">
        <f t="shared" si="11"/>
        <v>8</v>
      </c>
    </row>
    <row r="233" spans="1:14" x14ac:dyDescent="0.35">
      <c r="A233" t="str">
        <f t="shared" si="9"/>
        <v>18097322000_2025</v>
      </c>
      <c r="B233">
        <v>18097322000</v>
      </c>
      <c r="C233">
        <v>2025</v>
      </c>
      <c r="D233">
        <v>0.5286290933823482</v>
      </c>
      <c r="E233">
        <v>-0.14079453333094041</v>
      </c>
      <c r="F233">
        <v>0.18818077796905999</v>
      </c>
      <c r="G233">
        <v>-1.9101822758179961E-2</v>
      </c>
      <c r="H233">
        <v>-0.64139466174960502</v>
      </c>
      <c r="I233">
        <v>0.69259993115970631</v>
      </c>
      <c r="J233">
        <v>-6.4454818369573216E-2</v>
      </c>
      <c r="K233">
        <v>-5.6603736784869269E-2</v>
      </c>
      <c r="M233">
        <f t="shared" si="10"/>
        <v>0.48706022951794659</v>
      </c>
      <c r="N233">
        <f t="shared" si="11"/>
        <v>8</v>
      </c>
    </row>
    <row r="234" spans="1:14" x14ac:dyDescent="0.35">
      <c r="A234" t="str">
        <f t="shared" si="9"/>
        <v>18097322000_2026</v>
      </c>
      <c r="B234">
        <v>18097322000</v>
      </c>
      <c r="C234">
        <v>2026</v>
      </c>
      <c r="D234">
        <v>-1.026721868670543</v>
      </c>
      <c r="E234">
        <v>0.32481987358712522</v>
      </c>
      <c r="F234">
        <v>1.0340854163452069</v>
      </c>
      <c r="G234">
        <v>-4.7632955554764642E-2</v>
      </c>
      <c r="H234">
        <v>-0.52142225884056825</v>
      </c>
      <c r="I234">
        <v>0.53961247742536544</v>
      </c>
      <c r="J234">
        <v>0.20244951874594891</v>
      </c>
      <c r="K234">
        <v>-0.18733665127986179</v>
      </c>
      <c r="M234">
        <f t="shared" si="10"/>
        <v>0.31785355175790886</v>
      </c>
      <c r="N234">
        <f t="shared" si="11"/>
        <v>8</v>
      </c>
    </row>
    <row r="235" spans="1:14" x14ac:dyDescent="0.35">
      <c r="A235" t="str">
        <f t="shared" si="9"/>
        <v>18097322000_2027</v>
      </c>
      <c r="B235">
        <v>18097322000</v>
      </c>
      <c r="C235">
        <v>2027</v>
      </c>
      <c r="D235">
        <v>-4.6817122490279799E-2</v>
      </c>
      <c r="E235">
        <v>6.0906456022116369E-2</v>
      </c>
      <c r="F235">
        <v>-0.568760624721249</v>
      </c>
      <c r="G235">
        <v>-1.457399555587331E-2</v>
      </c>
      <c r="H235">
        <v>-0.59803024072141409</v>
      </c>
      <c r="I235">
        <v>0.54273122632980741</v>
      </c>
      <c r="J235">
        <v>0.30593150092035981</v>
      </c>
      <c r="K235">
        <v>-0.17016093686416139</v>
      </c>
      <c r="M235">
        <f t="shared" si="10"/>
        <v>-0.48877373708069388</v>
      </c>
      <c r="N235">
        <f t="shared" si="11"/>
        <v>8</v>
      </c>
    </row>
    <row r="236" spans="1:14" x14ac:dyDescent="0.35">
      <c r="A236" t="str">
        <f t="shared" si="9"/>
        <v>18097322000_2028</v>
      </c>
      <c r="B236">
        <v>18097322000</v>
      </c>
      <c r="C236">
        <v>2028</v>
      </c>
      <c r="D236">
        <v>-0.70964863349907337</v>
      </c>
      <c r="E236">
        <v>0.29936156483453652</v>
      </c>
      <c r="F236">
        <v>-0.91884702458679679</v>
      </c>
      <c r="G236">
        <v>-3.0798379108132469E-2</v>
      </c>
      <c r="H236">
        <v>-0.54778825594881564</v>
      </c>
      <c r="I236">
        <v>0.45559290394744972</v>
      </c>
      <c r="J236">
        <v>0.3429597251211644</v>
      </c>
      <c r="K236">
        <v>-0.17992430003698981</v>
      </c>
      <c r="M236">
        <f t="shared" si="10"/>
        <v>-1.2890923992766574</v>
      </c>
      <c r="N236">
        <f t="shared" si="11"/>
        <v>8</v>
      </c>
    </row>
    <row r="237" spans="1:14" x14ac:dyDescent="0.35">
      <c r="A237" t="str">
        <f t="shared" si="9"/>
        <v>18097322100_2024</v>
      </c>
      <c r="B237">
        <v>18097322100</v>
      </c>
      <c r="C237">
        <v>2024</v>
      </c>
      <c r="D237">
        <v>-1.1521641220354311</v>
      </c>
      <c r="E237">
        <v>0.47073189003258792</v>
      </c>
      <c r="F237">
        <v>-1.200347652995192</v>
      </c>
      <c r="G237">
        <v>0.63461999618750387</v>
      </c>
      <c r="H237">
        <v>-0.19932868490377451</v>
      </c>
      <c r="I237">
        <v>0.48442483747427212</v>
      </c>
      <c r="J237">
        <v>0.45081304436208319</v>
      </c>
      <c r="K237">
        <v>9.2285762432684257E-2</v>
      </c>
      <c r="M237">
        <f t="shared" si="10"/>
        <v>-0.4189649294452662</v>
      </c>
      <c r="N237">
        <f t="shared" si="11"/>
        <v>8</v>
      </c>
    </row>
    <row r="238" spans="1:14" x14ac:dyDescent="0.35">
      <c r="A238" t="str">
        <f t="shared" si="9"/>
        <v>18097322100_2025</v>
      </c>
      <c r="B238">
        <v>18097322100</v>
      </c>
      <c r="C238">
        <v>2025</v>
      </c>
      <c r="D238">
        <v>0.1585786259582232</v>
      </c>
      <c r="E238">
        <v>0.44437364082560099</v>
      </c>
      <c r="F238">
        <v>-1.377916878606809</v>
      </c>
      <c r="G238">
        <v>1.2378818775232701</v>
      </c>
      <c r="H238">
        <v>-0.77880679511367479</v>
      </c>
      <c r="I238">
        <v>0.5990621008605137</v>
      </c>
      <c r="J238">
        <v>0.22083034060939821</v>
      </c>
      <c r="K238">
        <v>-5.7253388089479558E-2</v>
      </c>
      <c r="M238">
        <f t="shared" si="10"/>
        <v>0.44674952396704282</v>
      </c>
      <c r="N238">
        <f t="shared" si="11"/>
        <v>8</v>
      </c>
    </row>
    <row r="239" spans="1:14" x14ac:dyDescent="0.35">
      <c r="A239" t="str">
        <f t="shared" si="9"/>
        <v>18097322100_2026</v>
      </c>
      <c r="B239">
        <v>18097322100</v>
      </c>
      <c r="C239">
        <v>2026</v>
      </c>
      <c r="D239">
        <v>-1.2715931842209911</v>
      </c>
      <c r="E239">
        <v>0.48828004861590307</v>
      </c>
      <c r="F239">
        <v>-1.434505708949068</v>
      </c>
      <c r="G239">
        <v>1.31644777354085</v>
      </c>
      <c r="H239">
        <v>-0.78898572142852097</v>
      </c>
      <c r="I239">
        <v>0.57847667033017058</v>
      </c>
      <c r="J239">
        <v>0.12357941317723729</v>
      </c>
      <c r="K239">
        <v>-0.13534247806031349</v>
      </c>
      <c r="M239">
        <f t="shared" si="10"/>
        <v>-1.1236431869947323</v>
      </c>
      <c r="N239">
        <f t="shared" si="11"/>
        <v>8</v>
      </c>
    </row>
    <row r="240" spans="1:14" x14ac:dyDescent="0.35">
      <c r="A240" t="str">
        <f t="shared" si="9"/>
        <v>18097322100_2027</v>
      </c>
      <c r="B240">
        <v>18097322100</v>
      </c>
      <c r="C240">
        <v>2027</v>
      </c>
      <c r="D240">
        <v>-0.32553448336568103</v>
      </c>
      <c r="E240">
        <v>0.46373256732861329</v>
      </c>
      <c r="F240">
        <v>-1.6378327415432139</v>
      </c>
      <c r="G240">
        <v>1.525816042061924</v>
      </c>
      <c r="H240">
        <v>-0.7522057720800257</v>
      </c>
      <c r="I240">
        <v>0.52744771507183097</v>
      </c>
      <c r="J240">
        <v>8.6614330681628243E-2</v>
      </c>
      <c r="K240">
        <v>-9.0944473841421999E-2</v>
      </c>
      <c r="M240">
        <f t="shared" si="10"/>
        <v>-0.20290681568634616</v>
      </c>
      <c r="N240">
        <f t="shared" si="11"/>
        <v>8</v>
      </c>
    </row>
    <row r="241" spans="1:14" x14ac:dyDescent="0.35">
      <c r="A241" t="str">
        <f t="shared" si="9"/>
        <v>18097322100_2028</v>
      </c>
      <c r="B241">
        <v>18097322100</v>
      </c>
      <c r="C241">
        <v>2028</v>
      </c>
      <c r="D241">
        <v>-1.035309147269162</v>
      </c>
      <c r="E241">
        <v>0.4870358695095186</v>
      </c>
      <c r="F241">
        <v>-1.7398513420603789</v>
      </c>
      <c r="G241">
        <v>1.4124514879085639</v>
      </c>
      <c r="H241">
        <v>-0.65505286599918822</v>
      </c>
      <c r="I241">
        <v>0.45803182019271071</v>
      </c>
      <c r="J241">
        <v>7.0294213560224583E-2</v>
      </c>
      <c r="K241">
        <v>-8.5689873230702873E-2</v>
      </c>
      <c r="M241">
        <f t="shared" si="10"/>
        <v>-1.0880898373884138</v>
      </c>
      <c r="N241">
        <f t="shared" si="11"/>
        <v>8</v>
      </c>
    </row>
    <row r="242" spans="1:14" x14ac:dyDescent="0.35">
      <c r="A242" t="str">
        <f t="shared" si="9"/>
        <v>18097322200_2024</v>
      </c>
      <c r="B242">
        <v>18097322200</v>
      </c>
      <c r="C242">
        <v>2024</v>
      </c>
      <c r="D242">
        <v>-1.152154724000378</v>
      </c>
      <c r="E242">
        <v>0.48222073283910583</v>
      </c>
      <c r="F242">
        <v>-0.82264061965861368</v>
      </c>
      <c r="G242">
        <v>7.7866650414750174E-2</v>
      </c>
      <c r="I242">
        <v>0.24914188499848691</v>
      </c>
      <c r="J242">
        <v>0.45081304436208319</v>
      </c>
      <c r="K242">
        <v>9.2285762432684257E-2</v>
      </c>
      <c r="M242">
        <f t="shared" si="10"/>
        <v>-0.62246726861188106</v>
      </c>
      <c r="N242">
        <f t="shared" si="11"/>
        <v>7</v>
      </c>
    </row>
    <row r="243" spans="1:14" x14ac:dyDescent="0.35">
      <c r="A243" t="str">
        <f t="shared" si="9"/>
        <v>18097322200_2025</v>
      </c>
      <c r="B243">
        <v>18097322200</v>
      </c>
      <c r="C243">
        <v>2025</v>
      </c>
      <c r="D243">
        <v>0.15858705064958861</v>
      </c>
      <c r="E243">
        <v>-0.10850308830377831</v>
      </c>
      <c r="F243">
        <v>-0.70127075527293448</v>
      </c>
      <c r="G243">
        <v>0.71128204257806393</v>
      </c>
      <c r="I243">
        <v>0.55411083487222856</v>
      </c>
      <c r="J243">
        <v>0.22083034060939821</v>
      </c>
      <c r="K243">
        <v>-5.7253388089479558E-2</v>
      </c>
      <c r="M243">
        <f t="shared" si="10"/>
        <v>0.77778303704308693</v>
      </c>
      <c r="N243">
        <f t="shared" si="11"/>
        <v>7</v>
      </c>
    </row>
    <row r="244" spans="1:14" x14ac:dyDescent="0.35">
      <c r="A244" t="str">
        <f t="shared" si="9"/>
        <v>18097322200_2026</v>
      </c>
      <c r="B244">
        <v>18097322200</v>
      </c>
      <c r="C244">
        <v>2026</v>
      </c>
      <c r="D244">
        <v>-1.2715799880560881</v>
      </c>
      <c r="E244">
        <v>0.237222868842244</v>
      </c>
      <c r="F244">
        <v>-0.70897744869807</v>
      </c>
      <c r="G244">
        <v>0.7709685530769248</v>
      </c>
      <c r="I244">
        <v>0.56301805248917192</v>
      </c>
      <c r="J244">
        <v>0.12357941317723729</v>
      </c>
      <c r="K244">
        <v>-0.13534247806031349</v>
      </c>
      <c r="M244">
        <f t="shared" si="10"/>
        <v>-0.4211110272288936</v>
      </c>
      <c r="N244">
        <f t="shared" si="11"/>
        <v>7</v>
      </c>
    </row>
    <row r="245" spans="1:14" x14ac:dyDescent="0.35">
      <c r="A245" t="str">
        <f t="shared" si="9"/>
        <v>18097322200_2027</v>
      </c>
      <c r="B245">
        <v>18097322200</v>
      </c>
      <c r="C245">
        <v>2027</v>
      </c>
      <c r="D245">
        <v>-0.32552274547593413</v>
      </c>
      <c r="E245">
        <v>0.1528286417794209</v>
      </c>
      <c r="F245">
        <v>-0.81802982179685257</v>
      </c>
      <c r="G245">
        <v>1.012811384548943</v>
      </c>
      <c r="I245">
        <v>0.51818722462086808</v>
      </c>
      <c r="J245">
        <v>8.6614330681628243E-2</v>
      </c>
      <c r="K245">
        <v>-9.0944473841421999E-2</v>
      </c>
      <c r="M245">
        <f t="shared" si="10"/>
        <v>0.53594454051665164</v>
      </c>
      <c r="N245">
        <f t="shared" si="11"/>
        <v>7</v>
      </c>
    </row>
    <row r="246" spans="1:14" x14ac:dyDescent="0.35">
      <c r="A246" t="str">
        <f t="shared" si="9"/>
        <v>18097322200_2028</v>
      </c>
      <c r="B246">
        <v>18097322200</v>
      </c>
      <c r="C246">
        <v>2028</v>
      </c>
      <c r="D246">
        <v>-1.0352946486972441</v>
      </c>
      <c r="E246">
        <v>0.24476532911862561</v>
      </c>
      <c r="F246">
        <v>-0.84246466253237762</v>
      </c>
      <c r="G246">
        <v>0.94653073905211083</v>
      </c>
      <c r="I246">
        <v>0.45170334982729671</v>
      </c>
      <c r="J246">
        <v>7.0294213560224583E-2</v>
      </c>
      <c r="K246">
        <v>-8.5689873230702873E-2</v>
      </c>
      <c r="M246">
        <f t="shared" si="10"/>
        <v>-0.25015555290206676</v>
      </c>
      <c r="N246">
        <f t="shared" si="11"/>
        <v>7</v>
      </c>
    </row>
    <row r="247" spans="1:14" x14ac:dyDescent="0.35">
      <c r="A247" t="str">
        <f t="shared" si="9"/>
        <v>18097322300_2024</v>
      </c>
      <c r="B247">
        <v>18097322300</v>
      </c>
      <c r="C247">
        <v>2024</v>
      </c>
      <c r="D247">
        <v>-1.1521640110751681</v>
      </c>
      <c r="E247">
        <v>9.1105267591265526E-2</v>
      </c>
      <c r="F247">
        <v>-0.69299337312287257</v>
      </c>
      <c r="G247">
        <v>-0.1112017646398293</v>
      </c>
      <c r="H247">
        <v>4.5488943024720096E-3</v>
      </c>
      <c r="I247">
        <v>0.18230688571845549</v>
      </c>
      <c r="J247">
        <v>0.45081304436208319</v>
      </c>
      <c r="K247">
        <v>9.2285762432684257E-2</v>
      </c>
      <c r="M247">
        <f t="shared" si="10"/>
        <v>-1.1352992944309093</v>
      </c>
      <c r="N247">
        <f t="shared" si="11"/>
        <v>8</v>
      </c>
    </row>
    <row r="248" spans="1:14" x14ac:dyDescent="0.35">
      <c r="A248" t="str">
        <f t="shared" si="9"/>
        <v>18097322300_2025</v>
      </c>
      <c r="B248">
        <v>18097322300</v>
      </c>
      <c r="C248">
        <v>2025</v>
      </c>
      <c r="D248">
        <v>0.15857845897382131</v>
      </c>
      <c r="E248">
        <v>-4.8043554291917208E-2</v>
      </c>
      <c r="F248">
        <v>-1.0523878710551571</v>
      </c>
      <c r="G248">
        <v>-6.5121827696843729E-2</v>
      </c>
      <c r="H248">
        <v>-3.3103966459974119</v>
      </c>
      <c r="I248">
        <v>0.31302188710477091</v>
      </c>
      <c r="J248">
        <v>0.22083034060939821</v>
      </c>
      <c r="K248">
        <v>-5.7253388089479558E-2</v>
      </c>
      <c r="M248">
        <f t="shared" si="10"/>
        <v>-3.8407726004428193</v>
      </c>
      <c r="N248">
        <f t="shared" si="11"/>
        <v>8</v>
      </c>
    </row>
    <row r="249" spans="1:14" x14ac:dyDescent="0.35">
      <c r="A249" t="str">
        <f t="shared" si="9"/>
        <v>18097322300_2026</v>
      </c>
      <c r="B249">
        <v>18097322300</v>
      </c>
      <c r="C249">
        <v>2026</v>
      </c>
      <c r="D249">
        <v>-1.271593217444132</v>
      </c>
      <c r="E249">
        <v>8.0553975184508506E-3</v>
      </c>
      <c r="F249">
        <v>-0.97712642359534096</v>
      </c>
      <c r="G249">
        <v>-0.11266670234801859</v>
      </c>
      <c r="H249">
        <v>1.6395966964385531E-2</v>
      </c>
      <c r="I249">
        <v>0.32758277647534678</v>
      </c>
      <c r="J249">
        <v>0.12357941317723729</v>
      </c>
      <c r="K249">
        <v>-0.13534247806031349</v>
      </c>
      <c r="M249">
        <f t="shared" si="10"/>
        <v>-2.0211152673123851</v>
      </c>
      <c r="N249">
        <f t="shared" si="11"/>
        <v>8</v>
      </c>
    </row>
    <row r="250" spans="1:14" x14ac:dyDescent="0.35">
      <c r="A250" t="str">
        <f t="shared" si="9"/>
        <v>18097322300_2027</v>
      </c>
      <c r="B250">
        <v>18097322300</v>
      </c>
      <c r="C250">
        <v>2027</v>
      </c>
      <c r="D250">
        <v>-0.32553457112162137</v>
      </c>
      <c r="E250">
        <v>1.1235513158145459E-2</v>
      </c>
      <c r="F250">
        <v>-1.051718021795256</v>
      </c>
      <c r="G250">
        <v>-8.1557995650832243E-2</v>
      </c>
      <c r="H250">
        <v>9.2229749747338007E-3</v>
      </c>
      <c r="I250">
        <v>0.33558432443168612</v>
      </c>
      <c r="J250">
        <v>8.6614330681628243E-2</v>
      </c>
      <c r="K250">
        <v>-9.0944473841421999E-2</v>
      </c>
      <c r="M250">
        <f t="shared" si="10"/>
        <v>-1.107097919162938</v>
      </c>
      <c r="N250">
        <f t="shared" si="11"/>
        <v>8</v>
      </c>
    </row>
    <row r="251" spans="1:14" x14ac:dyDescent="0.35">
      <c r="A251" t="str">
        <f t="shared" si="9"/>
        <v>18097322300_2028</v>
      </c>
      <c r="B251">
        <v>18097322300</v>
      </c>
      <c r="C251">
        <v>2028</v>
      </c>
      <c r="D251">
        <v>-1.0353092335870031</v>
      </c>
      <c r="E251">
        <v>8.9919796523044576E-2</v>
      </c>
      <c r="F251">
        <v>-1.0699791432141399</v>
      </c>
      <c r="G251">
        <v>-9.6302811098926674E-2</v>
      </c>
      <c r="H251">
        <v>-1.4464087579739471</v>
      </c>
      <c r="I251">
        <v>0.31986005236760329</v>
      </c>
      <c r="J251">
        <v>7.0294213560224583E-2</v>
      </c>
      <c r="K251">
        <v>-8.5689873230702873E-2</v>
      </c>
      <c r="M251">
        <f t="shared" si="10"/>
        <v>-3.2536157566538471</v>
      </c>
      <c r="N251">
        <f t="shared" si="11"/>
        <v>8</v>
      </c>
    </row>
    <row r="252" spans="1:14" x14ac:dyDescent="0.35">
      <c r="A252" t="str">
        <f t="shared" si="9"/>
        <v>18097322400_2024</v>
      </c>
      <c r="B252">
        <v>18097322400</v>
      </c>
      <c r="C252">
        <v>2024</v>
      </c>
      <c r="D252">
        <v>-1.1521650186037411</v>
      </c>
      <c r="E252">
        <v>0.40360786850335451</v>
      </c>
      <c r="F252">
        <v>1.4811186721181851E-2</v>
      </c>
      <c r="G252">
        <v>-0.19858457036318389</v>
      </c>
      <c r="H252">
        <v>0.14120570712613581</v>
      </c>
      <c r="I252">
        <v>0.36183810653544191</v>
      </c>
      <c r="J252">
        <v>0.45081304436208319</v>
      </c>
      <c r="K252">
        <v>9.2285762432684257E-2</v>
      </c>
      <c r="M252">
        <f t="shared" si="10"/>
        <v>0.11381208671395653</v>
      </c>
      <c r="N252">
        <f t="shared" si="11"/>
        <v>8</v>
      </c>
    </row>
    <row r="253" spans="1:14" x14ac:dyDescent="0.35">
      <c r="A253" t="str">
        <f t="shared" si="9"/>
        <v>18097322400_2025</v>
      </c>
      <c r="B253">
        <v>18097322400</v>
      </c>
      <c r="C253">
        <v>2025</v>
      </c>
      <c r="D253">
        <v>0.15858001486469389</v>
      </c>
      <c r="E253">
        <v>0.44868811257731062</v>
      </c>
      <c r="F253">
        <v>0.38335000771792532</v>
      </c>
      <c r="G253">
        <v>-0.27451504183877989</v>
      </c>
      <c r="H253">
        <v>0.77573818945548634</v>
      </c>
      <c r="I253">
        <v>0.65607346064651484</v>
      </c>
      <c r="J253">
        <v>0.22083034060939821</v>
      </c>
      <c r="K253">
        <v>-5.7253388089479558E-2</v>
      </c>
      <c r="M253">
        <f t="shared" si="10"/>
        <v>2.31149169594307</v>
      </c>
      <c r="N253">
        <f t="shared" si="11"/>
        <v>8</v>
      </c>
    </row>
    <row r="254" spans="1:14" x14ac:dyDescent="0.35">
      <c r="A254" t="str">
        <f t="shared" si="9"/>
        <v>18097322400_2026</v>
      </c>
      <c r="B254">
        <v>18097322400</v>
      </c>
      <c r="C254">
        <v>2026</v>
      </c>
      <c r="D254">
        <v>-1.271592887638318</v>
      </c>
      <c r="E254">
        <v>0.55206594255732155</v>
      </c>
      <c r="F254">
        <v>0.33233649043523988</v>
      </c>
      <c r="G254">
        <v>-0.30177314073092348</v>
      </c>
      <c r="H254">
        <v>0.4747240128274326</v>
      </c>
      <c r="I254">
        <v>0.69931089072443209</v>
      </c>
      <c r="J254">
        <v>0.12357941317723729</v>
      </c>
      <c r="K254">
        <v>-0.13534247806031349</v>
      </c>
      <c r="M254">
        <f t="shared" si="10"/>
        <v>0.47330824329210841</v>
      </c>
      <c r="N254">
        <f t="shared" si="11"/>
        <v>8</v>
      </c>
    </row>
    <row r="255" spans="1:14" x14ac:dyDescent="0.35">
      <c r="A255" t="str">
        <f t="shared" si="9"/>
        <v>18097322400_2027</v>
      </c>
      <c r="B255">
        <v>18097322400</v>
      </c>
      <c r="C255">
        <v>2027</v>
      </c>
      <c r="D255">
        <v>-0.32553374060119339</v>
      </c>
      <c r="E255">
        <v>0.52735211639384383</v>
      </c>
      <c r="F255">
        <v>0.41161259579899862</v>
      </c>
      <c r="G255">
        <v>-0.30172915132388411</v>
      </c>
      <c r="H255">
        <v>0.55398300539208067</v>
      </c>
      <c r="I255">
        <v>0.64217186690668204</v>
      </c>
      <c r="J255">
        <v>8.6614330681628243E-2</v>
      </c>
      <c r="K255">
        <v>-9.0944473841421999E-2</v>
      </c>
      <c r="M255">
        <f t="shared" si="10"/>
        <v>1.5035265494067338</v>
      </c>
      <c r="N255">
        <f t="shared" si="11"/>
        <v>8</v>
      </c>
    </row>
    <row r="256" spans="1:14" x14ac:dyDescent="0.35">
      <c r="A256" t="str">
        <f t="shared" si="9"/>
        <v>18097322400_2028</v>
      </c>
      <c r="B256">
        <v>18097322400</v>
      </c>
      <c r="C256">
        <v>2028</v>
      </c>
      <c r="D256">
        <v>-1.0353084114864839</v>
      </c>
      <c r="E256">
        <v>0.54285618513058564</v>
      </c>
      <c r="F256">
        <v>0.49238114227116958</v>
      </c>
      <c r="G256">
        <v>-0.30049852850001041</v>
      </c>
      <c r="H256">
        <v>0.29216465052960672</v>
      </c>
      <c r="I256">
        <v>0.54674362142718946</v>
      </c>
      <c r="J256">
        <v>7.0294213560224583E-2</v>
      </c>
      <c r="K256">
        <v>-8.5689873230702873E-2</v>
      </c>
      <c r="M256">
        <f t="shared" si="10"/>
        <v>0.52294299970157887</v>
      </c>
      <c r="N256">
        <f t="shared" si="11"/>
        <v>8</v>
      </c>
    </row>
    <row r="257" spans="1:14" x14ac:dyDescent="0.35">
      <c r="A257" t="str">
        <f t="shared" si="9"/>
        <v>18097322500_2024</v>
      </c>
      <c r="B257">
        <v>18097322500</v>
      </c>
      <c r="C257">
        <v>2024</v>
      </c>
      <c r="D257">
        <v>-1.152163730450144</v>
      </c>
      <c r="F257">
        <v>1.1464773530312711</v>
      </c>
      <c r="G257">
        <v>-0.14937489619156499</v>
      </c>
      <c r="H257">
        <v>2.6170222064781829E-2</v>
      </c>
      <c r="I257">
        <v>0.20970008962471279</v>
      </c>
      <c r="J257">
        <v>0.45081304436208319</v>
      </c>
      <c r="K257">
        <v>9.2285762432684257E-2</v>
      </c>
      <c r="M257">
        <f t="shared" si="10"/>
        <v>0.62390784487382422</v>
      </c>
      <c r="N257">
        <f t="shared" si="11"/>
        <v>7</v>
      </c>
    </row>
    <row r="258" spans="1:14" x14ac:dyDescent="0.35">
      <c r="A258" t="str">
        <f t="shared" si="9"/>
        <v>18097322500_2025</v>
      </c>
      <c r="B258">
        <v>18097322500</v>
      </c>
      <c r="C258">
        <v>2025</v>
      </c>
      <c r="D258">
        <v>0.15857803489938491</v>
      </c>
      <c r="F258">
        <v>8.740133035770066E-2</v>
      </c>
      <c r="G258">
        <v>-0.35788129742014102</v>
      </c>
      <c r="H258">
        <v>-0.27143570877558482</v>
      </c>
      <c r="I258">
        <v>0.64207178359331396</v>
      </c>
      <c r="J258">
        <v>0.22083034060939821</v>
      </c>
      <c r="K258">
        <v>-5.7253388089479558E-2</v>
      </c>
      <c r="M258">
        <f t="shared" si="10"/>
        <v>0.42231109517459237</v>
      </c>
      <c r="N258">
        <f t="shared" si="11"/>
        <v>7</v>
      </c>
    </row>
    <row r="259" spans="1:14" x14ac:dyDescent="0.35">
      <c r="A259" t="str">
        <f t="shared" ref="A259:A322" si="12">TEXT(B259,0)&amp;"_"&amp;TEXT(C259,0)</f>
        <v>18097322500_2026</v>
      </c>
      <c r="B259">
        <v>18097322500</v>
      </c>
      <c r="C259">
        <v>2026</v>
      </c>
      <c r="D259">
        <v>-1.271593302716489</v>
      </c>
      <c r="F259">
        <v>0.11402460680193351</v>
      </c>
      <c r="G259">
        <v>-0.37867208116635748</v>
      </c>
      <c r="H259">
        <v>-0.13304565498950721</v>
      </c>
      <c r="I259">
        <v>0.60261664612476662</v>
      </c>
      <c r="J259">
        <v>0.12357941317723729</v>
      </c>
      <c r="K259">
        <v>-0.13534247806031349</v>
      </c>
      <c r="M259">
        <f t="shared" ref="M259:M322" si="13">SUM(D259:K259)</f>
        <v>-1.0784328508287297</v>
      </c>
      <c r="N259">
        <f t="shared" ref="N259:N322" si="14">IF(D259=0,0,1)+IF(E259=0,0,1)+IF(F259=0,0,1)+IF(G259=0,0,1)+IF(H259=0,0,1)+IF(I259=0,0,1)++IF(J259=0,0,1)++IF(K259=0,0,1)</f>
        <v>7</v>
      </c>
    </row>
    <row r="260" spans="1:14" x14ac:dyDescent="0.35">
      <c r="A260" t="str">
        <f t="shared" si="12"/>
        <v>18097322500_2027</v>
      </c>
      <c r="B260">
        <v>18097322500</v>
      </c>
      <c r="C260">
        <v>2027</v>
      </c>
      <c r="D260">
        <v>-0.32553479455742529</v>
      </c>
      <c r="F260">
        <v>0.13572796858314559</v>
      </c>
      <c r="G260">
        <v>-0.39348451637892418</v>
      </c>
      <c r="H260">
        <v>-0.24843025697581569</v>
      </c>
      <c r="I260">
        <v>0.54854864845182838</v>
      </c>
      <c r="J260">
        <v>8.6614330681628243E-2</v>
      </c>
      <c r="K260">
        <v>-9.0944473841421999E-2</v>
      </c>
      <c r="M260">
        <f t="shared" si="13"/>
        <v>-0.28750309403698493</v>
      </c>
      <c r="N260">
        <f t="shared" si="14"/>
        <v>7</v>
      </c>
    </row>
    <row r="261" spans="1:14" x14ac:dyDescent="0.35">
      <c r="A261" t="str">
        <f t="shared" si="12"/>
        <v>18097322500_2028</v>
      </c>
      <c r="B261">
        <v>18097322500</v>
      </c>
      <c r="C261">
        <v>2028</v>
      </c>
      <c r="D261">
        <v>-1.0353094535915239</v>
      </c>
      <c r="F261">
        <v>0.198899129365429</v>
      </c>
      <c r="G261">
        <v>-0.38585549049096501</v>
      </c>
      <c r="H261">
        <v>-0.29395283034778458</v>
      </c>
      <c r="I261">
        <v>0.47300681762195779</v>
      </c>
      <c r="J261">
        <v>7.0294213560224583E-2</v>
      </c>
      <c r="K261">
        <v>-8.5689873230702873E-2</v>
      </c>
      <c r="M261">
        <f t="shared" si="13"/>
        <v>-1.0586074871133651</v>
      </c>
      <c r="N261">
        <f t="shared" si="14"/>
        <v>7</v>
      </c>
    </row>
    <row r="262" spans="1:14" x14ac:dyDescent="0.35">
      <c r="A262" t="str">
        <f t="shared" si="12"/>
        <v>18097322601_2024</v>
      </c>
      <c r="B262">
        <v>18097322601</v>
      </c>
      <c r="C262">
        <v>2024</v>
      </c>
      <c r="D262">
        <v>-1.1180879448522441</v>
      </c>
      <c r="F262">
        <v>1.1580453817914029</v>
      </c>
      <c r="H262">
        <v>-8.4888089868982233E-2</v>
      </c>
      <c r="I262">
        <v>0.40074487286303312</v>
      </c>
      <c r="J262">
        <v>0.6013708363009973</v>
      </c>
      <c r="K262">
        <v>0.19678708887663601</v>
      </c>
      <c r="M262">
        <f t="shared" si="13"/>
        <v>1.1539721451108431</v>
      </c>
      <c r="N262">
        <f t="shared" si="14"/>
        <v>6</v>
      </c>
    </row>
    <row r="263" spans="1:14" x14ac:dyDescent="0.35">
      <c r="A263" t="str">
        <f t="shared" si="12"/>
        <v>18097322601_2025</v>
      </c>
      <c r="B263">
        <v>18097322601</v>
      </c>
      <c r="C263">
        <v>2025</v>
      </c>
      <c r="D263">
        <v>6.6797569298303744E-2</v>
      </c>
      <c r="F263">
        <v>1.1742895603628889</v>
      </c>
      <c r="H263">
        <v>-0.77926486748120749</v>
      </c>
      <c r="I263">
        <v>4.3642062883700028</v>
      </c>
      <c r="J263">
        <v>0.29388718440343847</v>
      </c>
      <c r="K263">
        <v>7.1630619868552611E-2</v>
      </c>
      <c r="M263">
        <f t="shared" si="13"/>
        <v>5.1915463548219787</v>
      </c>
      <c r="N263">
        <f t="shared" si="14"/>
        <v>6</v>
      </c>
    </row>
    <row r="264" spans="1:14" x14ac:dyDescent="0.35">
      <c r="A264" t="str">
        <f t="shared" si="12"/>
        <v>18097322601_2026</v>
      </c>
      <c r="B264">
        <v>18097322601</v>
      </c>
      <c r="C264">
        <v>2026</v>
      </c>
      <c r="D264">
        <v>-1.2987956856726011</v>
      </c>
      <c r="F264">
        <v>-0.84896312613776514</v>
      </c>
      <c r="H264">
        <v>-0.66952273541738738</v>
      </c>
      <c r="I264">
        <v>0.97340121959583181</v>
      </c>
      <c r="J264">
        <v>0.1967973532399083</v>
      </c>
      <c r="K264">
        <v>1.9184937828887701E-2</v>
      </c>
      <c r="M264">
        <f t="shared" si="13"/>
        <v>-1.6278980365631255</v>
      </c>
      <c r="N264">
        <f t="shared" si="14"/>
        <v>6</v>
      </c>
    </row>
    <row r="265" spans="1:14" x14ac:dyDescent="0.35">
      <c r="A265" t="str">
        <f t="shared" si="12"/>
        <v>18097322601_2027</v>
      </c>
      <c r="B265">
        <v>18097322601</v>
      </c>
      <c r="C265">
        <v>2027</v>
      </c>
      <c r="D265">
        <v>-0.38284996119384118</v>
      </c>
      <c r="F265">
        <v>1.346860101958788</v>
      </c>
      <c r="H265">
        <v>-0.69547107473493763</v>
      </c>
      <c r="I265">
        <v>2.2766372746065842</v>
      </c>
      <c r="J265">
        <v>0.15883373428235709</v>
      </c>
      <c r="K265">
        <v>4.0939417898691252E-2</v>
      </c>
      <c r="M265">
        <f t="shared" si="13"/>
        <v>2.7449494928176414</v>
      </c>
      <c r="N265">
        <f t="shared" si="14"/>
        <v>6</v>
      </c>
    </row>
    <row r="266" spans="1:14" x14ac:dyDescent="0.35">
      <c r="A266" t="str">
        <f t="shared" si="12"/>
        <v>18097322601_2028</v>
      </c>
      <c r="B266">
        <v>18097322601</v>
      </c>
      <c r="C266">
        <v>2028</v>
      </c>
      <c r="D266">
        <v>-1.092281955738309</v>
      </c>
      <c r="F266">
        <v>-0.91181355167776279</v>
      </c>
      <c r="H266">
        <v>-0.61311334356613989</v>
      </c>
      <c r="I266">
        <v>0.77172767407411336</v>
      </c>
      <c r="J266">
        <v>0.14184574094124491</v>
      </c>
      <c r="K266">
        <v>4.7155452090928668E-2</v>
      </c>
      <c r="M266">
        <f t="shared" si="13"/>
        <v>-1.6564799838759248</v>
      </c>
      <c r="N266">
        <f t="shared" si="14"/>
        <v>6</v>
      </c>
    </row>
    <row r="267" spans="1:14" x14ac:dyDescent="0.35">
      <c r="A267" t="str">
        <f t="shared" si="12"/>
        <v>18097322602_2024</v>
      </c>
      <c r="B267">
        <v>18097322602</v>
      </c>
      <c r="C267">
        <v>2024</v>
      </c>
      <c r="D267">
        <v>-1.146955847998403</v>
      </c>
      <c r="E267">
        <v>-0.24607884544423689</v>
      </c>
      <c r="F267">
        <v>1.073542556983631</v>
      </c>
      <c r="G267">
        <v>-0.49518088547937272</v>
      </c>
      <c r="I267">
        <v>0.3721827301894971</v>
      </c>
      <c r="J267">
        <v>0.46511419186276998</v>
      </c>
      <c r="K267">
        <v>9.0438977659592384E-2</v>
      </c>
      <c r="M267">
        <f t="shared" si="13"/>
        <v>0.11306287777347793</v>
      </c>
      <c r="N267">
        <f t="shared" si="14"/>
        <v>7</v>
      </c>
    </row>
    <row r="268" spans="1:14" x14ac:dyDescent="0.35">
      <c r="A268" t="str">
        <f t="shared" si="12"/>
        <v>18097322602_2025</v>
      </c>
      <c r="B268">
        <v>18097322602</v>
      </c>
      <c r="C268">
        <v>2025</v>
      </c>
      <c r="D268">
        <v>0.1580415209931619</v>
      </c>
      <c r="E268">
        <v>-0.28523179982791091</v>
      </c>
      <c r="F268">
        <v>-0.51218328341245156</v>
      </c>
      <c r="G268">
        <v>0.64497839818090996</v>
      </c>
      <c r="I268">
        <v>1.2678165280643401</v>
      </c>
      <c r="J268">
        <v>0.2252413899536341</v>
      </c>
      <c r="K268">
        <v>-6.3017577596067825E-2</v>
      </c>
      <c r="M268">
        <f t="shared" si="13"/>
        <v>1.4356451763556157</v>
      </c>
      <c r="N268">
        <f t="shared" si="14"/>
        <v>7</v>
      </c>
    </row>
    <row r="269" spans="1:14" x14ac:dyDescent="0.35">
      <c r="A269" t="str">
        <f t="shared" si="12"/>
        <v>18097322602_2026</v>
      </c>
      <c r="B269">
        <v>18097322602</v>
      </c>
      <c r="C269">
        <v>2026</v>
      </c>
      <c r="D269">
        <v>-1.2682675516217601</v>
      </c>
      <c r="E269">
        <v>-0.55493517138038606</v>
      </c>
      <c r="F269">
        <v>0.84500434099791155</v>
      </c>
      <c r="G269">
        <v>-0.9763816893003644</v>
      </c>
      <c r="I269">
        <v>0.87231467495123227</v>
      </c>
      <c r="J269">
        <v>0.127847958663316</v>
      </c>
      <c r="K269">
        <v>-0.14051375987589559</v>
      </c>
      <c r="M269">
        <f t="shared" si="13"/>
        <v>-1.0949311975659464</v>
      </c>
      <c r="N269">
        <f t="shared" si="14"/>
        <v>7</v>
      </c>
    </row>
    <row r="270" spans="1:14" x14ac:dyDescent="0.35">
      <c r="A270" t="str">
        <f t="shared" si="12"/>
        <v>18097322602_2027</v>
      </c>
      <c r="B270">
        <v>18097322602</v>
      </c>
      <c r="C270">
        <v>2027</v>
      </c>
      <c r="D270">
        <v>-0.32360602960245127</v>
      </c>
      <c r="E270">
        <v>-0.25416850299297328</v>
      </c>
      <c r="F270">
        <v>-0.545847566346357</v>
      </c>
      <c r="G270">
        <v>0.57150050715495426</v>
      </c>
      <c r="I270">
        <v>0.84503036432058209</v>
      </c>
      <c r="J270">
        <v>9.0824785838380023E-2</v>
      </c>
      <c r="K270">
        <v>-9.5801807874492675E-2</v>
      </c>
      <c r="M270">
        <f t="shared" si="13"/>
        <v>0.28793175049764219</v>
      </c>
      <c r="N270">
        <f t="shared" si="14"/>
        <v>7</v>
      </c>
    </row>
    <row r="271" spans="1:14" x14ac:dyDescent="0.35">
      <c r="A271" t="str">
        <f t="shared" si="12"/>
        <v>18097322602_2028</v>
      </c>
      <c r="B271">
        <v>18097322602</v>
      </c>
      <c r="C271">
        <v>2028</v>
      </c>
      <c r="D271">
        <v>-1.032542007741758</v>
      </c>
      <c r="E271">
        <v>-0.37975699100371002</v>
      </c>
      <c r="F271">
        <v>1.0331632258787651</v>
      </c>
      <c r="G271">
        <v>-0.91419834743921402</v>
      </c>
      <c r="I271">
        <v>0.64590343465443556</v>
      </c>
      <c r="J271">
        <v>7.4465714611476969E-2</v>
      </c>
      <c r="K271">
        <v>-9.0370495017056157E-2</v>
      </c>
      <c r="M271">
        <f t="shared" si="13"/>
        <v>-0.66333546605706062</v>
      </c>
      <c r="N271">
        <f t="shared" si="14"/>
        <v>7</v>
      </c>
    </row>
    <row r="272" spans="1:14" x14ac:dyDescent="0.35">
      <c r="A272" t="str">
        <f t="shared" si="12"/>
        <v>18097322700_2024</v>
      </c>
      <c r="B272">
        <v>18097322700</v>
      </c>
      <c r="C272">
        <v>2024</v>
      </c>
      <c r="D272">
        <v>-0.10258478638865021</v>
      </c>
      <c r="E272">
        <v>0.35889797396792911</v>
      </c>
      <c r="F272">
        <v>-1.205121887611877</v>
      </c>
      <c r="G272">
        <v>-3.6738364212540328E-2</v>
      </c>
      <c r="H272">
        <v>2.9001355906532831E-2</v>
      </c>
      <c r="I272">
        <v>1.0857356510904359</v>
      </c>
      <c r="J272">
        <v>0.34565490891099959</v>
      </c>
      <c r="K272">
        <v>-6.5148384287243552E-2</v>
      </c>
      <c r="M272">
        <f t="shared" si="13"/>
        <v>0.4096964673755864</v>
      </c>
      <c r="N272">
        <f t="shared" si="14"/>
        <v>8</v>
      </c>
    </row>
    <row r="273" spans="1:14" x14ac:dyDescent="0.35">
      <c r="A273" t="str">
        <f t="shared" si="12"/>
        <v>18097322700_2025</v>
      </c>
      <c r="B273">
        <v>18097322700</v>
      </c>
      <c r="C273">
        <v>2025</v>
      </c>
      <c r="D273">
        <v>-0.43474818015926348</v>
      </c>
      <c r="E273">
        <v>7.8904922639468661E-2</v>
      </c>
      <c r="F273">
        <v>-1.25461166100386</v>
      </c>
      <c r="G273">
        <v>-2.6048510032668499</v>
      </c>
      <c r="H273">
        <v>4.466644110651434E-2</v>
      </c>
      <c r="I273">
        <v>1.1493734076778961</v>
      </c>
      <c r="J273">
        <v>0.50824821402657738</v>
      </c>
      <c r="K273">
        <v>-0.57007103235285872</v>
      </c>
      <c r="M273">
        <f t="shared" si="13"/>
        <v>-3.0830888913323751</v>
      </c>
      <c r="N273">
        <f t="shared" si="14"/>
        <v>8</v>
      </c>
    </row>
    <row r="274" spans="1:14" x14ac:dyDescent="0.35">
      <c r="A274" t="str">
        <f t="shared" si="12"/>
        <v>18097322700_2026</v>
      </c>
      <c r="B274">
        <v>18097322700</v>
      </c>
      <c r="C274">
        <v>2026</v>
      </c>
      <c r="D274">
        <v>-0.33369437382274081</v>
      </c>
      <c r="E274">
        <v>0.32848650205058633</v>
      </c>
      <c r="F274">
        <v>-1.519398360175626</v>
      </c>
      <c r="G274">
        <v>1.647237195539079</v>
      </c>
      <c r="H274">
        <v>-7.1979749896154716E-2</v>
      </c>
      <c r="I274">
        <v>0.976024773855103</v>
      </c>
      <c r="J274">
        <v>0.47071266684408958</v>
      </c>
      <c r="K274">
        <v>-0.62624769336639241</v>
      </c>
      <c r="M274">
        <f t="shared" si="13"/>
        <v>0.87114096102794403</v>
      </c>
      <c r="N274">
        <f t="shared" si="14"/>
        <v>8</v>
      </c>
    </row>
    <row r="275" spans="1:14" x14ac:dyDescent="0.35">
      <c r="A275" t="str">
        <f t="shared" si="12"/>
        <v>18097322700_2027</v>
      </c>
      <c r="B275">
        <v>18097322700</v>
      </c>
      <c r="C275">
        <v>2027</v>
      </c>
      <c r="D275">
        <v>-0.34816941832450921</v>
      </c>
      <c r="E275">
        <v>0.25848767965388192</v>
      </c>
      <c r="F275">
        <v>-1.64178950576694</v>
      </c>
      <c r="G275">
        <v>3.2570977300580428</v>
      </c>
      <c r="H275">
        <v>-0.1721926161656106</v>
      </c>
      <c r="I275">
        <v>0.78167898013358517</v>
      </c>
      <c r="J275">
        <v>0.43809814556578192</v>
      </c>
      <c r="K275">
        <v>-0.57090222384227807</v>
      </c>
      <c r="M275">
        <f t="shared" si="13"/>
        <v>2.0023087713119541</v>
      </c>
      <c r="N275">
        <f t="shared" si="14"/>
        <v>8</v>
      </c>
    </row>
    <row r="276" spans="1:14" x14ac:dyDescent="0.35">
      <c r="A276" t="str">
        <f t="shared" si="12"/>
        <v>18097322700_2028</v>
      </c>
      <c r="B276">
        <v>18097322700</v>
      </c>
      <c r="C276">
        <v>2028</v>
      </c>
      <c r="D276">
        <v>-0.48362417411470321</v>
      </c>
      <c r="E276">
        <v>0.33623892050098558</v>
      </c>
      <c r="F276">
        <v>-1.7949908310596809</v>
      </c>
      <c r="G276">
        <v>-1.316223909908818</v>
      </c>
      <c r="H276">
        <v>-0.25715675054503567</v>
      </c>
      <c r="I276">
        <v>0.61747144371680873</v>
      </c>
      <c r="J276">
        <v>0.4198339841863864</v>
      </c>
      <c r="K276">
        <v>-0.55729471673987585</v>
      </c>
      <c r="M276">
        <f t="shared" si="13"/>
        <v>-3.0357460339639335</v>
      </c>
      <c r="N276">
        <f t="shared" si="14"/>
        <v>8</v>
      </c>
    </row>
    <row r="277" spans="1:14" x14ac:dyDescent="0.35">
      <c r="A277" t="str">
        <f t="shared" si="12"/>
        <v>18097330103_2024</v>
      </c>
      <c r="B277">
        <v>18097330103</v>
      </c>
      <c r="C277">
        <v>2024</v>
      </c>
      <c r="D277">
        <v>-0.35467756011340551</v>
      </c>
      <c r="E277">
        <v>-0.26329792739628571</v>
      </c>
      <c r="F277">
        <v>-0.1799696953836365</v>
      </c>
      <c r="G277">
        <v>-0.17457538473282461</v>
      </c>
      <c r="I277">
        <v>-0.20601844669973571</v>
      </c>
      <c r="J277">
        <v>-0.73831528199974716</v>
      </c>
      <c r="M277">
        <f t="shared" si="13"/>
        <v>-1.9168542963256352</v>
      </c>
      <c r="N277">
        <f t="shared" si="14"/>
        <v>6</v>
      </c>
    </row>
    <row r="278" spans="1:14" x14ac:dyDescent="0.35">
      <c r="A278" t="str">
        <f t="shared" si="12"/>
        <v>18097330103_2025</v>
      </c>
      <c r="B278">
        <v>18097330103</v>
      </c>
      <c r="C278">
        <v>2025</v>
      </c>
      <c r="D278">
        <v>0.95990520731916062</v>
      </c>
      <c r="E278">
        <v>-0.65325102465507257</v>
      </c>
      <c r="F278">
        <v>0.1694014272183236</v>
      </c>
      <c r="G278">
        <v>-0.1861408816788965</v>
      </c>
      <c r="I278">
        <v>-4.6206479277959171E-2</v>
      </c>
      <c r="J278">
        <v>-1.0224416709663009</v>
      </c>
      <c r="M278">
        <f t="shared" si="13"/>
        <v>-0.77873342204074492</v>
      </c>
      <c r="N278">
        <f t="shared" si="14"/>
        <v>6</v>
      </c>
    </row>
    <row r="279" spans="1:14" x14ac:dyDescent="0.35">
      <c r="A279" t="str">
        <f t="shared" si="12"/>
        <v>18097330103_2026</v>
      </c>
      <c r="B279">
        <v>18097330103</v>
      </c>
      <c r="C279">
        <v>2026</v>
      </c>
      <c r="D279">
        <v>-0.19209972324933711</v>
      </c>
      <c r="E279">
        <v>-0.63582712212816384</v>
      </c>
      <c r="F279">
        <v>0.2255015873218861</v>
      </c>
      <c r="G279">
        <v>-0.25831811958403939</v>
      </c>
      <c r="I279">
        <v>-2.8766732579674069E-2</v>
      </c>
      <c r="J279">
        <v>-1.1063883215149051</v>
      </c>
      <c r="M279">
        <f t="shared" si="13"/>
        <v>-1.9958984317342334</v>
      </c>
      <c r="N279">
        <f t="shared" si="14"/>
        <v>6</v>
      </c>
    </row>
    <row r="280" spans="1:14" x14ac:dyDescent="0.35">
      <c r="A280" t="str">
        <f t="shared" si="12"/>
        <v>18097330103_2027</v>
      </c>
      <c r="B280">
        <v>18097330103</v>
      </c>
      <c r="C280">
        <v>2027</v>
      </c>
      <c r="D280">
        <v>0.68869864549652315</v>
      </c>
      <c r="E280">
        <v>-0.62832630029728276</v>
      </c>
      <c r="F280">
        <v>0.25893234180078267</v>
      </c>
      <c r="G280">
        <v>-0.23374230777935351</v>
      </c>
      <c r="I280">
        <v>5.0891543639344512E-2</v>
      </c>
      <c r="J280">
        <v>-1.1267442385629489</v>
      </c>
      <c r="M280">
        <f t="shared" si="13"/>
        <v>-0.9902903157029348</v>
      </c>
      <c r="N280">
        <f t="shared" si="14"/>
        <v>6</v>
      </c>
    </row>
    <row r="281" spans="1:14" x14ac:dyDescent="0.35">
      <c r="A281" t="str">
        <f t="shared" si="12"/>
        <v>18097330103_2028</v>
      </c>
      <c r="B281">
        <v>18097330103</v>
      </c>
      <c r="C281">
        <v>2028</v>
      </c>
      <c r="D281">
        <v>0.19582262258042141</v>
      </c>
      <c r="E281">
        <v>-0.50298866084190363</v>
      </c>
      <c r="F281">
        <v>0.33329740950342102</v>
      </c>
      <c r="G281">
        <v>-0.24555551568658171</v>
      </c>
      <c r="I281">
        <v>0.1053807994953502</v>
      </c>
      <c r="J281">
        <v>-1.1318372538216139</v>
      </c>
      <c r="M281">
        <f t="shared" si="13"/>
        <v>-1.2458805987709067</v>
      </c>
      <c r="N281">
        <f t="shared" si="14"/>
        <v>6</v>
      </c>
    </row>
    <row r="282" spans="1:14" x14ac:dyDescent="0.35">
      <c r="A282" t="str">
        <f t="shared" si="12"/>
        <v>18097330105_2024</v>
      </c>
      <c r="B282">
        <v>18097330105</v>
      </c>
      <c r="C282">
        <v>2024</v>
      </c>
      <c r="D282">
        <v>-0.35468482218990438</v>
      </c>
      <c r="E282">
        <v>-5.4796599852636019E-2</v>
      </c>
      <c r="F282">
        <v>0.92369045895479518</v>
      </c>
      <c r="G282">
        <v>-0.236665680217096</v>
      </c>
      <c r="H282">
        <v>-0.2997684057196634</v>
      </c>
      <c r="I282">
        <v>-0.45358999192104588</v>
      </c>
      <c r="J282">
        <v>-0.73831528199974716</v>
      </c>
      <c r="M282">
        <f t="shared" si="13"/>
        <v>-1.2141303229452978</v>
      </c>
      <c r="N282">
        <f t="shared" si="14"/>
        <v>7</v>
      </c>
    </row>
    <row r="283" spans="1:14" x14ac:dyDescent="0.35">
      <c r="A283" t="str">
        <f t="shared" si="12"/>
        <v>18097330105_2025</v>
      </c>
      <c r="B283">
        <v>18097330105</v>
      </c>
      <c r="C283">
        <v>2025</v>
      </c>
      <c r="D283">
        <v>0.95991234391846758</v>
      </c>
      <c r="E283">
        <v>-0.39209454739345589</v>
      </c>
      <c r="F283">
        <v>3.8078759779581299E-2</v>
      </c>
      <c r="G283">
        <v>-0.51131511288277054</v>
      </c>
      <c r="H283">
        <v>-0.47338116608396219</v>
      </c>
      <c r="I283">
        <v>-9.9370689695170114E-2</v>
      </c>
      <c r="J283">
        <v>-1.0224416709663009</v>
      </c>
      <c r="M283">
        <f t="shared" si="13"/>
        <v>-1.5006120833236107</v>
      </c>
      <c r="N283">
        <f t="shared" si="14"/>
        <v>7</v>
      </c>
    </row>
    <row r="284" spans="1:14" x14ac:dyDescent="0.35">
      <c r="A284" t="str">
        <f t="shared" si="12"/>
        <v>18097330105_2026</v>
      </c>
      <c r="B284">
        <v>18097330105</v>
      </c>
      <c r="C284">
        <v>2026</v>
      </c>
      <c r="D284">
        <v>-0.19209841962950019</v>
      </c>
      <c r="E284">
        <v>-0.33324408129186978</v>
      </c>
      <c r="F284">
        <v>5.1691740819817249E-2</v>
      </c>
      <c r="G284">
        <v>-0.58492405093355682</v>
      </c>
      <c r="H284">
        <v>-0.93504767704404501</v>
      </c>
      <c r="I284">
        <v>7.0392313146479965E-2</v>
      </c>
      <c r="J284">
        <v>-1.1063883215149051</v>
      </c>
      <c r="M284">
        <f t="shared" si="13"/>
        <v>-3.0296184964475796</v>
      </c>
      <c r="N284">
        <f t="shared" si="14"/>
        <v>7</v>
      </c>
    </row>
    <row r="285" spans="1:14" x14ac:dyDescent="0.35">
      <c r="A285" t="str">
        <f t="shared" si="12"/>
        <v>18097330105_2027</v>
      </c>
      <c r="B285">
        <v>18097330105</v>
      </c>
      <c r="C285">
        <v>2027</v>
      </c>
      <c r="D285">
        <v>0.68870186588126359</v>
      </c>
      <c r="E285">
        <v>-0.3177808678052742</v>
      </c>
      <c r="F285">
        <v>6.2825773426115561E-2</v>
      </c>
      <c r="G285">
        <v>-0.6651410378304552</v>
      </c>
      <c r="H285">
        <v>-0.67938272358413898</v>
      </c>
      <c r="I285">
        <v>0.1709451868592127</v>
      </c>
      <c r="J285">
        <v>-1.1267442385629489</v>
      </c>
      <c r="M285">
        <f t="shared" si="13"/>
        <v>-1.8665760416162254</v>
      </c>
      <c r="N285">
        <f t="shared" si="14"/>
        <v>7</v>
      </c>
    </row>
    <row r="286" spans="1:14" x14ac:dyDescent="0.35">
      <c r="A286" t="str">
        <f t="shared" si="12"/>
        <v>18097330105_2028</v>
      </c>
      <c r="B286">
        <v>18097330105</v>
      </c>
      <c r="C286">
        <v>2028</v>
      </c>
      <c r="D286">
        <v>0.19582595449937679</v>
      </c>
      <c r="E286">
        <v>-0.2074956207228518</v>
      </c>
      <c r="F286">
        <v>0.1185881292699999</v>
      </c>
      <c r="G286">
        <v>-0.655473529534495</v>
      </c>
      <c r="H286">
        <v>-0.67544279727413148</v>
      </c>
      <c r="I286">
        <v>0.2085583885468098</v>
      </c>
      <c r="J286">
        <v>-1.1318372538216139</v>
      </c>
      <c r="M286">
        <f t="shared" si="13"/>
        <v>-2.1472767290369057</v>
      </c>
      <c r="N286">
        <f t="shared" si="14"/>
        <v>7</v>
      </c>
    </row>
    <row r="287" spans="1:14" x14ac:dyDescent="0.35">
      <c r="A287" t="str">
        <f t="shared" si="12"/>
        <v>18097330106_2024</v>
      </c>
      <c r="B287">
        <v>18097330106</v>
      </c>
      <c r="C287">
        <v>2024</v>
      </c>
      <c r="D287">
        <v>-0.35468859701503558</v>
      </c>
      <c r="E287">
        <v>-0.37208738078010739</v>
      </c>
      <c r="F287">
        <v>0.99594569469660044</v>
      </c>
      <c r="G287">
        <v>-0.19326615267818681</v>
      </c>
      <c r="H287">
        <v>-6.9836043691878388E-2</v>
      </c>
      <c r="I287">
        <v>-0.32149571407357169</v>
      </c>
      <c r="J287">
        <v>-0.73831528199974716</v>
      </c>
      <c r="M287">
        <f t="shared" si="13"/>
        <v>-1.0537434755419266</v>
      </c>
      <c r="N287">
        <f t="shared" si="14"/>
        <v>7</v>
      </c>
    </row>
    <row r="288" spans="1:14" x14ac:dyDescent="0.35">
      <c r="A288" t="str">
        <f t="shared" si="12"/>
        <v>18097330106_2025</v>
      </c>
      <c r="B288">
        <v>18097330106</v>
      </c>
      <c r="C288">
        <v>2025</v>
      </c>
      <c r="D288">
        <v>0.95991605858865658</v>
      </c>
      <c r="E288">
        <v>0.28135843523749993</v>
      </c>
      <c r="F288">
        <v>9.8213651128407201E-2</v>
      </c>
      <c r="G288">
        <v>-0.19099378062199149</v>
      </c>
      <c r="H288">
        <v>-0.80133158731604648</v>
      </c>
      <c r="I288">
        <v>-1.583565319426028</v>
      </c>
      <c r="J288">
        <v>-1.0224416709663009</v>
      </c>
      <c r="M288">
        <f t="shared" si="13"/>
        <v>-2.2588442133758031</v>
      </c>
      <c r="N288">
        <f t="shared" si="14"/>
        <v>7</v>
      </c>
    </row>
    <row r="289" spans="1:14" x14ac:dyDescent="0.35">
      <c r="A289" t="str">
        <f t="shared" si="12"/>
        <v>18097330106_2026</v>
      </c>
      <c r="B289">
        <v>18097330106</v>
      </c>
      <c r="C289">
        <v>2026</v>
      </c>
      <c r="D289">
        <v>-0.1920977378132461</v>
      </c>
      <c r="E289">
        <v>-0.46402897743276222</v>
      </c>
      <c r="F289">
        <v>-6.5246524644771889E-2</v>
      </c>
      <c r="G289">
        <v>-0.2167108685512209</v>
      </c>
      <c r="H289">
        <v>-0.62498717548796223</v>
      </c>
      <c r="I289">
        <v>-1.0875014456892891</v>
      </c>
      <c r="J289">
        <v>-1.1063883215149051</v>
      </c>
      <c r="M289">
        <f t="shared" si="13"/>
        <v>-3.7569610511341578</v>
      </c>
      <c r="N289">
        <f t="shared" si="14"/>
        <v>7</v>
      </c>
    </row>
    <row r="290" spans="1:14" x14ac:dyDescent="0.35">
      <c r="A290" t="str">
        <f t="shared" si="12"/>
        <v>18097330106_2027</v>
      </c>
      <c r="B290">
        <v>18097330106</v>
      </c>
      <c r="C290">
        <v>2027</v>
      </c>
      <c r="D290">
        <v>0.68870354436715897</v>
      </c>
      <c r="E290">
        <v>0.1220138134984507</v>
      </c>
      <c r="F290">
        <v>5.6888168714441523E-2</v>
      </c>
      <c r="G290">
        <v>-0.2024226813753347</v>
      </c>
      <c r="H290">
        <v>-0.67406086960803069</v>
      </c>
      <c r="I290">
        <v>-1.1223737149362409</v>
      </c>
      <c r="J290">
        <v>-1.1267442385629489</v>
      </c>
      <c r="M290">
        <f t="shared" si="13"/>
        <v>-2.2579959779025041</v>
      </c>
      <c r="N290">
        <f t="shared" si="14"/>
        <v>7</v>
      </c>
    </row>
    <row r="291" spans="1:14" x14ac:dyDescent="0.35">
      <c r="A291" t="str">
        <f t="shared" si="12"/>
        <v>18097330106_2028</v>
      </c>
      <c r="B291">
        <v>18097330106</v>
      </c>
      <c r="C291">
        <v>2028</v>
      </c>
      <c r="D291">
        <v>0.19582769176874781</v>
      </c>
      <c r="E291">
        <v>-0.15924775382554521</v>
      </c>
      <c r="F291">
        <v>2.6393587241711109E-2</v>
      </c>
      <c r="G291">
        <v>-0.2082851634629477</v>
      </c>
      <c r="H291">
        <v>-0.59640661291081321</v>
      </c>
      <c r="I291">
        <v>-0.82735057222747888</v>
      </c>
      <c r="J291">
        <v>-1.1318372538216139</v>
      </c>
      <c r="M291">
        <f t="shared" si="13"/>
        <v>-2.7009060772379399</v>
      </c>
      <c r="N291">
        <f t="shared" si="14"/>
        <v>7</v>
      </c>
    </row>
    <row r="292" spans="1:14" x14ac:dyDescent="0.35">
      <c r="A292" t="str">
        <f t="shared" si="12"/>
        <v>18097330107_2024</v>
      </c>
      <c r="B292">
        <v>18097330107</v>
      </c>
      <c r="C292">
        <v>2024</v>
      </c>
      <c r="D292">
        <v>-0.3546886352946686</v>
      </c>
      <c r="E292">
        <v>0.1309980045402227</v>
      </c>
      <c r="G292">
        <v>2.7915567546891961E-2</v>
      </c>
      <c r="I292">
        <v>0.1185421056461077</v>
      </c>
      <c r="J292">
        <v>-0.73831528199974716</v>
      </c>
      <c r="M292">
        <f t="shared" si="13"/>
        <v>-0.81554823956119338</v>
      </c>
      <c r="N292">
        <f t="shared" si="14"/>
        <v>5</v>
      </c>
    </row>
    <row r="293" spans="1:14" x14ac:dyDescent="0.35">
      <c r="A293" t="str">
        <f t="shared" si="12"/>
        <v>18097330107_2025</v>
      </c>
      <c r="B293">
        <v>18097330107</v>
      </c>
      <c r="C293">
        <v>2025</v>
      </c>
      <c r="D293">
        <v>0.95991608961626118</v>
      </c>
      <c r="E293">
        <v>-0.10889401691176009</v>
      </c>
      <c r="G293">
        <v>-8.1616229594085765E-2</v>
      </c>
      <c r="I293">
        <v>0.29416329748912928</v>
      </c>
      <c r="J293">
        <v>-1.0224416709663009</v>
      </c>
      <c r="M293">
        <f t="shared" si="13"/>
        <v>4.1127469633243763E-2</v>
      </c>
      <c r="N293">
        <f t="shared" si="14"/>
        <v>5</v>
      </c>
    </row>
    <row r="294" spans="1:14" x14ac:dyDescent="0.35">
      <c r="A294" t="str">
        <f t="shared" si="12"/>
        <v>18097330107_2026</v>
      </c>
      <c r="B294">
        <v>18097330107</v>
      </c>
      <c r="C294">
        <v>2026</v>
      </c>
      <c r="D294">
        <v>-0.19209773634855329</v>
      </c>
      <c r="E294">
        <v>-0.1235038420638694</v>
      </c>
      <c r="G294">
        <v>-0.23539280060680601</v>
      </c>
      <c r="I294">
        <v>0.29931103468155767</v>
      </c>
      <c r="J294">
        <v>-1.1063883215149051</v>
      </c>
      <c r="M294">
        <f t="shared" si="13"/>
        <v>-1.358071665852576</v>
      </c>
      <c r="N294">
        <f t="shared" si="14"/>
        <v>5</v>
      </c>
    </row>
    <row r="295" spans="1:14" x14ac:dyDescent="0.35">
      <c r="A295" t="str">
        <f t="shared" si="12"/>
        <v>18097330107_2027</v>
      </c>
      <c r="B295">
        <v>18097330107</v>
      </c>
      <c r="C295">
        <v>2027</v>
      </c>
      <c r="D295">
        <v>0.688703555469933</v>
      </c>
      <c r="E295">
        <v>-0.1486079299826974</v>
      </c>
      <c r="G295">
        <v>-0.26965617453171092</v>
      </c>
      <c r="I295">
        <v>0.3150618938462843</v>
      </c>
      <c r="J295">
        <v>-1.1267442385629489</v>
      </c>
      <c r="M295">
        <f t="shared" si="13"/>
        <v>-0.54124289376113999</v>
      </c>
      <c r="N295">
        <f t="shared" si="14"/>
        <v>5</v>
      </c>
    </row>
    <row r="296" spans="1:14" x14ac:dyDescent="0.35">
      <c r="A296" t="str">
        <f t="shared" si="12"/>
        <v>18097330107_2028</v>
      </c>
      <c r="B296">
        <v>18097330107</v>
      </c>
      <c r="C296">
        <v>2028</v>
      </c>
      <c r="D296">
        <v>0.19582770242441699</v>
      </c>
      <c r="E296">
        <v>-6.8446725145241208E-2</v>
      </c>
      <c r="G296">
        <v>-0.28470445605698952</v>
      </c>
      <c r="I296">
        <v>0.30453764973690761</v>
      </c>
      <c r="J296">
        <v>-1.1318372538216139</v>
      </c>
      <c r="M296">
        <f t="shared" si="13"/>
        <v>-0.98462308286251998</v>
      </c>
      <c r="N296">
        <f t="shared" si="14"/>
        <v>5</v>
      </c>
    </row>
    <row r="297" spans="1:14" x14ac:dyDescent="0.35">
      <c r="A297" t="str">
        <f t="shared" si="12"/>
        <v>18097330108_2024</v>
      </c>
      <c r="B297">
        <v>18097330108</v>
      </c>
      <c r="C297">
        <v>2024</v>
      </c>
      <c r="D297">
        <v>-0.35468735039646992</v>
      </c>
      <c r="E297">
        <v>-0.15550197740904911</v>
      </c>
      <c r="G297">
        <v>-0.29903888099017101</v>
      </c>
      <c r="I297">
        <v>0.55672194669114905</v>
      </c>
      <c r="J297">
        <v>-0.73831528199974716</v>
      </c>
      <c r="M297">
        <f t="shared" si="13"/>
        <v>-0.99082154410428824</v>
      </c>
      <c r="N297">
        <f t="shared" si="14"/>
        <v>5</v>
      </c>
    </row>
    <row r="298" spans="1:14" x14ac:dyDescent="0.35">
      <c r="A298" t="str">
        <f t="shared" si="12"/>
        <v>18097330108_2025</v>
      </c>
      <c r="B298">
        <v>18097330108</v>
      </c>
      <c r="C298">
        <v>2025</v>
      </c>
      <c r="D298">
        <v>0.95991482644981718</v>
      </c>
      <c r="E298">
        <v>-0.31028498750399941</v>
      </c>
      <c r="F298">
        <v>3.5716442606585939</v>
      </c>
      <c r="G298">
        <v>-0.69019575250300547</v>
      </c>
      <c r="I298">
        <v>0.21062171160283949</v>
      </c>
      <c r="J298">
        <v>-1.0224416709663009</v>
      </c>
      <c r="M298">
        <f t="shared" si="13"/>
        <v>2.7192583877379444</v>
      </c>
      <c r="N298">
        <f t="shared" si="14"/>
        <v>6</v>
      </c>
    </row>
    <row r="299" spans="1:14" x14ac:dyDescent="0.35">
      <c r="A299" t="str">
        <f t="shared" si="12"/>
        <v>18097330108_2026</v>
      </c>
      <c r="B299">
        <v>18097330108</v>
      </c>
      <c r="C299">
        <v>2026</v>
      </c>
      <c r="D299">
        <v>-0.1920979674019116</v>
      </c>
      <c r="E299">
        <v>-0.19088659399356139</v>
      </c>
      <c r="F299">
        <v>3.8526160108062801</v>
      </c>
      <c r="G299">
        <v>-0.69458630700414103</v>
      </c>
      <c r="I299">
        <v>0.56052797765624274</v>
      </c>
      <c r="J299">
        <v>-1.1063883215149051</v>
      </c>
      <c r="M299">
        <f t="shared" si="13"/>
        <v>2.2291847985480038</v>
      </c>
      <c r="N299">
        <f t="shared" si="14"/>
        <v>6</v>
      </c>
    </row>
    <row r="300" spans="1:14" x14ac:dyDescent="0.35">
      <c r="A300" t="str">
        <f t="shared" si="12"/>
        <v>18097330108_2027</v>
      </c>
      <c r="B300">
        <v>18097330108</v>
      </c>
      <c r="C300">
        <v>2027</v>
      </c>
      <c r="D300">
        <v>0.68870298525440443</v>
      </c>
      <c r="E300">
        <v>-0.15198967481046741</v>
      </c>
      <c r="F300">
        <v>4.4230572184052104</v>
      </c>
      <c r="G300">
        <v>-0.76341348013114307</v>
      </c>
      <c r="I300">
        <v>0.34793284349731152</v>
      </c>
      <c r="J300">
        <v>-1.1267442385629489</v>
      </c>
      <c r="M300">
        <f t="shared" si="13"/>
        <v>3.417545653652367</v>
      </c>
      <c r="N300">
        <f t="shared" si="14"/>
        <v>6</v>
      </c>
    </row>
    <row r="301" spans="1:14" x14ac:dyDescent="0.35">
      <c r="A301" t="str">
        <f t="shared" si="12"/>
        <v>18097330108_2028</v>
      </c>
      <c r="B301">
        <v>18097330108</v>
      </c>
      <c r="C301">
        <v>2028</v>
      </c>
      <c r="D301">
        <v>0.19582711239610981</v>
      </c>
      <c r="E301">
        <v>-4.6536577036290862E-2</v>
      </c>
      <c r="F301">
        <v>4.8854049739622614</v>
      </c>
      <c r="G301">
        <v>-0.72920253660371959</v>
      </c>
      <c r="I301">
        <v>0.40975372529649301</v>
      </c>
      <c r="J301">
        <v>-1.1318372538216139</v>
      </c>
      <c r="M301">
        <f t="shared" si="13"/>
        <v>3.5834094441932405</v>
      </c>
      <c r="N301">
        <f t="shared" si="14"/>
        <v>6</v>
      </c>
    </row>
    <row r="302" spans="1:14" x14ac:dyDescent="0.35">
      <c r="A302" t="str">
        <f t="shared" si="12"/>
        <v>18097330109_2024</v>
      </c>
      <c r="B302">
        <v>18097330109</v>
      </c>
      <c r="C302">
        <v>2024</v>
      </c>
      <c r="D302">
        <v>-0.35468821816592488</v>
      </c>
      <c r="E302">
        <v>7.0167470024977202E-3</v>
      </c>
      <c r="F302">
        <v>-1.5244352833776931</v>
      </c>
      <c r="G302">
        <v>-0.49795470801202429</v>
      </c>
      <c r="H302">
        <v>-5.6838542167253987E-2</v>
      </c>
      <c r="I302">
        <v>-0.79095822902634783</v>
      </c>
      <c r="J302">
        <v>-0.73831528199974716</v>
      </c>
      <c r="M302">
        <f t="shared" si="13"/>
        <v>-3.9561735157464937</v>
      </c>
      <c r="N302">
        <f t="shared" si="14"/>
        <v>7</v>
      </c>
    </row>
    <row r="303" spans="1:14" x14ac:dyDescent="0.35">
      <c r="A303" t="str">
        <f t="shared" si="12"/>
        <v>18097330109_2025</v>
      </c>
      <c r="B303">
        <v>18097330109</v>
      </c>
      <c r="C303">
        <v>2025</v>
      </c>
      <c r="D303">
        <v>0.95991568410889583</v>
      </c>
      <c r="E303">
        <v>-0.20480103901874699</v>
      </c>
      <c r="F303">
        <v>0.97114957350455278</v>
      </c>
      <c r="G303">
        <v>-1.103451470904474</v>
      </c>
      <c r="H303">
        <v>-0.88624554098154096</v>
      </c>
      <c r="I303">
        <v>-0.63986229764182345</v>
      </c>
      <c r="J303">
        <v>-1.0224416709663009</v>
      </c>
      <c r="M303">
        <f t="shared" si="13"/>
        <v>-1.9257367618994379</v>
      </c>
      <c r="N303">
        <f t="shared" si="14"/>
        <v>7</v>
      </c>
    </row>
    <row r="304" spans="1:14" x14ac:dyDescent="0.35">
      <c r="A304" t="str">
        <f t="shared" si="12"/>
        <v>18097330109_2026</v>
      </c>
      <c r="B304">
        <v>18097330109</v>
      </c>
      <c r="C304">
        <v>2026</v>
      </c>
      <c r="D304">
        <v>-0.1920978076113195</v>
      </c>
      <c r="E304">
        <v>-0.13084373883623401</v>
      </c>
      <c r="F304">
        <v>1.135758784144316</v>
      </c>
      <c r="G304">
        <v>-1.107193895027669</v>
      </c>
      <c r="H304">
        <v>-0.69062124450964435</v>
      </c>
      <c r="I304">
        <v>-0.40767688243016492</v>
      </c>
      <c r="J304">
        <v>-1.1063883215149051</v>
      </c>
      <c r="M304">
        <f t="shared" si="13"/>
        <v>-2.4990631057856207</v>
      </c>
      <c r="N304">
        <f t="shared" si="14"/>
        <v>7</v>
      </c>
    </row>
    <row r="305" spans="1:14" x14ac:dyDescent="0.35">
      <c r="A305" t="str">
        <f t="shared" si="12"/>
        <v>18097330109_2027</v>
      </c>
      <c r="B305">
        <v>18097330109</v>
      </c>
      <c r="C305">
        <v>2027</v>
      </c>
      <c r="D305">
        <v>0.68870337442423823</v>
      </c>
      <c r="E305">
        <v>-0.1164274055284571</v>
      </c>
      <c r="F305">
        <v>1.2916079418530819</v>
      </c>
      <c r="G305">
        <v>-1.2417499277341359</v>
      </c>
      <c r="H305">
        <v>-0.72647194650242464</v>
      </c>
      <c r="I305">
        <v>-0.1505707013615572</v>
      </c>
      <c r="J305">
        <v>-1.1267442385629489</v>
      </c>
      <c r="M305">
        <f t="shared" si="13"/>
        <v>-1.3816529034122038</v>
      </c>
      <c r="N305">
        <f t="shared" si="14"/>
        <v>7</v>
      </c>
    </row>
    <row r="306" spans="1:14" x14ac:dyDescent="0.35">
      <c r="A306" t="str">
        <f t="shared" si="12"/>
        <v>18097330109_2028</v>
      </c>
      <c r="B306">
        <v>18097330109</v>
      </c>
      <c r="C306">
        <v>2028</v>
      </c>
      <c r="D306">
        <v>0.19582751566384199</v>
      </c>
      <c r="E306">
        <v>-2.177240362511975E-2</v>
      </c>
      <c r="F306">
        <v>1.4645541688694981</v>
      </c>
      <c r="G306">
        <v>-1.173918680502122</v>
      </c>
      <c r="H306">
        <v>-0.62916386472529562</v>
      </c>
      <c r="I306">
        <v>1.2727118301219011E-2</v>
      </c>
      <c r="J306">
        <v>-1.1318372538216139</v>
      </c>
      <c r="M306">
        <f t="shared" si="13"/>
        <v>-1.2835833998395922</v>
      </c>
      <c r="N306">
        <f t="shared" si="14"/>
        <v>7</v>
      </c>
    </row>
    <row r="307" spans="1:14" x14ac:dyDescent="0.35">
      <c r="A307" t="str">
        <f t="shared" si="12"/>
        <v>18097330204_2024</v>
      </c>
      <c r="B307">
        <v>18097330204</v>
      </c>
      <c r="C307">
        <v>2024</v>
      </c>
      <c r="D307">
        <v>-6.1891455868905737E-2</v>
      </c>
      <c r="E307">
        <v>-0.132812436470571</v>
      </c>
      <c r="F307">
        <v>-1.7484145052608191</v>
      </c>
      <c r="G307">
        <v>-0.2823599273996118</v>
      </c>
      <c r="I307">
        <v>5.5026428084183288E-2</v>
      </c>
      <c r="J307">
        <v>0.61001330065614767</v>
      </c>
      <c r="K307">
        <v>-4.1437865342872943E-2</v>
      </c>
      <c r="M307">
        <f t="shared" si="13"/>
        <v>-1.6018764616024495</v>
      </c>
      <c r="N307">
        <f t="shared" si="14"/>
        <v>7</v>
      </c>
    </row>
    <row r="308" spans="1:14" x14ac:dyDescent="0.35">
      <c r="A308" t="str">
        <f t="shared" si="12"/>
        <v>18097330204_2025</v>
      </c>
      <c r="B308">
        <v>18097330204</v>
      </c>
      <c r="C308">
        <v>2025</v>
      </c>
      <c r="D308">
        <v>0.74720180474103826</v>
      </c>
      <c r="E308">
        <v>-0.42657135658159578</v>
      </c>
      <c r="F308">
        <v>-1.49892347654381</v>
      </c>
      <c r="G308">
        <v>0.142522119031291</v>
      </c>
      <c r="I308">
        <v>8.3541653541252758E-2</v>
      </c>
      <c r="J308">
        <v>0.16363198490896069</v>
      </c>
      <c r="K308">
        <v>-0.59765455702191128</v>
      </c>
      <c r="M308">
        <f t="shared" si="13"/>
        <v>-1.3862518279247742</v>
      </c>
      <c r="N308">
        <f t="shared" si="14"/>
        <v>7</v>
      </c>
    </row>
    <row r="309" spans="1:14" x14ac:dyDescent="0.35">
      <c r="A309" t="str">
        <f t="shared" si="12"/>
        <v>18097330204_2026</v>
      </c>
      <c r="B309">
        <v>18097330204</v>
      </c>
      <c r="C309">
        <v>2026</v>
      </c>
      <c r="D309">
        <v>1.528893977183678E-2</v>
      </c>
      <c r="E309">
        <v>-0.37949779431242209</v>
      </c>
      <c r="F309">
        <v>-1.567745906576469</v>
      </c>
      <c r="G309">
        <v>-0.28463267693252597</v>
      </c>
      <c r="I309">
        <v>0.1161028949983236</v>
      </c>
      <c r="J309">
        <v>7.9089834447403182E-2</v>
      </c>
      <c r="K309">
        <v>-0.70216302498852534</v>
      </c>
      <c r="M309">
        <f t="shared" si="13"/>
        <v>-2.7235577335923784</v>
      </c>
      <c r="N309">
        <f t="shared" si="14"/>
        <v>7</v>
      </c>
    </row>
    <row r="310" spans="1:14" x14ac:dyDescent="0.35">
      <c r="A310" t="str">
        <f t="shared" si="12"/>
        <v>18097330204_2027</v>
      </c>
      <c r="B310">
        <v>18097330204</v>
      </c>
      <c r="C310">
        <v>2027</v>
      </c>
      <c r="D310">
        <v>0.69898172082568588</v>
      </c>
      <c r="E310">
        <v>-0.3640528609748131</v>
      </c>
      <c r="F310">
        <v>-1.792527797678604</v>
      </c>
      <c r="G310">
        <v>-3.5333452708017542E-2</v>
      </c>
      <c r="I310">
        <v>0.16717587697519451</v>
      </c>
      <c r="J310">
        <v>4.1977799849089878E-2</v>
      </c>
      <c r="K310">
        <v>-0.66997758677987929</v>
      </c>
      <c r="M310">
        <f t="shared" si="13"/>
        <v>-1.9537563004913436</v>
      </c>
      <c r="N310">
        <f t="shared" si="14"/>
        <v>7</v>
      </c>
    </row>
    <row r="311" spans="1:14" x14ac:dyDescent="0.35">
      <c r="A311" t="str">
        <f t="shared" si="12"/>
        <v>18097330204_2028</v>
      </c>
      <c r="B311">
        <v>18097330204</v>
      </c>
      <c r="C311">
        <v>2028</v>
      </c>
      <c r="D311">
        <v>0.28876193397836841</v>
      </c>
      <c r="E311">
        <v>-0.25083765192918589</v>
      </c>
      <c r="F311">
        <v>-1.9093758312510321</v>
      </c>
      <c r="G311">
        <v>-0.1837334862712573</v>
      </c>
      <c r="I311">
        <v>0.19444783143238331</v>
      </c>
      <c r="J311">
        <v>2.61155386734695E-2</v>
      </c>
      <c r="K311">
        <v>-0.66728535899528718</v>
      </c>
      <c r="M311">
        <f t="shared" si="13"/>
        <v>-2.5019070243625414</v>
      </c>
      <c r="N311">
        <f t="shared" si="14"/>
        <v>7</v>
      </c>
    </row>
    <row r="312" spans="1:14" x14ac:dyDescent="0.35">
      <c r="A312" t="str">
        <f t="shared" si="12"/>
        <v>18097330210_2024</v>
      </c>
      <c r="B312">
        <v>18097330210</v>
      </c>
      <c r="C312">
        <v>2024</v>
      </c>
      <c r="D312">
        <v>-6.1896948800312067E-2</v>
      </c>
      <c r="E312">
        <v>0.52854950398888734</v>
      </c>
      <c r="F312">
        <v>-1.2394251049451419</v>
      </c>
      <c r="G312">
        <v>4.1354548201801497E-2</v>
      </c>
      <c r="H312">
        <v>-0.60546809804860702</v>
      </c>
      <c r="J312">
        <v>0.61001330065614767</v>
      </c>
      <c r="K312">
        <v>-4.1437865436639437E-2</v>
      </c>
      <c r="M312">
        <f t="shared" si="13"/>
        <v>-0.76831066438386375</v>
      </c>
      <c r="N312">
        <f t="shared" si="14"/>
        <v>7</v>
      </c>
    </row>
    <row r="313" spans="1:14" x14ac:dyDescent="0.35">
      <c r="A313" t="str">
        <f t="shared" si="12"/>
        <v>18097330210_2025</v>
      </c>
      <c r="B313">
        <v>18097330210</v>
      </c>
      <c r="C313">
        <v>2025</v>
      </c>
      <c r="D313">
        <v>0.74723863759601394</v>
      </c>
      <c r="E313">
        <v>5.6009929841550808E-2</v>
      </c>
      <c r="F313">
        <v>0.21242492458528761</v>
      </c>
      <c r="G313">
        <v>-0.95376527355024798</v>
      </c>
      <c r="H313">
        <v>-0.16832804053293129</v>
      </c>
      <c r="J313">
        <v>0.16363198490896069</v>
      </c>
      <c r="K313">
        <v>-0.59765455748175655</v>
      </c>
      <c r="M313">
        <f t="shared" si="13"/>
        <v>-0.54044239463312282</v>
      </c>
      <c r="N313">
        <f t="shared" si="14"/>
        <v>7</v>
      </c>
    </row>
    <row r="314" spans="1:14" x14ac:dyDescent="0.35">
      <c r="A314" t="str">
        <f t="shared" si="12"/>
        <v>18097330210_2026</v>
      </c>
      <c r="B314">
        <v>18097330210</v>
      </c>
      <c r="C314">
        <v>2026</v>
      </c>
      <c r="D314">
        <v>1.5300640193695919E-2</v>
      </c>
      <c r="E314">
        <v>0.42011972680783122</v>
      </c>
      <c r="F314">
        <v>-0.26200771258104022</v>
      </c>
      <c r="G314">
        <v>6.3730648859876404E-3</v>
      </c>
      <c r="H314">
        <v>-0.95418060003243343</v>
      </c>
      <c r="J314">
        <v>7.9089834447403182E-2</v>
      </c>
      <c r="K314">
        <v>-0.70216302551208742</v>
      </c>
      <c r="M314">
        <f t="shared" si="13"/>
        <v>-1.3974680717906431</v>
      </c>
      <c r="N314">
        <f t="shared" si="14"/>
        <v>7</v>
      </c>
    </row>
    <row r="315" spans="1:14" x14ac:dyDescent="0.35">
      <c r="A315" t="str">
        <f t="shared" si="12"/>
        <v>18097330210_2027</v>
      </c>
      <c r="B315">
        <v>18097330210</v>
      </c>
      <c r="C315">
        <v>2027</v>
      </c>
      <c r="D315">
        <v>0.69900904675815423</v>
      </c>
      <c r="E315">
        <v>0.30473977609320141</v>
      </c>
      <c r="F315">
        <v>-0.15787933501000931</v>
      </c>
      <c r="G315">
        <v>-0.86053358194770924</v>
      </c>
      <c r="H315">
        <v>-0.66224555449677225</v>
      </c>
      <c r="J315">
        <v>4.1977799849089878E-2</v>
      </c>
      <c r="K315">
        <v>-0.66997758733782375</v>
      </c>
      <c r="M315">
        <f t="shared" si="13"/>
        <v>-1.3049094360918692</v>
      </c>
      <c r="N315">
        <f t="shared" si="14"/>
        <v>7</v>
      </c>
    </row>
    <row r="316" spans="1:14" x14ac:dyDescent="0.35">
      <c r="A316" t="str">
        <f t="shared" si="12"/>
        <v>18097330210_2028</v>
      </c>
      <c r="B316">
        <v>18097330210</v>
      </c>
      <c r="C316">
        <v>2028</v>
      </c>
      <c r="D316">
        <v>0.28878669199586482</v>
      </c>
      <c r="E316">
        <v>0.3883235633501434</v>
      </c>
      <c r="F316">
        <v>-0.16049753133850969</v>
      </c>
      <c r="G316">
        <v>-0.13514714864428989</v>
      </c>
      <c r="H316">
        <v>-0.65435135356383445</v>
      </c>
      <c r="J316">
        <v>2.61155386734695E-2</v>
      </c>
      <c r="K316">
        <v>-0.66728535956851331</v>
      </c>
      <c r="M316">
        <f t="shared" si="13"/>
        <v>-0.91405559909566969</v>
      </c>
      <c r="N316">
        <f t="shared" si="14"/>
        <v>7</v>
      </c>
    </row>
    <row r="317" spans="1:14" x14ac:dyDescent="0.35">
      <c r="A317" t="str">
        <f t="shared" si="12"/>
        <v>18097330211_2024</v>
      </c>
      <c r="B317">
        <v>18097330211</v>
      </c>
      <c r="C317">
        <v>2024</v>
      </c>
      <c r="D317">
        <v>-6.1897660579471381E-2</v>
      </c>
      <c r="F317">
        <v>0.26784191928865092</v>
      </c>
      <c r="H317">
        <v>-0.51048441697586411</v>
      </c>
      <c r="I317">
        <v>-1.259164916845118</v>
      </c>
      <c r="J317">
        <v>0.61001330065614767</v>
      </c>
      <c r="K317">
        <v>-4.1437865436639437E-2</v>
      </c>
      <c r="M317">
        <f t="shared" si="13"/>
        <v>-0.99512963989229442</v>
      </c>
      <c r="N317">
        <f t="shared" si="14"/>
        <v>6</v>
      </c>
    </row>
    <row r="318" spans="1:14" x14ac:dyDescent="0.35">
      <c r="A318" t="str">
        <f t="shared" si="12"/>
        <v>18097330211_2025</v>
      </c>
      <c r="B318">
        <v>18097330211</v>
      </c>
      <c r="C318">
        <v>2025</v>
      </c>
      <c r="D318">
        <v>0.7472398702544869</v>
      </c>
      <c r="F318">
        <v>-0.74450461947696955</v>
      </c>
      <c r="H318">
        <v>0.17264241941851249</v>
      </c>
      <c r="I318">
        <v>-1.9141895999250691</v>
      </c>
      <c r="J318">
        <v>0.16363198490896069</v>
      </c>
      <c r="K318">
        <v>-0.59765455748175655</v>
      </c>
      <c r="M318">
        <f t="shared" si="13"/>
        <v>-2.1728345023018352</v>
      </c>
      <c r="N318">
        <f t="shared" si="14"/>
        <v>6</v>
      </c>
    </row>
    <row r="319" spans="1:14" x14ac:dyDescent="0.35">
      <c r="A319" t="str">
        <f t="shared" si="12"/>
        <v>18097330211_2026</v>
      </c>
      <c r="B319">
        <v>18097330211</v>
      </c>
      <c r="C319">
        <v>2026</v>
      </c>
      <c r="D319">
        <v>1.5300499902939789E-2</v>
      </c>
      <c r="F319">
        <v>-0.49083629804549411</v>
      </c>
      <c r="H319">
        <v>-2.095777030013303</v>
      </c>
      <c r="I319">
        <v>-1.8930333304187781</v>
      </c>
      <c r="J319">
        <v>7.9089834447403182E-2</v>
      </c>
      <c r="K319">
        <v>-0.70216302551208742</v>
      </c>
      <c r="M319">
        <f t="shared" si="13"/>
        <v>-5.087419349639319</v>
      </c>
      <c r="N319">
        <f t="shared" si="14"/>
        <v>6</v>
      </c>
    </row>
    <row r="320" spans="1:14" x14ac:dyDescent="0.35">
      <c r="A320" t="str">
        <f t="shared" si="12"/>
        <v>18097330211_2027</v>
      </c>
      <c r="B320">
        <v>18097330211</v>
      </c>
      <c r="C320">
        <v>2027</v>
      </c>
      <c r="D320">
        <v>0.69900969041101524</v>
      </c>
      <c r="F320">
        <v>-0.65591621759022778</v>
      </c>
      <c r="H320">
        <v>-0.114338879885376</v>
      </c>
      <c r="I320">
        <v>-1.835779723730885</v>
      </c>
      <c r="J320">
        <v>4.1977799849089878E-2</v>
      </c>
      <c r="K320">
        <v>-0.66997758733782375</v>
      </c>
      <c r="M320">
        <f t="shared" si="13"/>
        <v>-2.5350249182842077</v>
      </c>
      <c r="N320">
        <f t="shared" si="14"/>
        <v>6</v>
      </c>
    </row>
    <row r="321" spans="1:14" x14ac:dyDescent="0.35">
      <c r="A321" t="str">
        <f t="shared" si="12"/>
        <v>18097330211_2028</v>
      </c>
      <c r="B321">
        <v>18097330211</v>
      </c>
      <c r="C321">
        <v>2028</v>
      </c>
      <c r="D321">
        <v>0.28878707651437929</v>
      </c>
      <c r="F321">
        <v>-0.63789810083288856</v>
      </c>
      <c r="H321">
        <v>-1.2713682132666151</v>
      </c>
      <c r="I321">
        <v>-1.601312534938276</v>
      </c>
      <c r="J321">
        <v>2.61155386734695E-2</v>
      </c>
      <c r="K321">
        <v>-0.66728535956851331</v>
      </c>
      <c r="M321">
        <f t="shared" si="13"/>
        <v>-3.862961593418444</v>
      </c>
      <c r="N321">
        <f t="shared" si="14"/>
        <v>6</v>
      </c>
    </row>
    <row r="322" spans="1:14" x14ac:dyDescent="0.35">
      <c r="A322" t="str">
        <f t="shared" si="12"/>
        <v>18097330212_2024</v>
      </c>
      <c r="B322">
        <v>18097330212</v>
      </c>
      <c r="C322">
        <v>2024</v>
      </c>
      <c r="D322">
        <v>-6.1893497118310249E-2</v>
      </c>
      <c r="E322">
        <v>-0.4000807513277897</v>
      </c>
      <c r="F322">
        <v>-1.305881196346879</v>
      </c>
      <c r="G322">
        <v>0.16508673369146681</v>
      </c>
      <c r="I322">
        <v>-1.43027137314041</v>
      </c>
      <c r="J322">
        <v>0.61001330065614767</v>
      </c>
      <c r="K322">
        <v>-4.1437865436639437E-2</v>
      </c>
      <c r="M322">
        <f t="shared" si="13"/>
        <v>-2.4644646490224145</v>
      </c>
      <c r="N322">
        <f t="shared" si="14"/>
        <v>7</v>
      </c>
    </row>
    <row r="323" spans="1:14" x14ac:dyDescent="0.35">
      <c r="A323" t="str">
        <f t="shared" ref="A323:A386" si="15">TEXT(B323,0)&amp;"_"&amp;TEXT(C323,0)</f>
        <v>18097330212_2025</v>
      </c>
      <c r="B323">
        <v>18097330212</v>
      </c>
      <c r="C323">
        <v>2025</v>
      </c>
      <c r="D323">
        <v>0.74723268610111715</v>
      </c>
      <c r="E323">
        <v>-0.76413317013398974</v>
      </c>
      <c r="F323">
        <v>-1.0531738192929261</v>
      </c>
      <c r="G323">
        <v>0.61532183701650178</v>
      </c>
      <c r="I323">
        <v>-1.386060191186635</v>
      </c>
      <c r="J323">
        <v>0.16363198490896069</v>
      </c>
      <c r="K323">
        <v>-0.59765455748175655</v>
      </c>
      <c r="M323">
        <f t="shared" ref="M323:M386" si="16">SUM(D323:K323)</f>
        <v>-2.274835230068728</v>
      </c>
      <c r="N323">
        <f t="shared" ref="N323:N386" si="17">IF(D323=0,0,1)+IF(E323=0,0,1)+IF(F323=0,0,1)+IF(G323=0,0,1)+IF(H323=0,0,1)+IF(I323=0,0,1)++IF(J323=0,0,1)++IF(K323=0,0,1)</f>
        <v>7</v>
      </c>
    </row>
    <row r="324" spans="1:14" x14ac:dyDescent="0.35">
      <c r="A324" t="str">
        <f t="shared" si="15"/>
        <v>18097330212_2026</v>
      </c>
      <c r="B324">
        <v>18097330212</v>
      </c>
      <c r="C324">
        <v>2026</v>
      </c>
      <c r="D324">
        <v>1.530133276317559E-2</v>
      </c>
      <c r="E324">
        <v>-0.79957065042677489</v>
      </c>
      <c r="F324">
        <v>-1.432832744662953</v>
      </c>
      <c r="G324">
        <v>0.5477446107419085</v>
      </c>
      <c r="I324">
        <v>-1.8696492265900699</v>
      </c>
      <c r="J324">
        <v>7.9089834447403182E-2</v>
      </c>
      <c r="K324">
        <v>-0.70216302551208742</v>
      </c>
      <c r="M324">
        <f t="shared" si="16"/>
        <v>-4.1620798692393981</v>
      </c>
      <c r="N324">
        <f t="shared" si="17"/>
        <v>7</v>
      </c>
    </row>
    <row r="325" spans="1:14" x14ac:dyDescent="0.35">
      <c r="A325" t="str">
        <f t="shared" si="15"/>
        <v>18097330212_2027</v>
      </c>
      <c r="B325">
        <v>18097330212</v>
      </c>
      <c r="C325">
        <v>2027</v>
      </c>
      <c r="D325">
        <v>0.69900594682614026</v>
      </c>
      <c r="E325">
        <v>-0.79476400176011441</v>
      </c>
      <c r="F325">
        <v>-1.5520160131883101</v>
      </c>
      <c r="G325">
        <v>0.68715796249892969</v>
      </c>
      <c r="I325">
        <v>-1.371580754092621</v>
      </c>
      <c r="J325">
        <v>4.1977799849089878E-2</v>
      </c>
      <c r="K325">
        <v>-0.66997758733782375</v>
      </c>
      <c r="M325">
        <f t="shared" si="16"/>
        <v>-2.9601966472047092</v>
      </c>
      <c r="N325">
        <f t="shared" si="17"/>
        <v>7</v>
      </c>
    </row>
    <row r="326" spans="1:14" x14ac:dyDescent="0.35">
      <c r="A326" t="str">
        <f t="shared" si="15"/>
        <v>18097330212_2028</v>
      </c>
      <c r="B326">
        <v>18097330212</v>
      </c>
      <c r="C326">
        <v>2028</v>
      </c>
      <c r="D326">
        <v>0.28878484817672678</v>
      </c>
      <c r="E326">
        <v>-0.66731408330351372</v>
      </c>
      <c r="F326">
        <v>-1.671042941016839</v>
      </c>
      <c r="G326">
        <v>0.61796710134652766</v>
      </c>
      <c r="I326">
        <v>-1.3992193503148129</v>
      </c>
      <c r="J326">
        <v>2.61155386734695E-2</v>
      </c>
      <c r="K326">
        <v>-0.66728535956851331</v>
      </c>
      <c r="M326">
        <f t="shared" si="16"/>
        <v>-3.4719942460069544</v>
      </c>
      <c r="N326">
        <f t="shared" si="17"/>
        <v>7</v>
      </c>
    </row>
    <row r="327" spans="1:14" x14ac:dyDescent="0.35">
      <c r="A327" t="str">
        <f t="shared" si="15"/>
        <v>18097330401_2024</v>
      </c>
      <c r="B327">
        <v>18097330401</v>
      </c>
      <c r="C327">
        <v>2024</v>
      </c>
      <c r="D327">
        <v>0.15751758405865149</v>
      </c>
      <c r="E327">
        <v>-0.13716350291821799</v>
      </c>
      <c r="F327">
        <v>-0.7690067776944578</v>
      </c>
      <c r="G327">
        <v>-0.34066753993826171</v>
      </c>
      <c r="I327">
        <v>0.31740155041615831</v>
      </c>
      <c r="J327">
        <v>-0.87136348332750602</v>
      </c>
      <c r="M327">
        <f t="shared" si="16"/>
        <v>-1.6432821694036339</v>
      </c>
      <c r="N327">
        <f t="shared" si="17"/>
        <v>6</v>
      </c>
    </row>
    <row r="328" spans="1:14" x14ac:dyDescent="0.35">
      <c r="A328" t="str">
        <f t="shared" si="15"/>
        <v>18097330401_2025</v>
      </c>
      <c r="B328">
        <v>18097330401</v>
      </c>
      <c r="C328">
        <v>2025</v>
      </c>
      <c r="D328">
        <v>0.13190371810492499</v>
      </c>
      <c r="E328">
        <v>-0.41432107522294209</v>
      </c>
      <c r="F328">
        <v>-0.68637238474176665</v>
      </c>
      <c r="G328">
        <v>-0.74130504605653336</v>
      </c>
      <c r="I328">
        <v>0.17092890140879879</v>
      </c>
      <c r="J328">
        <v>-1.1047538806107129</v>
      </c>
      <c r="M328">
        <f t="shared" si="16"/>
        <v>-2.6439197671182311</v>
      </c>
      <c r="N328">
        <f t="shared" si="17"/>
        <v>6</v>
      </c>
    </row>
    <row r="329" spans="1:14" x14ac:dyDescent="0.35">
      <c r="A329" t="str">
        <f t="shared" si="15"/>
        <v>18097330401_2026</v>
      </c>
      <c r="B329">
        <v>18097330401</v>
      </c>
      <c r="C329">
        <v>2026</v>
      </c>
      <c r="D329">
        <v>-0.2803652221286117</v>
      </c>
      <c r="E329">
        <v>-0.36804934987123628</v>
      </c>
      <c r="F329">
        <v>0.13306882919229371</v>
      </c>
      <c r="G329">
        <v>-0.75036608673618299</v>
      </c>
      <c r="I329">
        <v>0.3203386632430319</v>
      </c>
      <c r="J329">
        <v>-1.181787943927038</v>
      </c>
      <c r="M329">
        <f t="shared" si="16"/>
        <v>-2.1271611102277435</v>
      </c>
      <c r="N329">
        <f t="shared" si="17"/>
        <v>6</v>
      </c>
    </row>
    <row r="330" spans="1:14" x14ac:dyDescent="0.35">
      <c r="A330" t="str">
        <f t="shared" si="15"/>
        <v>18097330401_2027</v>
      </c>
      <c r="B330">
        <v>18097330401</v>
      </c>
      <c r="C330">
        <v>2027</v>
      </c>
      <c r="D330">
        <v>0.22524719027230711</v>
      </c>
      <c r="E330">
        <v>-0.35222461642290459</v>
      </c>
      <c r="F330">
        <v>-0.37898941192843388</v>
      </c>
      <c r="G330">
        <v>-0.82766168163086928</v>
      </c>
      <c r="I330">
        <v>0.28565041629830212</v>
      </c>
      <c r="J330">
        <v>-1.200670759629803</v>
      </c>
      <c r="M330">
        <f t="shared" si="16"/>
        <v>-2.2486488630414012</v>
      </c>
      <c r="N330">
        <f t="shared" si="17"/>
        <v>6</v>
      </c>
    </row>
    <row r="331" spans="1:14" x14ac:dyDescent="0.35">
      <c r="A331" t="str">
        <f t="shared" si="15"/>
        <v>18097330401_2028</v>
      </c>
      <c r="B331">
        <v>18097330401</v>
      </c>
      <c r="C331">
        <v>2028</v>
      </c>
      <c r="D331">
        <v>-0.19260292528084899</v>
      </c>
      <c r="E331">
        <v>-0.23976526440699061</v>
      </c>
      <c r="F331">
        <v>-5.7604488500080778E-2</v>
      </c>
      <c r="G331">
        <v>-0.78892585826397443</v>
      </c>
      <c r="I331">
        <v>0.2977008152823899</v>
      </c>
      <c r="J331">
        <v>-1.205048690089112</v>
      </c>
      <c r="M331">
        <f t="shared" si="16"/>
        <v>-2.1862464112586171</v>
      </c>
      <c r="N331">
        <f t="shared" si="17"/>
        <v>6</v>
      </c>
    </row>
    <row r="332" spans="1:14" x14ac:dyDescent="0.35">
      <c r="A332" t="str">
        <f t="shared" si="15"/>
        <v>18097330500_2024</v>
      </c>
      <c r="B332">
        <v>18097330500</v>
      </c>
      <c r="C332">
        <v>2024</v>
      </c>
      <c r="D332">
        <v>-7.1319780063913388E-2</v>
      </c>
      <c r="E332">
        <v>0.49110238728683508</v>
      </c>
      <c r="F332">
        <v>-1.031084919065747</v>
      </c>
      <c r="G332">
        <v>-0.1418617535474215</v>
      </c>
      <c r="I332">
        <v>0.8914798238457502</v>
      </c>
      <c r="J332">
        <v>0.32775377213033929</v>
      </c>
      <c r="K332">
        <v>-8.1134232271158749E-2</v>
      </c>
      <c r="M332">
        <f t="shared" si="16"/>
        <v>0.38493529831468404</v>
      </c>
      <c r="N332">
        <f t="shared" si="17"/>
        <v>7</v>
      </c>
    </row>
    <row r="333" spans="1:14" x14ac:dyDescent="0.35">
      <c r="A333" t="str">
        <f t="shared" si="15"/>
        <v>18097330500_2025</v>
      </c>
      <c r="B333">
        <v>18097330500</v>
      </c>
      <c r="C333">
        <v>2025</v>
      </c>
      <c r="D333">
        <v>-0.41052882473853058</v>
      </c>
      <c r="E333">
        <v>-6.3680546592550208E-2</v>
      </c>
      <c r="F333">
        <v>-0.62579712511057761</v>
      </c>
      <c r="G333">
        <v>0.526103388612566</v>
      </c>
      <c r="I333">
        <v>1.104427104432137</v>
      </c>
      <c r="J333">
        <v>0.48698753062908068</v>
      </c>
      <c r="K333">
        <v>-0.63850030001519487</v>
      </c>
      <c r="M333">
        <f t="shared" si="16"/>
        <v>0.37901122721693026</v>
      </c>
      <c r="N333">
        <f t="shared" si="17"/>
        <v>7</v>
      </c>
    </row>
    <row r="334" spans="1:14" x14ac:dyDescent="0.35">
      <c r="A334" t="str">
        <f t="shared" si="15"/>
        <v>18097330500_2026</v>
      </c>
      <c r="B334">
        <v>18097330500</v>
      </c>
      <c r="C334">
        <v>2026</v>
      </c>
      <c r="D334">
        <v>-0.3060351001918819</v>
      </c>
      <c r="E334">
        <v>0.23354736181103361</v>
      </c>
      <c r="F334">
        <v>-0.67430542411279526</v>
      </c>
      <c r="G334">
        <v>0.32576650765217152</v>
      </c>
      <c r="I334">
        <v>1.0258624316394951</v>
      </c>
      <c r="J334">
        <v>0.44960072552297797</v>
      </c>
      <c r="K334">
        <v>-0.69849829577536471</v>
      </c>
      <c r="M334">
        <f t="shared" si="16"/>
        <v>0.35593820654563624</v>
      </c>
      <c r="N334">
        <f t="shared" si="17"/>
        <v>7</v>
      </c>
    </row>
    <row r="335" spans="1:14" x14ac:dyDescent="0.35">
      <c r="A335" t="str">
        <f t="shared" si="15"/>
        <v>18097330500_2027</v>
      </c>
      <c r="B335">
        <v>18097330500</v>
      </c>
      <c r="C335">
        <v>2027</v>
      </c>
      <c r="D335">
        <v>-0.31203332618583068</v>
      </c>
      <c r="E335">
        <v>0.1761921353335705</v>
      </c>
      <c r="F335">
        <v>-0.76758720428079996</v>
      </c>
      <c r="G335">
        <v>0.45975606522672019</v>
      </c>
      <c r="I335">
        <v>0.85691373062829812</v>
      </c>
      <c r="J335">
        <v>0.4172965691500139</v>
      </c>
      <c r="K335">
        <v>-0.64438809671485298</v>
      </c>
      <c r="M335">
        <f t="shared" si="16"/>
        <v>0.18614987315711906</v>
      </c>
      <c r="N335">
        <f t="shared" si="17"/>
        <v>7</v>
      </c>
    </row>
    <row r="336" spans="1:14" x14ac:dyDescent="0.35">
      <c r="A336" t="str">
        <f t="shared" si="15"/>
        <v>18097330500_2028</v>
      </c>
      <c r="B336">
        <v>18097330500</v>
      </c>
      <c r="C336">
        <v>2028</v>
      </c>
      <c r="D336">
        <v>-0.4512837994879994</v>
      </c>
      <c r="E336">
        <v>0.25475605659712092</v>
      </c>
      <c r="F336">
        <v>-0.78970732224082441</v>
      </c>
      <c r="G336">
        <v>0.4009517073359713</v>
      </c>
      <c r="I336">
        <v>0.68503497618800413</v>
      </c>
      <c r="J336">
        <v>0.3992333864136749</v>
      </c>
      <c r="K336">
        <v>-0.63068052995383816</v>
      </c>
      <c r="M336">
        <f t="shared" si="16"/>
        <v>-0.13169552514789074</v>
      </c>
      <c r="N336">
        <f t="shared" si="17"/>
        <v>7</v>
      </c>
    </row>
    <row r="337" spans="1:14" x14ac:dyDescent="0.35">
      <c r="A337" t="str">
        <f t="shared" si="15"/>
        <v>18097330600_2024</v>
      </c>
      <c r="B337">
        <v>18097330600</v>
      </c>
      <c r="C337">
        <v>2024</v>
      </c>
      <c r="D337">
        <v>-7.1318832742748833E-2</v>
      </c>
      <c r="E337">
        <v>-9.1139922664454608E-3</v>
      </c>
      <c r="F337">
        <v>0.36349985835233101</v>
      </c>
      <c r="G337">
        <v>-0.1621362446051646</v>
      </c>
      <c r="H337">
        <v>0.21216028325371911</v>
      </c>
      <c r="I337">
        <v>5.7241610312353641E-2</v>
      </c>
      <c r="J337">
        <v>0.32775377213033929</v>
      </c>
      <c r="K337">
        <v>-8.1134232334512169E-2</v>
      </c>
      <c r="M337">
        <f t="shared" si="16"/>
        <v>0.63695222209987201</v>
      </c>
      <c r="N337">
        <f t="shared" si="17"/>
        <v>8</v>
      </c>
    </row>
    <row r="338" spans="1:14" x14ac:dyDescent="0.35">
      <c r="A338" t="str">
        <f t="shared" si="15"/>
        <v>18097330600_2025</v>
      </c>
      <c r="B338">
        <v>18097330600</v>
      </c>
      <c r="C338">
        <v>2025</v>
      </c>
      <c r="D338">
        <v>-0.41053091454703011</v>
      </c>
      <c r="E338">
        <v>-0.1627327312967507</v>
      </c>
      <c r="F338">
        <v>0.37723119886816991</v>
      </c>
      <c r="G338">
        <v>-0.13831957790137739</v>
      </c>
      <c r="H338">
        <v>0.78386743892721733</v>
      </c>
      <c r="I338">
        <v>-0.90283672509125723</v>
      </c>
      <c r="J338">
        <v>0.48698753062908068</v>
      </c>
      <c r="K338">
        <v>-0.63850030028144178</v>
      </c>
      <c r="M338">
        <f t="shared" si="16"/>
        <v>-0.60483408069338918</v>
      </c>
      <c r="N338">
        <f t="shared" si="17"/>
        <v>8</v>
      </c>
    </row>
    <row r="339" spans="1:14" x14ac:dyDescent="0.35">
      <c r="A339" t="str">
        <f t="shared" si="15"/>
        <v>18097330600_2026</v>
      </c>
      <c r="B339">
        <v>18097330600</v>
      </c>
      <c r="C339">
        <v>2026</v>
      </c>
      <c r="D339">
        <v>-0.30603370356049758</v>
      </c>
      <c r="E339">
        <v>-9.3072614258216002E-2</v>
      </c>
      <c r="F339">
        <v>0.58562557902208245</v>
      </c>
      <c r="G339">
        <v>-0.18951633658116351</v>
      </c>
      <c r="H339">
        <v>0.81589252725930139</v>
      </c>
      <c r="I339">
        <v>-0.30734344259770052</v>
      </c>
      <c r="J339">
        <v>0.44960072552297797</v>
      </c>
      <c r="K339">
        <v>-0.6984982960459053</v>
      </c>
      <c r="M339">
        <f t="shared" si="16"/>
        <v>0.25665443876087901</v>
      </c>
      <c r="N339">
        <f t="shared" si="17"/>
        <v>8</v>
      </c>
    </row>
    <row r="340" spans="1:14" x14ac:dyDescent="0.35">
      <c r="A340" t="str">
        <f t="shared" si="15"/>
        <v>18097330600_2027</v>
      </c>
      <c r="B340">
        <v>18097330600</v>
      </c>
      <c r="C340">
        <v>2027</v>
      </c>
      <c r="D340">
        <v>-0.31203493465721149</v>
      </c>
      <c r="E340">
        <v>-7.8343586331386522E-2</v>
      </c>
      <c r="F340">
        <v>0.62011656560537631</v>
      </c>
      <c r="G340">
        <v>-0.17039243672336621</v>
      </c>
      <c r="H340">
        <v>0.73671832317881991</v>
      </c>
      <c r="I340">
        <v>-0.45136038497320757</v>
      </c>
      <c r="J340">
        <v>0.4172965691500139</v>
      </c>
      <c r="K340">
        <v>-0.64438809698128641</v>
      </c>
      <c r="M340">
        <f t="shared" si="16"/>
        <v>0.11761201826775192</v>
      </c>
      <c r="N340">
        <f t="shared" si="17"/>
        <v>8</v>
      </c>
    </row>
    <row r="341" spans="1:14" x14ac:dyDescent="0.35">
      <c r="A341" t="str">
        <f t="shared" si="15"/>
        <v>18097330600_2028</v>
      </c>
      <c r="B341">
        <v>18097330600</v>
      </c>
      <c r="C341">
        <v>2028</v>
      </c>
      <c r="D341">
        <v>-0.45128341046984849</v>
      </c>
      <c r="E341">
        <v>1.270730148434146E-2</v>
      </c>
      <c r="F341">
        <v>0.74502517751975872</v>
      </c>
      <c r="G341">
        <v>-0.1788799621227361</v>
      </c>
      <c r="H341">
        <v>0.61810812608104337</v>
      </c>
      <c r="I341">
        <v>-0.18578702717951021</v>
      </c>
      <c r="J341">
        <v>0.3992333864136749</v>
      </c>
      <c r="K341">
        <v>-0.63068053021400439</v>
      </c>
      <c r="M341">
        <f t="shared" si="16"/>
        <v>0.32844306151271918</v>
      </c>
      <c r="N341">
        <f t="shared" si="17"/>
        <v>8</v>
      </c>
    </row>
    <row r="342" spans="1:14" x14ac:dyDescent="0.35">
      <c r="A342" t="str">
        <f t="shared" si="15"/>
        <v>18097330701_2024</v>
      </c>
      <c r="B342">
        <v>18097330701</v>
      </c>
      <c r="C342">
        <v>2024</v>
      </c>
      <c r="D342">
        <v>-7.1315200906301196E-2</v>
      </c>
      <c r="F342">
        <v>0.28641167743816259</v>
      </c>
      <c r="H342">
        <v>1.6198181333064759E-2</v>
      </c>
      <c r="I342">
        <v>-2.9109601408341019</v>
      </c>
      <c r="J342">
        <v>0.32775377213033929</v>
      </c>
      <c r="K342">
        <v>-8.1134232271158749E-2</v>
      </c>
      <c r="M342">
        <f t="shared" si="16"/>
        <v>-2.4330459431099953</v>
      </c>
      <c r="N342">
        <f t="shared" si="17"/>
        <v>6</v>
      </c>
    </row>
    <row r="343" spans="1:14" x14ac:dyDescent="0.35">
      <c r="A343" t="str">
        <f t="shared" si="15"/>
        <v>18097330701_2025</v>
      </c>
      <c r="B343">
        <v>18097330701</v>
      </c>
      <c r="C343">
        <v>2025</v>
      </c>
      <c r="D343">
        <v>-0.41053881774706569</v>
      </c>
      <c r="F343">
        <v>-0.14789925671145121</v>
      </c>
      <c r="H343">
        <v>-1.8972495080388789</v>
      </c>
      <c r="I343">
        <v>-4.4956300703949763</v>
      </c>
      <c r="J343">
        <v>0.48698753062908068</v>
      </c>
      <c r="K343">
        <v>-0.63850030001519487</v>
      </c>
      <c r="M343">
        <f t="shared" si="16"/>
        <v>-7.1028304222784868</v>
      </c>
      <c r="N343">
        <f t="shared" si="17"/>
        <v>6</v>
      </c>
    </row>
    <row r="344" spans="1:14" x14ac:dyDescent="0.35">
      <c r="A344" t="str">
        <f t="shared" si="15"/>
        <v>18097330701_2026</v>
      </c>
      <c r="B344">
        <v>18097330701</v>
      </c>
      <c r="C344">
        <v>2026</v>
      </c>
      <c r="D344">
        <v>-0.30602835273056839</v>
      </c>
      <c r="F344">
        <v>-0.14446799338717289</v>
      </c>
      <c r="H344">
        <v>-0.43732824021109618</v>
      </c>
      <c r="I344">
        <v>-6.1685409183481443</v>
      </c>
      <c r="J344">
        <v>0.44960072552297797</v>
      </c>
      <c r="K344">
        <v>-0.69849829577536471</v>
      </c>
      <c r="M344">
        <f t="shared" si="16"/>
        <v>-7.3052630749293685</v>
      </c>
      <c r="N344">
        <f t="shared" si="17"/>
        <v>6</v>
      </c>
    </row>
    <row r="345" spans="1:14" x14ac:dyDescent="0.35">
      <c r="A345" t="str">
        <f t="shared" si="15"/>
        <v>18097330701_2027</v>
      </c>
      <c r="B345">
        <v>18097330701</v>
      </c>
      <c r="C345">
        <v>2027</v>
      </c>
      <c r="D345">
        <v>-0.312040997633451</v>
      </c>
      <c r="F345">
        <v>-0.1626699783652833</v>
      </c>
      <c r="H345">
        <v>-1.249261330884603</v>
      </c>
      <c r="I345">
        <v>-9.0463013278953888</v>
      </c>
      <c r="J345">
        <v>0.4172965691500139</v>
      </c>
      <c r="K345">
        <v>-0.64438809671485298</v>
      </c>
      <c r="M345">
        <f t="shared" si="16"/>
        <v>-10.997365162343563</v>
      </c>
      <c r="N345">
        <f t="shared" si="17"/>
        <v>6</v>
      </c>
    </row>
    <row r="346" spans="1:14" x14ac:dyDescent="0.35">
      <c r="A346" t="str">
        <f t="shared" si="15"/>
        <v>18097330701_2028</v>
      </c>
      <c r="B346">
        <v>18097330701</v>
      </c>
      <c r="C346">
        <v>2028</v>
      </c>
      <c r="D346">
        <v>-0.4512818809224754</v>
      </c>
      <c r="F346">
        <v>-0.12788020938134939</v>
      </c>
      <c r="H346">
        <v>-0.51533606703445711</v>
      </c>
      <c r="I346">
        <v>-7.7717701403356108</v>
      </c>
      <c r="J346">
        <v>0.3992333864136749</v>
      </c>
      <c r="K346">
        <v>-0.63068052995383816</v>
      </c>
      <c r="M346">
        <f t="shared" si="16"/>
        <v>-9.0977154412140564</v>
      </c>
      <c r="N346">
        <f t="shared" si="17"/>
        <v>6</v>
      </c>
    </row>
    <row r="347" spans="1:14" x14ac:dyDescent="0.35">
      <c r="A347" t="str">
        <f t="shared" si="15"/>
        <v>18097330702_2024</v>
      </c>
      <c r="B347">
        <v>18097330702</v>
      </c>
      <c r="C347">
        <v>2024</v>
      </c>
      <c r="D347">
        <v>-5.7546604537223177E-2</v>
      </c>
      <c r="E347">
        <v>0.96842261886197656</v>
      </c>
      <c r="F347">
        <v>-1.219896077468887</v>
      </c>
      <c r="G347">
        <v>0.33849699197709382</v>
      </c>
      <c r="I347">
        <v>7.6984438638193375E-2</v>
      </c>
      <c r="J347">
        <v>0.61218710932195308</v>
      </c>
      <c r="K347">
        <v>-4.6963799803365028E-2</v>
      </c>
      <c r="M347">
        <f t="shared" si="16"/>
        <v>0.67168467698974166</v>
      </c>
      <c r="N347">
        <f t="shared" si="17"/>
        <v>7</v>
      </c>
    </row>
    <row r="348" spans="1:14" x14ac:dyDescent="0.35">
      <c r="A348" t="str">
        <f t="shared" si="15"/>
        <v>18097330702_2025</v>
      </c>
      <c r="B348">
        <v>18097330702</v>
      </c>
      <c r="C348">
        <v>2025</v>
      </c>
      <c r="D348">
        <v>0.37899308992917979</v>
      </c>
      <c r="E348">
        <v>2.4638793208549119</v>
      </c>
      <c r="F348">
        <v>-2.0365866562757811</v>
      </c>
      <c r="G348">
        <v>1.085181380522773</v>
      </c>
      <c r="I348">
        <v>0.337667796160666</v>
      </c>
      <c r="J348">
        <v>0.22595998320882171</v>
      </c>
      <c r="K348">
        <v>-0.60556848417850606</v>
      </c>
      <c r="M348">
        <f t="shared" si="16"/>
        <v>1.8495264302220651</v>
      </c>
      <c r="N348">
        <f t="shared" si="17"/>
        <v>7</v>
      </c>
    </row>
    <row r="349" spans="1:14" x14ac:dyDescent="0.35">
      <c r="A349" t="str">
        <f t="shared" si="15"/>
        <v>18097330702_2026</v>
      </c>
      <c r="B349">
        <v>18097330702</v>
      </c>
      <c r="C349">
        <v>2026</v>
      </c>
      <c r="D349">
        <v>-0.13404033312693769</v>
      </c>
      <c r="E349">
        <v>1.8563053533542031</v>
      </c>
      <c r="F349">
        <v>-2.0399974071204401</v>
      </c>
      <c r="G349">
        <v>1.000113302077154</v>
      </c>
      <c r="I349">
        <v>0.33167794037853437</v>
      </c>
      <c r="J349">
        <v>0.13472517657048119</v>
      </c>
      <c r="K349">
        <v>-0.70452493303576635</v>
      </c>
      <c r="M349">
        <f t="shared" si="16"/>
        <v>0.44425909909722838</v>
      </c>
      <c r="N349">
        <f t="shared" si="17"/>
        <v>7</v>
      </c>
    </row>
    <row r="350" spans="1:14" x14ac:dyDescent="0.35">
      <c r="A350" t="str">
        <f t="shared" si="15"/>
        <v>18097330702_2027</v>
      </c>
      <c r="B350">
        <v>18097330702</v>
      </c>
      <c r="C350">
        <v>2027</v>
      </c>
      <c r="D350">
        <v>0.39507652312778641</v>
      </c>
      <c r="E350">
        <v>1.8120161590422841</v>
      </c>
      <c r="F350">
        <v>-2.363319416262101</v>
      </c>
      <c r="G350">
        <v>1.2144150760229919</v>
      </c>
      <c r="I350">
        <v>0.34074261184293891</v>
      </c>
      <c r="J350">
        <v>9.7343890858107046E-2</v>
      </c>
      <c r="K350">
        <v>-0.66941834426765279</v>
      </c>
      <c r="M350">
        <f t="shared" si="16"/>
        <v>0.82685650036435454</v>
      </c>
      <c r="N350">
        <f t="shared" si="17"/>
        <v>7</v>
      </c>
    </row>
    <row r="351" spans="1:14" x14ac:dyDescent="0.35">
      <c r="A351" t="str">
        <f t="shared" si="15"/>
        <v>18097330702_2028</v>
      </c>
      <c r="B351">
        <v>18097330702</v>
      </c>
      <c r="C351">
        <v>2028</v>
      </c>
      <c r="D351">
        <v>1.2584868551367281E-2</v>
      </c>
      <c r="E351">
        <v>1.48192394800774</v>
      </c>
      <c r="F351">
        <v>-2.5289650564084041</v>
      </c>
      <c r="G351">
        <v>1.1077699228654101</v>
      </c>
      <c r="I351">
        <v>0.32345116100419169</v>
      </c>
      <c r="J351">
        <v>8.0935909858882257E-2</v>
      </c>
      <c r="K351">
        <v>-0.66514353976155827</v>
      </c>
      <c r="M351">
        <f t="shared" si="16"/>
        <v>-0.18744278588237112</v>
      </c>
      <c r="N351">
        <f t="shared" si="17"/>
        <v>7</v>
      </c>
    </row>
    <row r="352" spans="1:14" x14ac:dyDescent="0.35">
      <c r="A352" t="str">
        <f t="shared" si="15"/>
        <v>18097330803_2024</v>
      </c>
      <c r="B352">
        <v>18097330803</v>
      </c>
      <c r="C352">
        <v>2024</v>
      </c>
      <c r="D352">
        <v>-6.1896009214417277E-2</v>
      </c>
      <c r="E352">
        <v>-3.8222703089175538</v>
      </c>
      <c r="F352">
        <v>0.87506633834283976</v>
      </c>
      <c r="G352">
        <v>-0.81851670070002813</v>
      </c>
      <c r="H352">
        <v>6.4931816019416777E-2</v>
      </c>
      <c r="J352">
        <v>0.61001330065614767</v>
      </c>
      <c r="K352">
        <v>-4.1437865436639437E-2</v>
      </c>
      <c r="M352">
        <f t="shared" si="16"/>
        <v>-3.1941094292502341</v>
      </c>
      <c r="N352">
        <f t="shared" si="17"/>
        <v>7</v>
      </c>
    </row>
    <row r="353" spans="1:14" x14ac:dyDescent="0.35">
      <c r="A353" t="str">
        <f t="shared" si="15"/>
        <v>18097330803_2025</v>
      </c>
      <c r="B353">
        <v>18097330803</v>
      </c>
      <c r="C353">
        <v>2025</v>
      </c>
      <c r="D353">
        <v>0.74723701394153352</v>
      </c>
      <c r="E353">
        <v>-2.5623746655650321</v>
      </c>
      <c r="F353">
        <v>-0.32983067072579259</v>
      </c>
      <c r="G353">
        <v>-0.19167574702483359</v>
      </c>
      <c r="H353">
        <v>-2.851532847152145E-2</v>
      </c>
      <c r="J353">
        <v>0.16363198490896069</v>
      </c>
      <c r="K353">
        <v>-0.59765455748175655</v>
      </c>
      <c r="M353">
        <f t="shared" si="16"/>
        <v>-2.7991819704184424</v>
      </c>
      <c r="N353">
        <f t="shared" si="17"/>
        <v>7</v>
      </c>
    </row>
    <row r="354" spans="1:14" x14ac:dyDescent="0.35">
      <c r="A354" t="str">
        <f t="shared" si="15"/>
        <v>18097330803_2026</v>
      </c>
      <c r="B354">
        <v>18097330803</v>
      </c>
      <c r="C354">
        <v>2026</v>
      </c>
      <c r="D354">
        <v>1.5300827034261879E-2</v>
      </c>
      <c r="E354">
        <v>-3.3200923430042981</v>
      </c>
      <c r="F354">
        <v>-0.34578917338812171</v>
      </c>
      <c r="G354">
        <v>-0.29760750620478799</v>
      </c>
      <c r="H354">
        <v>-8.1521061147733831E-2</v>
      </c>
      <c r="J354">
        <v>7.9089834447403182E-2</v>
      </c>
      <c r="K354">
        <v>-0.70216302551208742</v>
      </c>
      <c r="M354">
        <f t="shared" si="16"/>
        <v>-4.6527824477753637</v>
      </c>
      <c r="N354">
        <f t="shared" si="17"/>
        <v>7</v>
      </c>
    </row>
    <row r="355" spans="1:14" x14ac:dyDescent="0.35">
      <c r="A355" t="str">
        <f t="shared" si="15"/>
        <v>18097330803_2027</v>
      </c>
      <c r="B355">
        <v>18097330803</v>
      </c>
      <c r="C355">
        <v>2027</v>
      </c>
      <c r="D355">
        <v>0.69900819998291375</v>
      </c>
      <c r="E355">
        <v>-4.0770995852993623</v>
      </c>
      <c r="F355">
        <v>-0.39426278556460492</v>
      </c>
      <c r="G355">
        <v>-0.2698870676877429</v>
      </c>
      <c r="H355">
        <v>-0.1904390865543121</v>
      </c>
      <c r="J355">
        <v>4.1977799849089878E-2</v>
      </c>
      <c r="K355">
        <v>-0.66997758733782375</v>
      </c>
      <c r="M355">
        <f t="shared" si="16"/>
        <v>-4.860680112611842</v>
      </c>
      <c r="N355">
        <f t="shared" si="17"/>
        <v>7</v>
      </c>
    </row>
    <row r="356" spans="1:14" x14ac:dyDescent="0.35">
      <c r="A356" t="str">
        <f t="shared" si="15"/>
        <v>18097330803_2028</v>
      </c>
      <c r="B356">
        <v>18097330803</v>
      </c>
      <c r="C356">
        <v>2028</v>
      </c>
      <c r="D356">
        <v>0.2887861872202474</v>
      </c>
      <c r="E356">
        <v>-4.7921846930857601</v>
      </c>
      <c r="F356">
        <v>-0.38112683453469248</v>
      </c>
      <c r="G356">
        <v>-0.28042306884526019</v>
      </c>
      <c r="H356">
        <v>-0.27165574965486389</v>
      </c>
      <c r="J356">
        <v>2.61155386734695E-2</v>
      </c>
      <c r="K356">
        <v>-0.66728535956851331</v>
      </c>
      <c r="M356">
        <f t="shared" si="16"/>
        <v>-6.0777739797953725</v>
      </c>
      <c r="N356">
        <f t="shared" si="17"/>
        <v>7</v>
      </c>
    </row>
    <row r="357" spans="1:14" x14ac:dyDescent="0.35">
      <c r="A357" t="str">
        <f t="shared" si="15"/>
        <v>18097330804_2024</v>
      </c>
      <c r="B357">
        <v>18097330804</v>
      </c>
      <c r="C357">
        <v>2024</v>
      </c>
      <c r="D357">
        <v>-6.1714939445940822E-2</v>
      </c>
      <c r="E357">
        <v>-0.7481629067490807</v>
      </c>
      <c r="F357">
        <v>0.52799864029771038</v>
      </c>
      <c r="G357">
        <v>0.83280761651326862</v>
      </c>
      <c r="H357">
        <v>3.0375033475294601E-3</v>
      </c>
      <c r="I357">
        <v>1.161972063940055</v>
      </c>
      <c r="J357">
        <v>0.61036045332354094</v>
      </c>
      <c r="K357">
        <v>-4.1705953998528021E-2</v>
      </c>
      <c r="M357">
        <f t="shared" si="16"/>
        <v>2.2845924772285549</v>
      </c>
      <c r="N357">
        <f t="shared" si="17"/>
        <v>8</v>
      </c>
    </row>
    <row r="358" spans="1:14" x14ac:dyDescent="0.35">
      <c r="A358" t="str">
        <f t="shared" si="15"/>
        <v>18097330804_2025</v>
      </c>
      <c r="B358">
        <v>18097330804</v>
      </c>
      <c r="C358">
        <v>2025</v>
      </c>
      <c r="D358">
        <v>0.72505223948786557</v>
      </c>
      <c r="E358">
        <v>-1.3776108384024079</v>
      </c>
      <c r="F358">
        <v>-3.5942184189506288E-2</v>
      </c>
      <c r="G358">
        <v>1.7587804749833771</v>
      </c>
      <c r="H358">
        <v>-2.049398053724908E-2</v>
      </c>
      <c r="I358">
        <v>1.530814786350263</v>
      </c>
      <c r="J358">
        <v>0.1667052232096651</v>
      </c>
      <c r="K358">
        <v>-0.59804461387644514</v>
      </c>
      <c r="M358">
        <f t="shared" si="16"/>
        <v>2.1492611070255627</v>
      </c>
      <c r="N358">
        <f t="shared" si="17"/>
        <v>8</v>
      </c>
    </row>
    <row r="359" spans="1:14" x14ac:dyDescent="0.35">
      <c r="A359" t="str">
        <f t="shared" si="15"/>
        <v>18097330804_2026</v>
      </c>
      <c r="B359">
        <v>18097330804</v>
      </c>
      <c r="C359">
        <v>2026</v>
      </c>
      <c r="D359">
        <v>4.6638277962314199E-3</v>
      </c>
      <c r="E359">
        <v>-1.4560176321435501</v>
      </c>
      <c r="F359">
        <v>-0.61155420775485148</v>
      </c>
      <c r="G359">
        <v>1.455391671090482</v>
      </c>
      <c r="H359">
        <v>-9.531123041909724E-2</v>
      </c>
      <c r="I359">
        <v>1.4047255912298759</v>
      </c>
      <c r="J359">
        <v>8.1814807984960436E-2</v>
      </c>
      <c r="K359">
        <v>-0.70228760301868354</v>
      </c>
      <c r="M359">
        <f t="shared" si="16"/>
        <v>8.1425224765367399E-2</v>
      </c>
      <c r="N359">
        <f t="shared" si="17"/>
        <v>8</v>
      </c>
    </row>
    <row r="360" spans="1:14" x14ac:dyDescent="0.35">
      <c r="A360" t="str">
        <f t="shared" si="15"/>
        <v>18097330804_2027</v>
      </c>
      <c r="B360">
        <v>18097330804</v>
      </c>
      <c r="C360">
        <v>2027</v>
      </c>
      <c r="D360">
        <v>0.6807663929411063</v>
      </c>
      <c r="E360">
        <v>-1.5268938463964581</v>
      </c>
      <c r="F360">
        <v>-0.15929077985171991</v>
      </c>
      <c r="G360">
        <v>1.669983111954183</v>
      </c>
      <c r="H360">
        <v>-0.21683466099182561</v>
      </c>
      <c r="I360">
        <v>1.125387042124085</v>
      </c>
      <c r="J360">
        <v>4.4694950500277747E-2</v>
      </c>
      <c r="K360">
        <v>-0.6699629108790105</v>
      </c>
      <c r="M360">
        <f t="shared" si="16"/>
        <v>0.94784929940063811</v>
      </c>
      <c r="N360">
        <f t="shared" si="17"/>
        <v>8</v>
      </c>
    </row>
    <row r="361" spans="1:14" x14ac:dyDescent="0.35">
      <c r="A361" t="str">
        <f t="shared" si="15"/>
        <v>18097330804_2028</v>
      </c>
      <c r="B361">
        <v>18097330804</v>
      </c>
      <c r="C361">
        <v>2028</v>
      </c>
      <c r="D361">
        <v>0.27090830160468432</v>
      </c>
      <c r="E361">
        <v>-1.425289497286911</v>
      </c>
      <c r="F361">
        <v>-0.60187865018770403</v>
      </c>
      <c r="G361">
        <v>1.5076417553751189</v>
      </c>
      <c r="H361">
        <v>-0.28304230224642879</v>
      </c>
      <c r="I361">
        <v>0.86154068407500239</v>
      </c>
      <c r="J361">
        <v>2.8805250810400199E-2</v>
      </c>
      <c r="K361">
        <v>-0.66719535339142921</v>
      </c>
      <c r="M361">
        <f t="shared" si="16"/>
        <v>-0.30850981124726728</v>
      </c>
      <c r="N361">
        <f t="shared" si="17"/>
        <v>8</v>
      </c>
    </row>
    <row r="362" spans="1:14" x14ac:dyDescent="0.35">
      <c r="A362" t="str">
        <f t="shared" si="15"/>
        <v>18097330805_2024</v>
      </c>
      <c r="B362">
        <v>18097330805</v>
      </c>
      <c r="C362">
        <v>2024</v>
      </c>
      <c r="D362">
        <v>-7.1319311576602026E-2</v>
      </c>
      <c r="E362">
        <v>2.248262489783295E-2</v>
      </c>
      <c r="F362">
        <v>0.44867508054964572</v>
      </c>
      <c r="G362">
        <v>-8.1149513991479225E-2</v>
      </c>
      <c r="H362">
        <v>-0.37036873493065492</v>
      </c>
      <c r="I362">
        <v>-2.0511718857880261</v>
      </c>
      <c r="J362">
        <v>0.32775377213033158</v>
      </c>
      <c r="K362">
        <v>-8.1134232335608014E-2</v>
      </c>
      <c r="M362">
        <f t="shared" si="16"/>
        <v>-1.85623220104456</v>
      </c>
      <c r="N362">
        <f t="shared" si="17"/>
        <v>8</v>
      </c>
    </row>
    <row r="363" spans="1:14" x14ac:dyDescent="0.35">
      <c r="A363" t="str">
        <f t="shared" si="15"/>
        <v>18097330805_2025</v>
      </c>
      <c r="B363">
        <v>18097330805</v>
      </c>
      <c r="C363">
        <v>2025</v>
      </c>
      <c r="D363">
        <v>-0.41052990791295502</v>
      </c>
      <c r="E363">
        <v>0.33825696168860059</v>
      </c>
      <c r="F363">
        <v>2.0483211514003661</v>
      </c>
      <c r="G363">
        <v>-0.36199463776784602</v>
      </c>
      <c r="H363">
        <v>-0.29948242824514448</v>
      </c>
      <c r="I363">
        <v>-2.2046704786710469</v>
      </c>
      <c r="J363">
        <v>0.48698753062908068</v>
      </c>
      <c r="K363">
        <v>-0.63850030028604043</v>
      </c>
      <c r="M363">
        <f t="shared" si="16"/>
        <v>-1.0416121091649855</v>
      </c>
      <c r="N363">
        <f t="shared" si="17"/>
        <v>8</v>
      </c>
    </row>
    <row r="364" spans="1:14" x14ac:dyDescent="0.35">
      <c r="A364" t="str">
        <f t="shared" si="15"/>
        <v>18097330805_2026</v>
      </c>
      <c r="B364">
        <v>18097330805</v>
      </c>
      <c r="C364">
        <v>2026</v>
      </c>
      <c r="D364">
        <v>-0.30603440785645358</v>
      </c>
      <c r="E364">
        <v>0.61010553807684287</v>
      </c>
      <c r="F364">
        <v>-1.1187232459340759</v>
      </c>
      <c r="G364">
        <v>-0.32066746317762368</v>
      </c>
      <c r="H364">
        <v>-0.91586930180160597</v>
      </c>
      <c r="I364">
        <v>-1.8838873854887559</v>
      </c>
      <c r="J364">
        <v>0.44960072552297797</v>
      </c>
      <c r="K364">
        <v>-0.69849829605039526</v>
      </c>
      <c r="M364">
        <f t="shared" si="16"/>
        <v>-4.1839738367090895</v>
      </c>
      <c r="N364">
        <f t="shared" si="17"/>
        <v>8</v>
      </c>
    </row>
    <row r="365" spans="1:14" x14ac:dyDescent="0.35">
      <c r="A365" t="str">
        <f t="shared" si="15"/>
        <v>18097330805_2027</v>
      </c>
      <c r="B365">
        <v>18097330805</v>
      </c>
      <c r="C365">
        <v>2027</v>
      </c>
      <c r="D365">
        <v>-0.31203416898557051</v>
      </c>
      <c r="E365">
        <v>0.64892463668659606</v>
      </c>
      <c r="F365">
        <v>1.5496455290555089</v>
      </c>
      <c r="G365">
        <v>-0.34377637409610218</v>
      </c>
      <c r="H365">
        <v>-0.63737404651888752</v>
      </c>
      <c r="I365">
        <v>-1.300465365485709</v>
      </c>
      <c r="J365">
        <v>0.4172965691500139</v>
      </c>
      <c r="K365">
        <v>-0.64438809698563448</v>
      </c>
      <c r="M365">
        <f t="shared" si="16"/>
        <v>-0.6221713171797848</v>
      </c>
      <c r="N365">
        <f t="shared" si="17"/>
        <v>8</v>
      </c>
    </row>
    <row r="366" spans="1:14" x14ac:dyDescent="0.35">
      <c r="A366" t="str">
        <f t="shared" si="15"/>
        <v>18097330805_2028</v>
      </c>
      <c r="B366">
        <v>18097330805</v>
      </c>
      <c r="C366">
        <v>2028</v>
      </c>
      <c r="D366">
        <v>-0.45128362451490123</v>
      </c>
      <c r="E366">
        <v>0.66621701162975344</v>
      </c>
      <c r="F366">
        <v>-0.72362182186056911</v>
      </c>
      <c r="G366">
        <v>-0.33587951659811588</v>
      </c>
      <c r="H366">
        <v>-0.65212760454967178</v>
      </c>
      <c r="I366">
        <v>-0.81282227186666223</v>
      </c>
      <c r="J366">
        <v>0.3992333864136749</v>
      </c>
      <c r="K366">
        <v>-0.63068053021814008</v>
      </c>
      <c r="M366">
        <f t="shared" si="16"/>
        <v>-2.5409649715646316</v>
      </c>
      <c r="N366">
        <f t="shared" si="17"/>
        <v>8</v>
      </c>
    </row>
    <row r="367" spans="1:14" x14ac:dyDescent="0.35">
      <c r="A367" t="str">
        <f t="shared" si="15"/>
        <v>18097330806_2024</v>
      </c>
      <c r="B367">
        <v>18097330806</v>
      </c>
      <c r="C367">
        <v>2024</v>
      </c>
      <c r="D367">
        <v>-7.1317961544023339E-2</v>
      </c>
      <c r="E367">
        <v>0.49319915339714548</v>
      </c>
      <c r="F367">
        <v>0.66210997353728696</v>
      </c>
      <c r="G367">
        <v>0.23442794806624889</v>
      </c>
      <c r="H367">
        <v>0.15404441242868899</v>
      </c>
      <c r="I367">
        <v>0.84017652179247038</v>
      </c>
      <c r="J367">
        <v>0.32775377213033929</v>
      </c>
      <c r="K367">
        <v>-8.1134232271158749E-2</v>
      </c>
      <c r="M367">
        <f t="shared" si="16"/>
        <v>2.5592595875369977</v>
      </c>
      <c r="N367">
        <f t="shared" si="17"/>
        <v>8</v>
      </c>
    </row>
    <row r="368" spans="1:14" x14ac:dyDescent="0.35">
      <c r="A368" t="str">
        <f t="shared" si="15"/>
        <v>18097330806_2025</v>
      </c>
      <c r="B368">
        <v>18097330806</v>
      </c>
      <c r="C368">
        <v>2025</v>
      </c>
      <c r="D368">
        <v>-0.4105327814140825</v>
      </c>
      <c r="E368">
        <v>0.68558357598333763</v>
      </c>
      <c r="F368">
        <v>-0.1744357410540773</v>
      </c>
      <c r="G368">
        <v>0.2184236535007037</v>
      </c>
      <c r="H368">
        <v>0.77531240407704061</v>
      </c>
      <c r="I368">
        <v>0.6660477302600869</v>
      </c>
      <c r="J368">
        <v>0.48698753062908068</v>
      </c>
      <c r="K368">
        <v>-0.63850030001519487</v>
      </c>
      <c r="M368">
        <f t="shared" si="16"/>
        <v>1.6088860719668947</v>
      </c>
      <c r="N368">
        <f t="shared" si="17"/>
        <v>8</v>
      </c>
    </row>
    <row r="369" spans="1:14" x14ac:dyDescent="0.35">
      <c r="A369" t="str">
        <f t="shared" si="15"/>
        <v>18097330806_2026</v>
      </c>
      <c r="B369">
        <v>18097330806</v>
      </c>
      <c r="C369">
        <v>2026</v>
      </c>
      <c r="D369">
        <v>-0.30603242097686179</v>
      </c>
      <c r="E369">
        <v>0.7660526558391495</v>
      </c>
      <c r="F369">
        <v>-3.4841492437609228E-2</v>
      </c>
      <c r="G369">
        <v>2.7270932397008649E-2</v>
      </c>
      <c r="H369">
        <v>0.79938819060609156</v>
      </c>
      <c r="I369">
        <v>0.54667377330599498</v>
      </c>
      <c r="J369">
        <v>0.44960072552297797</v>
      </c>
      <c r="K369">
        <v>-0.69849829577536471</v>
      </c>
      <c r="M369">
        <f t="shared" si="16"/>
        <v>1.5496140684813871</v>
      </c>
      <c r="N369">
        <f t="shared" si="17"/>
        <v>8</v>
      </c>
    </row>
    <row r="370" spans="1:14" x14ac:dyDescent="0.35">
      <c r="A370" t="str">
        <f t="shared" si="15"/>
        <v>18097330806_2027</v>
      </c>
      <c r="B370">
        <v>18097330806</v>
      </c>
      <c r="C370">
        <v>2027</v>
      </c>
      <c r="D370">
        <v>-0.31203636145171437</v>
      </c>
      <c r="E370">
        <v>0.72205200962667238</v>
      </c>
      <c r="F370">
        <v>-9.5779730463425819E-2</v>
      </c>
      <c r="G370">
        <v>4.0567560712322918E-2</v>
      </c>
      <c r="H370">
        <v>0.70605739165729475</v>
      </c>
      <c r="I370">
        <v>0.48221613433519728</v>
      </c>
      <c r="J370">
        <v>0.4172965691500139</v>
      </c>
      <c r="K370">
        <v>-0.64438809671485298</v>
      </c>
      <c r="M370">
        <f t="shared" si="16"/>
        <v>1.315985476851508</v>
      </c>
      <c r="N370">
        <f t="shared" si="17"/>
        <v>8</v>
      </c>
    </row>
    <row r="371" spans="1:14" x14ac:dyDescent="0.35">
      <c r="A371" t="str">
        <f t="shared" si="15"/>
        <v>18097330806_2028</v>
      </c>
      <c r="B371">
        <v>18097330806</v>
      </c>
      <c r="C371">
        <v>2028</v>
      </c>
      <c r="D371">
        <v>-0.45128303342849768</v>
      </c>
      <c r="E371">
        <v>0.70482777357726023</v>
      </c>
      <c r="F371">
        <v>-3.1003206570319099E-2</v>
      </c>
      <c r="G371">
        <v>8.0767683776237203E-3</v>
      </c>
      <c r="H371">
        <v>0.58641750818085525</v>
      </c>
      <c r="I371">
        <v>0.42135352286487621</v>
      </c>
      <c r="J371">
        <v>0.3992333864136749</v>
      </c>
      <c r="K371">
        <v>-0.63068052995383816</v>
      </c>
      <c r="M371">
        <f t="shared" si="16"/>
        <v>1.0069421894616353</v>
      </c>
      <c r="N371">
        <f t="shared" si="17"/>
        <v>8</v>
      </c>
    </row>
    <row r="372" spans="1:14" x14ac:dyDescent="0.35">
      <c r="A372" t="str">
        <f t="shared" si="15"/>
        <v>18097330900_2024</v>
      </c>
      <c r="B372">
        <v>18097330900</v>
      </c>
      <c r="C372">
        <v>2024</v>
      </c>
      <c r="D372">
        <v>-7.1319315683833276E-2</v>
      </c>
      <c r="E372">
        <v>0.61667137771901437</v>
      </c>
      <c r="F372">
        <v>0.92447852249207363</v>
      </c>
      <c r="G372">
        <v>-0.4199727064132463</v>
      </c>
      <c r="I372">
        <v>1.7724315504139969</v>
      </c>
      <c r="J372">
        <v>0.32775377213033929</v>
      </c>
      <c r="K372">
        <v>-8.1134232271158749E-2</v>
      </c>
      <c r="M372">
        <f t="shared" si="16"/>
        <v>3.0689089683871855</v>
      </c>
      <c r="N372">
        <f t="shared" si="17"/>
        <v>7</v>
      </c>
    </row>
    <row r="373" spans="1:14" x14ac:dyDescent="0.35">
      <c r="A373" t="str">
        <f t="shared" si="15"/>
        <v>18097330900_2025</v>
      </c>
      <c r="B373">
        <v>18097330900</v>
      </c>
      <c r="C373">
        <v>2025</v>
      </c>
      <c r="D373">
        <v>-0.41052987760700083</v>
      </c>
      <c r="E373">
        <v>0.58555242813486574</v>
      </c>
      <c r="F373">
        <v>-0.13115677214075211</v>
      </c>
      <c r="G373">
        <v>-0.66353477398404292</v>
      </c>
      <c r="I373">
        <v>-0.90576825651872039</v>
      </c>
      <c r="J373">
        <v>0.48698753062908068</v>
      </c>
      <c r="K373">
        <v>-0.63850030001519487</v>
      </c>
      <c r="M373">
        <f t="shared" si="16"/>
        <v>-1.6769500215017645</v>
      </c>
      <c r="N373">
        <f t="shared" si="17"/>
        <v>7</v>
      </c>
    </row>
    <row r="374" spans="1:14" x14ac:dyDescent="0.35">
      <c r="A374" t="str">
        <f t="shared" si="15"/>
        <v>18097330900_2026</v>
      </c>
      <c r="B374">
        <v>18097330900</v>
      </c>
      <c r="C374">
        <v>2026</v>
      </c>
      <c r="D374">
        <v>-0.30603441461608449</v>
      </c>
      <c r="E374">
        <v>0.61743484597805931</v>
      </c>
      <c r="F374">
        <v>-0.1202393263152476</v>
      </c>
      <c r="G374">
        <v>-0.78771449467207189</v>
      </c>
      <c r="I374">
        <v>0.89150666779787924</v>
      </c>
      <c r="J374">
        <v>0.44960072552297797</v>
      </c>
      <c r="K374">
        <v>-0.69849829577536471</v>
      </c>
      <c r="M374">
        <f t="shared" si="16"/>
        <v>4.6055707920147793E-2</v>
      </c>
      <c r="N374">
        <f t="shared" si="17"/>
        <v>7</v>
      </c>
    </row>
    <row r="375" spans="1:14" x14ac:dyDescent="0.35">
      <c r="A375" t="str">
        <f t="shared" si="15"/>
        <v>18097330900_2027</v>
      </c>
      <c r="B375">
        <v>18097330900</v>
      </c>
      <c r="C375">
        <v>2027</v>
      </c>
      <c r="D375">
        <v>-0.31203414176476352</v>
      </c>
      <c r="E375">
        <v>0.58091093746523548</v>
      </c>
      <c r="F375">
        <v>-0.13398642852778231</v>
      </c>
      <c r="G375">
        <v>-0.81510194464447372</v>
      </c>
      <c r="I375">
        <v>-6.8084453899031575E-2</v>
      </c>
      <c r="J375">
        <v>0.4172965691500139</v>
      </c>
      <c r="K375">
        <v>-0.64438809671485298</v>
      </c>
      <c r="M375">
        <f t="shared" si="16"/>
        <v>-0.97538755893565476</v>
      </c>
      <c r="N375">
        <f t="shared" si="17"/>
        <v>7</v>
      </c>
    </row>
    <row r="376" spans="1:14" x14ac:dyDescent="0.35">
      <c r="A376" t="str">
        <f t="shared" si="15"/>
        <v>18097330900_2028</v>
      </c>
      <c r="B376">
        <v>18097330900</v>
      </c>
      <c r="C376">
        <v>2028</v>
      </c>
      <c r="D376">
        <v>-0.45128361875621881</v>
      </c>
      <c r="E376">
        <v>0.58619905179412246</v>
      </c>
      <c r="F376">
        <v>-9.6402619473028001E-2</v>
      </c>
      <c r="G376">
        <v>-0.80019560584641281</v>
      </c>
      <c r="I376">
        <v>0.39953516320930182</v>
      </c>
      <c r="J376">
        <v>0.3992333864136749</v>
      </c>
      <c r="K376">
        <v>-0.63068052995383816</v>
      </c>
      <c r="M376">
        <f t="shared" si="16"/>
        <v>-0.59359477261239857</v>
      </c>
      <c r="N376">
        <f t="shared" si="17"/>
        <v>7</v>
      </c>
    </row>
    <row r="377" spans="1:14" x14ac:dyDescent="0.35">
      <c r="A377" t="str">
        <f t="shared" si="15"/>
        <v>18097331000_2024</v>
      </c>
      <c r="B377">
        <v>18097331000</v>
      </c>
      <c r="C377">
        <v>2024</v>
      </c>
      <c r="D377">
        <v>-0.1011933246678416</v>
      </c>
      <c r="E377">
        <v>0.84901621617511058</v>
      </c>
      <c r="F377">
        <v>0.17255430341402839</v>
      </c>
      <c r="G377">
        <v>-0.1901174752120382</v>
      </c>
      <c r="H377">
        <v>6.3170096291486053E-2</v>
      </c>
      <c r="I377">
        <v>-0.31099211227180817</v>
      </c>
      <c r="J377">
        <v>0.3448395501277754</v>
      </c>
      <c r="K377">
        <v>-6.5899536362973507E-2</v>
      </c>
      <c r="M377">
        <f t="shared" si="16"/>
        <v>0.76137771749373884</v>
      </c>
      <c r="N377">
        <f t="shared" si="17"/>
        <v>8</v>
      </c>
    </row>
    <row r="378" spans="1:14" x14ac:dyDescent="0.35">
      <c r="A378" t="str">
        <f t="shared" si="15"/>
        <v>18097331000_2025</v>
      </c>
      <c r="B378">
        <v>18097331000</v>
      </c>
      <c r="C378">
        <v>2025</v>
      </c>
      <c r="D378">
        <v>-0.43367864663695382</v>
      </c>
      <c r="E378">
        <v>-0.66962553581817807</v>
      </c>
      <c r="F378">
        <v>0.1453584517249259</v>
      </c>
      <c r="G378">
        <v>-0.33325723569252069</v>
      </c>
      <c r="H378">
        <v>-0.23750620202561609</v>
      </c>
      <c r="I378">
        <v>0.1007281602761284</v>
      </c>
      <c r="J378">
        <v>0.50728150842657993</v>
      </c>
      <c r="K378">
        <v>-0.57322552117748471</v>
      </c>
      <c r="M378">
        <f t="shared" si="16"/>
        <v>-1.4939250209231192</v>
      </c>
      <c r="N378">
        <f t="shared" si="17"/>
        <v>8</v>
      </c>
    </row>
    <row r="379" spans="1:14" x14ac:dyDescent="0.35">
      <c r="A379" t="str">
        <f t="shared" si="15"/>
        <v>18097331000_2026</v>
      </c>
      <c r="B379">
        <v>18097331000</v>
      </c>
      <c r="C379">
        <v>2026</v>
      </c>
      <c r="D379">
        <v>-0.33246845619335358</v>
      </c>
      <c r="E379">
        <v>0.17103876231767889</v>
      </c>
      <c r="F379">
        <v>0.20839292433445619</v>
      </c>
      <c r="G379">
        <v>-0.36800428671480639</v>
      </c>
      <c r="H379">
        <v>-0.1774697877450091</v>
      </c>
      <c r="I379">
        <v>5.6024627833435918E-2</v>
      </c>
      <c r="J379">
        <v>0.46975317384294529</v>
      </c>
      <c r="K379">
        <v>-0.62953215827149145</v>
      </c>
      <c r="M379">
        <f t="shared" si="16"/>
        <v>-0.60226520059614419</v>
      </c>
      <c r="N379">
        <f t="shared" si="17"/>
        <v>8</v>
      </c>
    </row>
    <row r="380" spans="1:14" x14ac:dyDescent="0.35">
      <c r="A380" t="str">
        <f t="shared" si="15"/>
        <v>18097331000_2027</v>
      </c>
      <c r="B380">
        <v>18097331000</v>
      </c>
      <c r="C380">
        <v>2027</v>
      </c>
      <c r="D380">
        <v>-0.34656564499656251</v>
      </c>
      <c r="E380">
        <v>-0.13365414713601481</v>
      </c>
      <c r="F380">
        <v>0.26995766148473571</v>
      </c>
      <c r="G380">
        <v>-0.38041715907117929</v>
      </c>
      <c r="H380">
        <v>-0.3137479846178754</v>
      </c>
      <c r="I380">
        <v>0.12972946164684271</v>
      </c>
      <c r="J380">
        <v>0.43715285102480311</v>
      </c>
      <c r="K380">
        <v>-0.57421379980279519</v>
      </c>
      <c r="M380">
        <f t="shared" si="16"/>
        <v>-0.9117587614680458</v>
      </c>
      <c r="N380">
        <f t="shared" si="17"/>
        <v>8</v>
      </c>
    </row>
    <row r="381" spans="1:14" x14ac:dyDescent="0.35">
      <c r="A381" t="str">
        <f t="shared" si="15"/>
        <v>18097331000_2028</v>
      </c>
      <c r="B381">
        <v>18097331000</v>
      </c>
      <c r="C381">
        <v>2028</v>
      </c>
      <c r="D381">
        <v>-0.48219457440829228</v>
      </c>
      <c r="E381">
        <v>7.2297900182445238E-2</v>
      </c>
      <c r="F381">
        <v>0.36453721865469763</v>
      </c>
      <c r="G381">
        <v>-0.37378897057882321</v>
      </c>
      <c r="H381">
        <v>-0.35091754181035362</v>
      </c>
      <c r="I381">
        <v>0.16443852610799251</v>
      </c>
      <c r="J381">
        <v>0.41889783969280908</v>
      </c>
      <c r="K381">
        <v>-0.5605852642229292</v>
      </c>
      <c r="M381">
        <f t="shared" si="16"/>
        <v>-0.74731486638245381</v>
      </c>
      <c r="N381">
        <f t="shared" si="17"/>
        <v>8</v>
      </c>
    </row>
    <row r="382" spans="1:14" x14ac:dyDescent="0.35">
      <c r="A382" t="str">
        <f t="shared" si="15"/>
        <v>18097340101_2024</v>
      </c>
      <c r="B382">
        <v>18097340101</v>
      </c>
      <c r="C382">
        <v>2024</v>
      </c>
      <c r="D382">
        <v>0.49974905616776227</v>
      </c>
      <c r="E382">
        <v>-0.48629031429585712</v>
      </c>
      <c r="F382">
        <v>-1.087766114230295</v>
      </c>
      <c r="G382">
        <v>-0.93610959081182643</v>
      </c>
      <c r="I382">
        <v>-0.25191882638631269</v>
      </c>
      <c r="J382">
        <v>-0.5168722307429936</v>
      </c>
      <c r="K382">
        <v>0.42504915962101347</v>
      </c>
      <c r="M382">
        <f t="shared" si="16"/>
        <v>-2.3541588606785093</v>
      </c>
      <c r="N382">
        <f t="shared" si="17"/>
        <v>7</v>
      </c>
    </row>
    <row r="383" spans="1:14" x14ac:dyDescent="0.35">
      <c r="A383" t="str">
        <f t="shared" si="15"/>
        <v>18097340101_2025</v>
      </c>
      <c r="B383">
        <v>18097340101</v>
      </c>
      <c r="C383">
        <v>2025</v>
      </c>
      <c r="D383">
        <v>1.2543858039890909</v>
      </c>
      <c r="E383">
        <v>-0.78412734058246503</v>
      </c>
      <c r="F383">
        <v>-0.15623686833608111</v>
      </c>
      <c r="G383">
        <v>-7.9349447045448773E-2</v>
      </c>
      <c r="I383">
        <v>-0.18517914194195551</v>
      </c>
      <c r="J383">
        <v>-0.57821812309780629</v>
      </c>
      <c r="K383">
        <v>-0.53446521197201369</v>
      </c>
      <c r="M383">
        <f t="shared" si="16"/>
        <v>-1.0631903289866793</v>
      </c>
      <c r="N383">
        <f t="shared" si="17"/>
        <v>7</v>
      </c>
    </row>
    <row r="384" spans="1:14" x14ac:dyDescent="0.35">
      <c r="A384" t="str">
        <f t="shared" si="15"/>
        <v>18097340101_2026</v>
      </c>
      <c r="B384">
        <v>18097340101</v>
      </c>
      <c r="C384">
        <v>2026</v>
      </c>
      <c r="D384">
        <v>0.9716871447649108</v>
      </c>
      <c r="E384">
        <v>-0.87186490823455243</v>
      </c>
      <c r="F384">
        <v>-0.15880015250735799</v>
      </c>
      <c r="G384">
        <v>-1.389875560346663</v>
      </c>
      <c r="I384">
        <v>-0.16743960609737221</v>
      </c>
      <c r="J384">
        <v>-0.6310575777291858</v>
      </c>
      <c r="K384">
        <v>0.36863493745206177</v>
      </c>
      <c r="M384">
        <f t="shared" si="16"/>
        <v>-1.8787157226981588</v>
      </c>
      <c r="N384">
        <f t="shared" si="17"/>
        <v>7</v>
      </c>
    </row>
    <row r="385" spans="1:14" x14ac:dyDescent="0.35">
      <c r="A385" t="str">
        <f t="shared" si="15"/>
        <v>18097340101_2027</v>
      </c>
      <c r="B385">
        <v>18097340101</v>
      </c>
      <c r="C385">
        <v>2027</v>
      </c>
      <c r="D385">
        <v>1.443350324337433</v>
      </c>
      <c r="E385">
        <v>-0.85921666492879789</v>
      </c>
      <c r="F385">
        <v>-0.1793527599228609</v>
      </c>
      <c r="G385">
        <v>-0.70754288524248499</v>
      </c>
      <c r="I385">
        <v>-5.9218603570181577E-2</v>
      </c>
      <c r="J385">
        <v>-0.65289126797804753</v>
      </c>
      <c r="K385">
        <v>-0.26873980786299417</v>
      </c>
      <c r="M385">
        <f t="shared" si="16"/>
        <v>-1.2836116651679339</v>
      </c>
      <c r="N385">
        <f t="shared" si="17"/>
        <v>7</v>
      </c>
    </row>
    <row r="386" spans="1:14" x14ac:dyDescent="0.35">
      <c r="A386" t="str">
        <f t="shared" si="15"/>
        <v>18097340101_2028</v>
      </c>
      <c r="B386">
        <v>18097340101</v>
      </c>
      <c r="C386">
        <v>2028</v>
      </c>
      <c r="D386">
        <v>1.2816522356608091</v>
      </c>
      <c r="E386">
        <v>-0.73457418486611892</v>
      </c>
      <c r="F386">
        <v>-0.14612852842725069</v>
      </c>
      <c r="G386">
        <v>-1.156924660946836</v>
      </c>
      <c r="I386">
        <v>1.6949424235872122E-2</v>
      </c>
      <c r="J386">
        <v>-0.66170422700511078</v>
      </c>
      <c r="K386">
        <v>0.19016558355541011</v>
      </c>
      <c r="M386">
        <f t="shared" si="16"/>
        <v>-1.210564357793225</v>
      </c>
      <c r="N386">
        <f t="shared" si="17"/>
        <v>7</v>
      </c>
    </row>
    <row r="387" spans="1:14" x14ac:dyDescent="0.35">
      <c r="A387" t="str">
        <f t="shared" ref="A387:A450" si="18">TEXT(B387,0)&amp;"_"&amp;TEXT(C387,0)</f>
        <v>18097340102_2024</v>
      </c>
      <c r="B387">
        <v>18097340102</v>
      </c>
      <c r="C387">
        <v>2024</v>
      </c>
      <c r="D387">
        <v>-0.26694504503161859</v>
      </c>
      <c r="E387">
        <v>0.25278229243617367</v>
      </c>
      <c r="F387">
        <v>1.407572588033307</v>
      </c>
      <c r="G387">
        <v>-0.86621329409258374</v>
      </c>
      <c r="H387">
        <v>0.24579709273941511</v>
      </c>
      <c r="I387">
        <v>-7.8602332672741512E-2</v>
      </c>
      <c r="J387">
        <v>-9.1019450895088207E-3</v>
      </c>
      <c r="M387">
        <f t="shared" ref="M387:M450" si="19">SUM(D387:K387)</f>
        <v>0.68528935632244314</v>
      </c>
      <c r="N387">
        <f t="shared" ref="N387:N450" si="20">IF(D387=0,0,1)+IF(E387=0,0,1)+IF(F387=0,0,1)+IF(G387=0,0,1)+IF(H387=0,0,1)+IF(I387=0,0,1)++IF(J387=0,0,1)++IF(K387=0,0,1)</f>
        <v>7</v>
      </c>
    </row>
    <row r="388" spans="1:14" x14ac:dyDescent="0.35">
      <c r="A388" t="str">
        <f t="shared" si="18"/>
        <v>18097340102_2025</v>
      </c>
      <c r="B388">
        <v>18097340102</v>
      </c>
      <c r="C388">
        <v>2025</v>
      </c>
      <c r="D388">
        <v>1.207098225815034</v>
      </c>
      <c r="E388">
        <v>0.31411419197193308</v>
      </c>
      <c r="F388">
        <v>-7.1330486057572001E-2</v>
      </c>
      <c r="G388">
        <v>0.3375182229775936</v>
      </c>
      <c r="H388">
        <v>1.3102696959233919</v>
      </c>
      <c r="I388">
        <v>0.1993636188247952</v>
      </c>
      <c r="J388">
        <v>-0.22833274998123379</v>
      </c>
      <c r="M388">
        <f t="shared" si="19"/>
        <v>3.0687007194739415</v>
      </c>
      <c r="N388">
        <f t="shared" si="20"/>
        <v>7</v>
      </c>
    </row>
    <row r="389" spans="1:14" x14ac:dyDescent="0.35">
      <c r="A389" t="str">
        <f t="shared" si="18"/>
        <v>18097340102_2026</v>
      </c>
      <c r="B389">
        <v>18097340102</v>
      </c>
      <c r="C389">
        <v>2026</v>
      </c>
      <c r="D389">
        <v>0.17518907560363639</v>
      </c>
      <c r="E389">
        <v>0.3989311653824707</v>
      </c>
      <c r="F389">
        <v>-6.1744219308338788E-2</v>
      </c>
      <c r="G389">
        <v>-1.0716741921257149</v>
      </c>
      <c r="H389">
        <v>1.49358273476466</v>
      </c>
      <c r="I389">
        <v>0.23204594291005051</v>
      </c>
      <c r="J389">
        <v>-0.31920677040215911</v>
      </c>
      <c r="M389">
        <f t="shared" si="19"/>
        <v>0.84712373682460473</v>
      </c>
      <c r="N389">
        <f t="shared" si="20"/>
        <v>7</v>
      </c>
    </row>
    <row r="390" spans="1:14" x14ac:dyDescent="0.35">
      <c r="A390" t="str">
        <f t="shared" si="18"/>
        <v>18097340102_2027</v>
      </c>
      <c r="B390">
        <v>18097340102</v>
      </c>
      <c r="C390">
        <v>2027</v>
      </c>
      <c r="D390">
        <v>1.0082208853115999</v>
      </c>
      <c r="E390">
        <v>0.39009150140578619</v>
      </c>
      <c r="F390">
        <v>-6.7802312462447958E-2</v>
      </c>
      <c r="G390">
        <v>-0.31969343155146379</v>
      </c>
      <c r="H390">
        <v>1.7037248288792</v>
      </c>
      <c r="I390">
        <v>0.26071888629741591</v>
      </c>
      <c r="J390">
        <v>-0.35013705761262431</v>
      </c>
      <c r="M390">
        <f t="shared" si="19"/>
        <v>2.6251233002674654</v>
      </c>
      <c r="N390">
        <f t="shared" si="20"/>
        <v>7</v>
      </c>
    </row>
    <row r="391" spans="1:14" x14ac:dyDescent="0.35">
      <c r="A391" t="str">
        <f t="shared" si="18"/>
        <v>18097340102_2028</v>
      </c>
      <c r="B391">
        <v>18097340102</v>
      </c>
      <c r="C391">
        <v>2028</v>
      </c>
      <c r="D391">
        <v>0.59496248716618871</v>
      </c>
      <c r="E391">
        <v>0.42565887339261338</v>
      </c>
      <c r="F391">
        <v>-2.4164291642685659E-2</v>
      </c>
      <c r="G391">
        <v>-0.78594764939310635</v>
      </c>
      <c r="H391">
        <v>2.1308331261629192</v>
      </c>
      <c r="I391">
        <v>0.26459705950968032</v>
      </c>
      <c r="J391">
        <v>-0.36241406391213432</v>
      </c>
      <c r="M391">
        <f t="shared" si="19"/>
        <v>2.2435255412834754</v>
      </c>
      <c r="N391">
        <f t="shared" si="20"/>
        <v>7</v>
      </c>
    </row>
    <row r="392" spans="1:14" x14ac:dyDescent="0.35">
      <c r="A392" t="str">
        <f t="shared" si="18"/>
        <v>18097340108_2024</v>
      </c>
      <c r="B392">
        <v>18097340108</v>
      </c>
      <c r="C392">
        <v>2024</v>
      </c>
      <c r="D392">
        <v>-1.0413707973819439</v>
      </c>
      <c r="E392">
        <v>0.73752678171440933</v>
      </c>
      <c r="F392">
        <v>1.430028226217289</v>
      </c>
      <c r="G392">
        <v>0.1684739295859885</v>
      </c>
      <c r="J392">
        <v>0.66941703931714691</v>
      </c>
      <c r="M392">
        <f t="shared" si="19"/>
        <v>1.9640751794528897</v>
      </c>
      <c r="N392">
        <f t="shared" si="20"/>
        <v>5</v>
      </c>
    </row>
    <row r="393" spans="1:14" x14ac:dyDescent="0.35">
      <c r="A393" t="str">
        <f t="shared" si="18"/>
        <v>18097340108_2025</v>
      </c>
      <c r="B393">
        <v>18097340108</v>
      </c>
      <c r="C393">
        <v>2025</v>
      </c>
      <c r="D393">
        <v>-0.34715718252151517</v>
      </c>
      <c r="E393">
        <v>0.88172288399800258</v>
      </c>
      <c r="F393">
        <v>-0.34771236573753211</v>
      </c>
      <c r="G393">
        <v>0.60681495676497477</v>
      </c>
      <c r="J393">
        <v>0.67836542523246579</v>
      </c>
      <c r="M393">
        <f t="shared" si="19"/>
        <v>1.4720337177363958</v>
      </c>
      <c r="N393">
        <f t="shared" si="20"/>
        <v>5</v>
      </c>
    </row>
    <row r="394" spans="1:14" x14ac:dyDescent="0.35">
      <c r="A394" t="str">
        <f t="shared" si="18"/>
        <v>18097340108_2026</v>
      </c>
      <c r="B394">
        <v>18097340108</v>
      </c>
      <c r="C394">
        <v>2026</v>
      </c>
      <c r="D394">
        <v>-1.5466854665606551</v>
      </c>
      <c r="E394">
        <v>0.88642369586906722</v>
      </c>
      <c r="F394">
        <v>-0.3630566615664173</v>
      </c>
      <c r="G394">
        <v>0.54082347579917822</v>
      </c>
      <c r="J394">
        <v>0.6081443103926617</v>
      </c>
      <c r="M394">
        <f t="shared" si="19"/>
        <v>0.12564935393383481</v>
      </c>
      <c r="N394">
        <f t="shared" si="20"/>
        <v>5</v>
      </c>
    </row>
    <row r="395" spans="1:14" x14ac:dyDescent="0.35">
      <c r="A395" t="str">
        <f t="shared" si="18"/>
        <v>18097340108_2027</v>
      </c>
      <c r="B395">
        <v>18097340108</v>
      </c>
      <c r="C395">
        <v>2027</v>
      </c>
      <c r="D395">
        <v>-0.72025607297461003</v>
      </c>
      <c r="E395">
        <v>0.80725339016514464</v>
      </c>
      <c r="F395">
        <v>-0.413687732224021</v>
      </c>
      <c r="G395">
        <v>0.67901552699640477</v>
      </c>
      <c r="J395">
        <v>0.56860687377968511</v>
      </c>
      <c r="M395">
        <f t="shared" si="19"/>
        <v>0.92093198574260349</v>
      </c>
      <c r="N395">
        <f t="shared" si="20"/>
        <v>5</v>
      </c>
    </row>
    <row r="396" spans="1:14" x14ac:dyDescent="0.35">
      <c r="A396" t="str">
        <f t="shared" si="18"/>
        <v>18097340108_2028</v>
      </c>
      <c r="B396">
        <v>18097340108</v>
      </c>
      <c r="C396">
        <v>2028</v>
      </c>
      <c r="D396">
        <v>-1.4559130766920989</v>
      </c>
      <c r="E396">
        <v>0.76868968990792086</v>
      </c>
      <c r="F396">
        <v>-0.40231379424967512</v>
      </c>
      <c r="G396">
        <v>0.61040660371904576</v>
      </c>
      <c r="J396">
        <v>0.54832739513599793</v>
      </c>
      <c r="M396">
        <f t="shared" si="19"/>
        <v>6.9196817821190471E-2</v>
      </c>
      <c r="N396">
        <f t="shared" si="20"/>
        <v>5</v>
      </c>
    </row>
    <row r="397" spans="1:14" x14ac:dyDescent="0.35">
      <c r="A397" t="str">
        <f t="shared" si="18"/>
        <v>18097340111_2024</v>
      </c>
      <c r="B397">
        <v>18097340111</v>
      </c>
      <c r="C397">
        <v>2024</v>
      </c>
      <c r="D397">
        <v>-0.21047916597300839</v>
      </c>
      <c r="E397">
        <v>-0.32981002447178881</v>
      </c>
      <c r="F397">
        <v>-1.18951198415629</v>
      </c>
      <c r="G397">
        <v>0.27233489643699488</v>
      </c>
      <c r="I397">
        <v>-0.40017505689301291</v>
      </c>
      <c r="J397">
        <v>-9.5320207725235903E-2</v>
      </c>
      <c r="K397">
        <v>0.19643582770633031</v>
      </c>
      <c r="M397">
        <f t="shared" si="19"/>
        <v>-1.7565257150760107</v>
      </c>
      <c r="N397">
        <f t="shared" si="20"/>
        <v>7</v>
      </c>
    </row>
    <row r="398" spans="1:14" x14ac:dyDescent="0.35">
      <c r="A398" t="str">
        <f t="shared" si="18"/>
        <v>18097340111_2025</v>
      </c>
      <c r="B398">
        <v>18097340111</v>
      </c>
      <c r="C398">
        <v>2025</v>
      </c>
      <c r="D398">
        <v>1.28176206537711</v>
      </c>
      <c r="E398">
        <v>-0.69982138045524223</v>
      </c>
      <c r="F398">
        <v>0.94124048949353545</v>
      </c>
      <c r="G398">
        <v>0.60063263992993765</v>
      </c>
      <c r="I398">
        <v>-0.43674907367687021</v>
      </c>
      <c r="J398">
        <v>-0.29038035589220779</v>
      </c>
      <c r="K398">
        <v>0.17608870750868649</v>
      </c>
      <c r="M398">
        <f t="shared" si="19"/>
        <v>1.5727730922849492</v>
      </c>
      <c r="N398">
        <f t="shared" si="20"/>
        <v>7</v>
      </c>
    </row>
    <row r="399" spans="1:14" x14ac:dyDescent="0.35">
      <c r="A399" t="str">
        <f t="shared" si="18"/>
        <v>18097340111_2026</v>
      </c>
      <c r="B399">
        <v>18097340111</v>
      </c>
      <c r="C399">
        <v>2026</v>
      </c>
      <c r="D399">
        <v>0.27565708656991489</v>
      </c>
      <c r="E399">
        <v>-0.71187929203532263</v>
      </c>
      <c r="F399">
        <v>1.0258447184289481</v>
      </c>
      <c r="G399">
        <v>0.49324163678106342</v>
      </c>
      <c r="I399">
        <v>-0.3975407581970164</v>
      </c>
      <c r="J399">
        <v>-0.37807355341045501</v>
      </c>
      <c r="K399">
        <v>7.5084186187824656E-2</v>
      </c>
      <c r="M399">
        <f t="shared" si="19"/>
        <v>0.38233402432495711</v>
      </c>
      <c r="N399">
        <f t="shared" si="20"/>
        <v>7</v>
      </c>
    </row>
    <row r="400" spans="1:14" x14ac:dyDescent="0.35">
      <c r="A400" t="str">
        <f t="shared" si="18"/>
        <v>18097340111_2027</v>
      </c>
      <c r="B400">
        <v>18097340111</v>
      </c>
      <c r="C400">
        <v>2027</v>
      </c>
      <c r="D400">
        <v>1.1012615769024101</v>
      </c>
      <c r="E400">
        <v>-0.70350095835450011</v>
      </c>
      <c r="F400">
        <v>1.1800334738938689</v>
      </c>
      <c r="G400">
        <v>0.61710855396679698</v>
      </c>
      <c r="I400">
        <v>-0.26434998477709742</v>
      </c>
      <c r="J400">
        <v>-0.40805026045613341</v>
      </c>
      <c r="K400">
        <v>0.1102662456425238</v>
      </c>
      <c r="M400">
        <f t="shared" si="19"/>
        <v>1.632768646817869</v>
      </c>
      <c r="N400">
        <f t="shared" si="20"/>
        <v>7</v>
      </c>
    </row>
    <row r="401" spans="1:14" x14ac:dyDescent="0.35">
      <c r="A401" t="str">
        <f t="shared" si="18"/>
        <v>18097340111_2028</v>
      </c>
      <c r="B401">
        <v>18097340111</v>
      </c>
      <c r="C401">
        <v>2028</v>
      </c>
      <c r="D401">
        <v>0.70859745958589648</v>
      </c>
      <c r="E401">
        <v>-0.57719807694223324</v>
      </c>
      <c r="F401">
        <v>1.340005896650466</v>
      </c>
      <c r="G401">
        <v>0.55205202961523259</v>
      </c>
      <c r="I401">
        <v>-0.14508154876084789</v>
      </c>
      <c r="J401">
        <v>-0.41978251226561741</v>
      </c>
      <c r="K401">
        <v>0.11089766085169531</v>
      </c>
      <c r="M401">
        <f t="shared" si="19"/>
        <v>1.5694909087345918</v>
      </c>
      <c r="N401">
        <f t="shared" si="20"/>
        <v>7</v>
      </c>
    </row>
    <row r="402" spans="1:14" x14ac:dyDescent="0.35">
      <c r="A402" t="str">
        <f t="shared" si="18"/>
        <v>18097340112_2024</v>
      </c>
      <c r="B402">
        <v>18097340112</v>
      </c>
      <c r="C402">
        <v>2024</v>
      </c>
      <c r="D402">
        <v>-0.24474446001087941</v>
      </c>
      <c r="E402">
        <v>-0.14135312944069639</v>
      </c>
      <c r="F402">
        <v>5.2350609961997002E-2</v>
      </c>
      <c r="G402">
        <v>-0.24622594260805611</v>
      </c>
      <c r="H402">
        <v>4.8840433160726997E-2</v>
      </c>
      <c r="I402">
        <v>-0.17794088265110369</v>
      </c>
      <c r="J402">
        <v>-4.6693159847832677E-2</v>
      </c>
      <c r="M402">
        <f t="shared" si="19"/>
        <v>-0.75576653143584416</v>
      </c>
      <c r="N402">
        <f t="shared" si="20"/>
        <v>7</v>
      </c>
    </row>
    <row r="403" spans="1:14" x14ac:dyDescent="0.35">
      <c r="A403" t="str">
        <f t="shared" si="18"/>
        <v>18097340112_2025</v>
      </c>
      <c r="B403">
        <v>18097340112</v>
      </c>
      <c r="C403">
        <v>2025</v>
      </c>
      <c r="D403">
        <v>1.2550747161358251</v>
      </c>
      <c r="E403">
        <v>-0.44630084783697022</v>
      </c>
      <c r="F403">
        <v>0.1597253447302065</v>
      </c>
      <c r="G403">
        <v>-0.47350803952277098</v>
      </c>
      <c r="H403">
        <v>-1.190835742443303E-2</v>
      </c>
      <c r="I403">
        <v>-0.22666185039235831</v>
      </c>
      <c r="J403">
        <v>-0.25799964080286708</v>
      </c>
      <c r="M403">
        <f t="shared" si="19"/>
        <v>-1.578675113368011E-3</v>
      </c>
      <c r="N403">
        <f t="shared" si="20"/>
        <v>7</v>
      </c>
    </row>
    <row r="404" spans="1:14" x14ac:dyDescent="0.35">
      <c r="A404" t="str">
        <f t="shared" si="18"/>
        <v>18097340112_2026</v>
      </c>
      <c r="B404">
        <v>18097340112</v>
      </c>
      <c r="C404">
        <v>2026</v>
      </c>
      <c r="D404">
        <v>0.2288038436131748</v>
      </c>
      <c r="E404">
        <v>-0.40410331447747871</v>
      </c>
      <c r="F404">
        <v>0.16428381828067359</v>
      </c>
      <c r="G404">
        <v>-0.49560528025847689</v>
      </c>
      <c r="H404">
        <v>-5.8335186321821692E-2</v>
      </c>
      <c r="I404">
        <v>-0.2485506029896698</v>
      </c>
      <c r="J404">
        <v>-0.34779178191890148</v>
      </c>
      <c r="M404">
        <f t="shared" si="19"/>
        <v>-1.1612985040725001</v>
      </c>
      <c r="N404">
        <f t="shared" si="20"/>
        <v>7</v>
      </c>
    </row>
    <row r="405" spans="1:14" x14ac:dyDescent="0.35">
      <c r="A405" t="str">
        <f t="shared" si="18"/>
        <v>18097340112_2027</v>
      </c>
      <c r="B405">
        <v>18097340112</v>
      </c>
      <c r="C405">
        <v>2027</v>
      </c>
      <c r="D405">
        <v>1.061184340618879</v>
      </c>
      <c r="E405">
        <v>-0.38937296340505279</v>
      </c>
      <c r="F405">
        <v>0.19480004003471049</v>
      </c>
      <c r="G405">
        <v>-0.5302378287075038</v>
      </c>
      <c r="H405">
        <v>-0.18505070746984861</v>
      </c>
      <c r="I405">
        <v>-0.16277790253806759</v>
      </c>
      <c r="J405">
        <v>-0.37829358347804343</v>
      </c>
      <c r="M405">
        <f t="shared" si="19"/>
        <v>-0.38974860494492669</v>
      </c>
      <c r="N405">
        <f t="shared" si="20"/>
        <v>7</v>
      </c>
    </row>
    <row r="406" spans="1:14" x14ac:dyDescent="0.35">
      <c r="A406" t="str">
        <f t="shared" si="18"/>
        <v>18097340112_2028</v>
      </c>
      <c r="B406">
        <v>18097340112</v>
      </c>
      <c r="C406">
        <v>2028</v>
      </c>
      <c r="D406">
        <v>0.65840384328861257</v>
      </c>
      <c r="E406">
        <v>-0.27469402661080211</v>
      </c>
      <c r="F406">
        <v>0.26245760095770482</v>
      </c>
      <c r="G406">
        <v>-0.51267500656278731</v>
      </c>
      <c r="H406">
        <v>-0.25949057475402743</v>
      </c>
      <c r="I406">
        <v>-7.5774590042146858E-2</v>
      </c>
      <c r="J406">
        <v>-0.39030798180687898</v>
      </c>
      <c r="M406">
        <f t="shared" si="19"/>
        <v>-0.59208073553032536</v>
      </c>
      <c r="N406">
        <f t="shared" si="20"/>
        <v>7</v>
      </c>
    </row>
    <row r="407" spans="1:14" x14ac:dyDescent="0.35">
      <c r="A407" t="str">
        <f t="shared" si="18"/>
        <v>18097340113_2024</v>
      </c>
      <c r="B407">
        <v>18097340113</v>
      </c>
      <c r="C407">
        <v>2024</v>
      </c>
      <c r="D407">
        <v>0.39070495017021323</v>
      </c>
      <c r="E407">
        <v>-0.5200254859195369</v>
      </c>
      <c r="F407">
        <v>-0.31923466114115029</v>
      </c>
      <c r="G407">
        <v>-0.33973451204345329</v>
      </c>
      <c r="I407">
        <v>-0.77809876502783593</v>
      </c>
      <c r="J407">
        <v>-0.50057472195228514</v>
      </c>
      <c r="K407">
        <v>0.41850270407332829</v>
      </c>
      <c r="M407">
        <f t="shared" si="19"/>
        <v>-1.6484604918407197</v>
      </c>
      <c r="N407">
        <f t="shared" si="20"/>
        <v>7</v>
      </c>
    </row>
    <row r="408" spans="1:14" x14ac:dyDescent="0.35">
      <c r="A408" t="str">
        <f t="shared" si="18"/>
        <v>18097340113_2025</v>
      </c>
      <c r="B408">
        <v>18097340113</v>
      </c>
      <c r="C408">
        <v>2025</v>
      </c>
      <c r="D408">
        <v>1.5359571604842901</v>
      </c>
      <c r="E408">
        <v>-3.576748623930492</v>
      </c>
      <c r="F408">
        <v>7.0053633658039308E-2</v>
      </c>
      <c r="G408">
        <v>-0.87178567379444305</v>
      </c>
      <c r="I408">
        <v>-0.34586245822448441</v>
      </c>
      <c r="J408">
        <v>-0.58513763041108868</v>
      </c>
      <c r="K408">
        <v>-0.50957017810083827</v>
      </c>
      <c r="M408">
        <f t="shared" si="19"/>
        <v>-4.2830937703190175</v>
      </c>
      <c r="N408">
        <f t="shared" si="20"/>
        <v>7</v>
      </c>
    </row>
    <row r="409" spans="1:14" x14ac:dyDescent="0.35">
      <c r="A409" t="str">
        <f t="shared" si="18"/>
        <v>18097340113_2026</v>
      </c>
      <c r="B409">
        <v>18097340113</v>
      </c>
      <c r="C409">
        <v>2026</v>
      </c>
      <c r="D409">
        <v>0.99850248613172843</v>
      </c>
      <c r="E409">
        <v>-3.1485131786454659</v>
      </c>
      <c r="F409">
        <v>9.8659965793886001E-2</v>
      </c>
      <c r="G409">
        <v>-0.96710424689836705</v>
      </c>
      <c r="I409">
        <v>-0.61642085281181591</v>
      </c>
      <c r="J409">
        <v>-0.64494309914992054</v>
      </c>
      <c r="K409">
        <v>0.34884570647652141</v>
      </c>
      <c r="M409">
        <f t="shared" si="19"/>
        <v>-3.9309732191034339</v>
      </c>
      <c r="N409">
        <f t="shared" si="20"/>
        <v>7</v>
      </c>
    </row>
    <row r="410" spans="1:14" x14ac:dyDescent="0.35">
      <c r="A410" t="str">
        <f t="shared" si="18"/>
        <v>18097340113_2027</v>
      </c>
      <c r="B410">
        <v>18097340113</v>
      </c>
      <c r="C410">
        <v>2027</v>
      </c>
      <c r="D410">
        <v>1.6288440436200069</v>
      </c>
      <c r="E410">
        <v>-4.7598492968508834</v>
      </c>
      <c r="F410">
        <v>0.11467048433517921</v>
      </c>
      <c r="G410">
        <v>-1.1255160112240741</v>
      </c>
      <c r="I410">
        <v>-0.3157772623641783</v>
      </c>
      <c r="J410">
        <v>-0.66796425433227824</v>
      </c>
      <c r="K410">
        <v>-0.24915227428461209</v>
      </c>
      <c r="M410">
        <f t="shared" si="19"/>
        <v>-5.3747445711008401</v>
      </c>
      <c r="N410">
        <f t="shared" si="20"/>
        <v>7</v>
      </c>
    </row>
    <row r="411" spans="1:14" x14ac:dyDescent="0.35">
      <c r="A411" t="str">
        <f t="shared" si="18"/>
        <v>18097340113_2028</v>
      </c>
      <c r="B411">
        <v>18097340113</v>
      </c>
      <c r="C411">
        <v>2028</v>
      </c>
      <c r="D411">
        <v>1.418326227528234</v>
      </c>
      <c r="E411">
        <v>-5.2616647143654349</v>
      </c>
      <c r="F411">
        <v>0.17558962866607999</v>
      </c>
      <c r="G411">
        <v>-1.087250260597326</v>
      </c>
      <c r="I411">
        <v>-0.248026443561122</v>
      </c>
      <c r="J411">
        <v>-0.67687343674305556</v>
      </c>
      <c r="K411">
        <v>0.17693171485878409</v>
      </c>
      <c r="M411">
        <f t="shared" si="19"/>
        <v>-5.5029672842138408</v>
      </c>
      <c r="N411">
        <f t="shared" si="20"/>
        <v>7</v>
      </c>
    </row>
    <row r="412" spans="1:14" x14ac:dyDescent="0.35">
      <c r="A412" t="str">
        <f t="shared" si="18"/>
        <v>18097340114_2024</v>
      </c>
      <c r="B412">
        <v>18097340114</v>
      </c>
      <c r="C412">
        <v>2024</v>
      </c>
      <c r="D412">
        <v>0.41890283475626899</v>
      </c>
      <c r="E412">
        <v>0.16401204215382981</v>
      </c>
      <c r="F412">
        <v>-0.99388398347041595</v>
      </c>
      <c r="G412">
        <v>0.1814927316533895</v>
      </c>
      <c r="I412">
        <v>-0.40137511052486502</v>
      </c>
      <c r="J412">
        <v>-0.51069073458451586</v>
      </c>
      <c r="K412">
        <v>0.42387648456689919</v>
      </c>
      <c r="M412">
        <f t="shared" si="19"/>
        <v>-0.71766573544940937</v>
      </c>
      <c r="N412">
        <f t="shared" si="20"/>
        <v>7</v>
      </c>
    </row>
    <row r="413" spans="1:14" x14ac:dyDescent="0.35">
      <c r="A413" t="str">
        <f t="shared" si="18"/>
        <v>18097340114_2025</v>
      </c>
      <c r="B413">
        <v>18097340114</v>
      </c>
      <c r="C413">
        <v>2025</v>
      </c>
      <c r="D413">
        <v>1.5425544143561241</v>
      </c>
      <c r="E413">
        <v>0.129867913995527</v>
      </c>
      <c r="F413">
        <v>-1.389755874512609E-2</v>
      </c>
      <c r="G413">
        <v>-1.788193568803558</v>
      </c>
      <c r="I413">
        <v>-0.42388040743862621</v>
      </c>
      <c r="J413">
        <v>-0.59305222711629224</v>
      </c>
      <c r="K413">
        <v>-0.52999306632407284</v>
      </c>
      <c r="M413">
        <f t="shared" si="19"/>
        <v>-1.6765945000760241</v>
      </c>
      <c r="N413">
        <f t="shared" si="20"/>
        <v>7</v>
      </c>
    </row>
    <row r="414" spans="1:14" x14ac:dyDescent="0.35">
      <c r="A414" t="str">
        <f t="shared" si="18"/>
        <v>18097340114_2026</v>
      </c>
      <c r="B414">
        <v>18097340114</v>
      </c>
      <c r="C414">
        <v>2026</v>
      </c>
      <c r="D414">
        <v>1.0318674857122689</v>
      </c>
      <c r="E414">
        <v>0.21409608733536989</v>
      </c>
      <c r="F414">
        <v>0.37656579532764928</v>
      </c>
      <c r="G414">
        <v>0.4167645817189144</v>
      </c>
      <c r="I414">
        <v>-0.3911151581121281</v>
      </c>
      <c r="J414">
        <v>-0.65200445962394293</v>
      </c>
      <c r="K414">
        <v>0.36505929228686962</v>
      </c>
      <c r="M414">
        <f t="shared" si="19"/>
        <v>1.3612336246450012</v>
      </c>
      <c r="N414">
        <f t="shared" si="20"/>
        <v>7</v>
      </c>
    </row>
    <row r="415" spans="1:14" x14ac:dyDescent="0.35">
      <c r="A415" t="str">
        <f t="shared" si="18"/>
        <v>18097340114_2027</v>
      </c>
      <c r="B415">
        <v>18097340114</v>
      </c>
      <c r="C415">
        <v>2027</v>
      </c>
      <c r="D415">
        <v>1.649251120546072</v>
      </c>
      <c r="E415">
        <v>0.2172120350764753</v>
      </c>
      <c r="F415">
        <v>0.27719677125200592</v>
      </c>
      <c r="G415">
        <v>-1.836287648729297</v>
      </c>
      <c r="I415">
        <v>-0.25742187558662682</v>
      </c>
      <c r="J415">
        <v>-0.67478829775413851</v>
      </c>
      <c r="K415">
        <v>-0.26518909636851312</v>
      </c>
      <c r="M415">
        <f t="shared" si="19"/>
        <v>-0.89002699156402221</v>
      </c>
      <c r="N415">
        <f t="shared" si="20"/>
        <v>7</v>
      </c>
    </row>
    <row r="416" spans="1:14" x14ac:dyDescent="0.35">
      <c r="A416" t="str">
        <f t="shared" si="18"/>
        <v>18097340114_2028</v>
      </c>
      <c r="B416">
        <v>18097340114</v>
      </c>
      <c r="C416">
        <v>2028</v>
      </c>
      <c r="D416">
        <v>1.4487347086360289</v>
      </c>
      <c r="E416">
        <v>0.27593550195675098</v>
      </c>
      <c r="F416">
        <v>0.41485190848479969</v>
      </c>
      <c r="G416">
        <v>0.30875914874170901</v>
      </c>
      <c r="I416">
        <v>-0.1396777699749987</v>
      </c>
      <c r="J416">
        <v>-0.68361143669155344</v>
      </c>
      <c r="K416">
        <v>0.18774558905466149</v>
      </c>
      <c r="M416">
        <f t="shared" si="19"/>
        <v>1.8127376502073975</v>
      </c>
      <c r="N416">
        <f t="shared" si="20"/>
        <v>7</v>
      </c>
    </row>
    <row r="417" spans="1:14" x14ac:dyDescent="0.35">
      <c r="A417" t="str">
        <f t="shared" si="18"/>
        <v>18097340115_2024</v>
      </c>
      <c r="B417">
        <v>18097340115</v>
      </c>
      <c r="C417">
        <v>2024</v>
      </c>
      <c r="D417">
        <v>-0.27890193180224809</v>
      </c>
      <c r="F417">
        <v>0.69768778366238804</v>
      </c>
      <c r="G417">
        <v>0.3030683742472966</v>
      </c>
      <c r="I417">
        <v>1.8734353176974661</v>
      </c>
      <c r="J417">
        <v>8.5931580103986802E-3</v>
      </c>
      <c r="M417">
        <f t="shared" si="19"/>
        <v>2.6038827018153015</v>
      </c>
      <c r="N417">
        <f t="shared" si="20"/>
        <v>5</v>
      </c>
    </row>
    <row r="418" spans="1:14" x14ac:dyDescent="0.35">
      <c r="A418" t="str">
        <f t="shared" si="18"/>
        <v>18097340115_2025</v>
      </c>
      <c r="B418">
        <v>18097340115</v>
      </c>
      <c r="C418">
        <v>2025</v>
      </c>
      <c r="D418">
        <v>1.2259861672875829</v>
      </c>
      <c r="F418">
        <v>-4.8361669022813483E-2</v>
      </c>
      <c r="G418">
        <v>1.003325307992172</v>
      </c>
      <c r="I418">
        <v>1.1875740715359551</v>
      </c>
      <c r="J418">
        <v>-0.221929594455607</v>
      </c>
      <c r="M418">
        <f t="shared" si="19"/>
        <v>3.1465942833372891</v>
      </c>
      <c r="N418">
        <f t="shared" si="20"/>
        <v>5</v>
      </c>
    </row>
    <row r="419" spans="1:14" x14ac:dyDescent="0.35">
      <c r="A419" t="str">
        <f t="shared" si="18"/>
        <v>18097340115_2026</v>
      </c>
      <c r="B419">
        <v>18097340115</v>
      </c>
      <c r="C419">
        <v>2026</v>
      </c>
      <c r="D419">
        <v>0.18042783514268629</v>
      </c>
      <c r="F419">
        <v>-0.92880386152915684</v>
      </c>
      <c r="G419">
        <v>0.92061794922201323</v>
      </c>
      <c r="I419">
        <v>1.7406317151062149</v>
      </c>
      <c r="J419">
        <v>-0.31366304612279872</v>
      </c>
      <c r="M419">
        <f t="shared" si="19"/>
        <v>1.599210591818959</v>
      </c>
      <c r="N419">
        <f t="shared" si="20"/>
        <v>5</v>
      </c>
    </row>
    <row r="420" spans="1:14" x14ac:dyDescent="0.35">
      <c r="A420" t="str">
        <f t="shared" si="18"/>
        <v>18097340115_2027</v>
      </c>
      <c r="B420">
        <v>18097340115</v>
      </c>
      <c r="C420">
        <v>2027</v>
      </c>
      <c r="D420">
        <v>1.019123284386551</v>
      </c>
      <c r="F420">
        <v>-0.28351238886494601</v>
      </c>
      <c r="G420">
        <v>1.1217924214950741</v>
      </c>
      <c r="I420">
        <v>0.96663606244858002</v>
      </c>
      <c r="J420">
        <v>-0.34470487547330098</v>
      </c>
      <c r="M420">
        <f t="shared" si="19"/>
        <v>2.4793345039919581</v>
      </c>
      <c r="N420">
        <f t="shared" si="20"/>
        <v>5</v>
      </c>
    </row>
    <row r="421" spans="1:14" x14ac:dyDescent="0.35">
      <c r="A421" t="str">
        <f t="shared" si="18"/>
        <v>18097340115_2028</v>
      </c>
      <c r="B421">
        <v>18097340115</v>
      </c>
      <c r="C421">
        <v>2028</v>
      </c>
      <c r="D421">
        <v>0.60602166410663638</v>
      </c>
      <c r="F421">
        <v>-0.92347409894264842</v>
      </c>
      <c r="G421">
        <v>1.0217255894139701</v>
      </c>
      <c r="I421">
        <v>0.97071657922547461</v>
      </c>
      <c r="J421">
        <v>-0.35703365881471488</v>
      </c>
      <c r="M421">
        <f t="shared" si="19"/>
        <v>1.3179560749887178</v>
      </c>
      <c r="N421">
        <f t="shared" si="20"/>
        <v>5</v>
      </c>
    </row>
    <row r="422" spans="1:14" x14ac:dyDescent="0.35">
      <c r="A422" t="str">
        <f t="shared" si="18"/>
        <v>18097340201_2024</v>
      </c>
      <c r="B422">
        <v>18097340201</v>
      </c>
      <c r="C422">
        <v>2024</v>
      </c>
      <c r="D422">
        <v>-1.0413561559437641</v>
      </c>
      <c r="E422">
        <v>-0.52691891739830365</v>
      </c>
      <c r="F422">
        <v>-0.30934013564215629</v>
      </c>
      <c r="G422">
        <v>0.14650225630311309</v>
      </c>
      <c r="H422">
        <v>-1.99917344337077</v>
      </c>
      <c r="I422">
        <v>-1.760746828246132</v>
      </c>
      <c r="J422">
        <v>0.66941703931714691</v>
      </c>
      <c r="M422">
        <f t="shared" si="19"/>
        <v>-4.8216161849808659</v>
      </c>
      <c r="N422">
        <f t="shared" si="20"/>
        <v>7</v>
      </c>
    </row>
    <row r="423" spans="1:14" x14ac:dyDescent="0.35">
      <c r="A423" t="str">
        <f t="shared" si="18"/>
        <v>18097340201_2025</v>
      </c>
      <c r="B423">
        <v>18097340201</v>
      </c>
      <c r="C423">
        <v>2025</v>
      </c>
      <c r="D423">
        <v>-0.34715051084523169</v>
      </c>
      <c r="E423">
        <v>-1.171204296057875</v>
      </c>
      <c r="F423">
        <v>0.2187305908562179</v>
      </c>
      <c r="G423">
        <v>7.7517632798070363E-2</v>
      </c>
      <c r="H423">
        <v>-9.937997597943872E-2</v>
      </c>
      <c r="I423">
        <v>-1.930465630402046</v>
      </c>
      <c r="J423">
        <v>0.67836542523246579</v>
      </c>
      <c r="M423">
        <f t="shared" si="19"/>
        <v>-2.5735867643978372</v>
      </c>
      <c r="N423">
        <f t="shared" si="20"/>
        <v>7</v>
      </c>
    </row>
    <row r="424" spans="1:14" x14ac:dyDescent="0.35">
      <c r="A424" t="str">
        <f t="shared" si="18"/>
        <v>18097340201_2026</v>
      </c>
      <c r="B424">
        <v>18097340201</v>
      </c>
      <c r="C424">
        <v>2026</v>
      </c>
      <c r="D424">
        <v>-1.5466673962882249</v>
      </c>
      <c r="E424">
        <v>-1.2478972378943951</v>
      </c>
      <c r="F424">
        <v>0.12839317097805519</v>
      </c>
      <c r="G424">
        <v>0.27175376496204151</v>
      </c>
      <c r="H424">
        <v>-4.9597459247637282E-2</v>
      </c>
      <c r="I424">
        <v>-1.9664830247915559</v>
      </c>
      <c r="J424">
        <v>0.6081443103926617</v>
      </c>
      <c r="M424">
        <f t="shared" si="19"/>
        <v>-3.8023538718890548</v>
      </c>
      <c r="N424">
        <f t="shared" si="20"/>
        <v>7</v>
      </c>
    </row>
    <row r="425" spans="1:14" x14ac:dyDescent="0.35">
      <c r="A425" t="str">
        <f t="shared" si="18"/>
        <v>18097340201_2027</v>
      </c>
      <c r="B425">
        <v>18097340201</v>
      </c>
      <c r="C425">
        <v>2027</v>
      </c>
      <c r="D425">
        <v>-0.72024302238839166</v>
      </c>
      <c r="E425">
        <v>-1.2952070087995891</v>
      </c>
      <c r="F425">
        <v>0.23819063316518349</v>
      </c>
      <c r="G425">
        <v>0.2221241510751118</v>
      </c>
      <c r="H425">
        <v>-0.2006827115837605</v>
      </c>
      <c r="I425">
        <v>-1.7697393751841459</v>
      </c>
      <c r="J425">
        <v>0.56860687377968511</v>
      </c>
      <c r="M425">
        <f t="shared" si="19"/>
        <v>-2.9569504599359067</v>
      </c>
      <c r="N425">
        <f t="shared" si="20"/>
        <v>7</v>
      </c>
    </row>
    <row r="426" spans="1:14" x14ac:dyDescent="0.35">
      <c r="A426" t="str">
        <f t="shared" si="18"/>
        <v>18097340201_2028</v>
      </c>
      <c r="B426">
        <v>18097340201</v>
      </c>
      <c r="C426">
        <v>2028</v>
      </c>
      <c r="D426">
        <v>-1.4558952736154871</v>
      </c>
      <c r="E426">
        <v>-1.1778837444171391</v>
      </c>
      <c r="F426">
        <v>0.24941378213182669</v>
      </c>
      <c r="G426">
        <v>0.25337224284169851</v>
      </c>
      <c r="H426">
        <v>-0.26629537118927582</v>
      </c>
      <c r="I426">
        <v>-1.5769108026812251</v>
      </c>
      <c r="J426">
        <v>0.54832739513599793</v>
      </c>
      <c r="M426">
        <f t="shared" si="19"/>
        <v>-3.425871771793604</v>
      </c>
      <c r="N426">
        <f t="shared" si="20"/>
        <v>7</v>
      </c>
    </row>
    <row r="427" spans="1:14" x14ac:dyDescent="0.35">
      <c r="A427" t="str">
        <f t="shared" si="18"/>
        <v>18097340202_2024</v>
      </c>
      <c r="B427">
        <v>18097340202</v>
      </c>
      <c r="C427">
        <v>2024</v>
      </c>
      <c r="D427">
        <v>-1.0413740399635041</v>
      </c>
      <c r="E427">
        <v>0.1985533881515423</v>
      </c>
      <c r="F427">
        <v>0.62105661265294632</v>
      </c>
      <c r="G427">
        <v>0.46133749353354059</v>
      </c>
      <c r="H427">
        <v>-0.1439814458432114</v>
      </c>
      <c r="I427">
        <v>-5.4993271340883533E-2</v>
      </c>
      <c r="J427">
        <v>0.66941703931714691</v>
      </c>
      <c r="M427">
        <f t="shared" si="19"/>
        <v>0.71001577650757708</v>
      </c>
      <c r="N427">
        <f t="shared" si="20"/>
        <v>7</v>
      </c>
    </row>
    <row r="428" spans="1:14" x14ac:dyDescent="0.35">
      <c r="A428" t="str">
        <f t="shared" si="18"/>
        <v>18097340202_2025</v>
      </c>
      <c r="B428">
        <v>18097340202</v>
      </c>
      <c r="C428">
        <v>2025</v>
      </c>
      <c r="D428">
        <v>-0.34715247006905481</v>
      </c>
      <c r="E428">
        <v>0.17263062377011271</v>
      </c>
      <c r="F428">
        <v>-1.0671435673966609</v>
      </c>
      <c r="G428">
        <v>0.75846520872584389</v>
      </c>
      <c r="H428">
        <v>1.810189147700705</v>
      </c>
      <c r="I428">
        <v>0.21038062590855999</v>
      </c>
      <c r="J428">
        <v>0.67836542523246579</v>
      </c>
      <c r="M428">
        <f t="shared" si="19"/>
        <v>2.2157349938719717</v>
      </c>
      <c r="N428">
        <f t="shared" si="20"/>
        <v>7</v>
      </c>
    </row>
    <row r="429" spans="1:14" x14ac:dyDescent="0.35">
      <c r="A429" t="str">
        <f t="shared" si="18"/>
        <v>18097340202_2026</v>
      </c>
      <c r="B429">
        <v>18097340202</v>
      </c>
      <c r="C429">
        <v>2026</v>
      </c>
      <c r="D429">
        <v>-1.546686625261616</v>
      </c>
      <c r="E429">
        <v>0.2557384755809512</v>
      </c>
      <c r="F429">
        <v>-0.24760254011319441</v>
      </c>
      <c r="G429">
        <v>0.47576305357839488</v>
      </c>
      <c r="H429">
        <v>-0.37906062920449901</v>
      </c>
      <c r="I429">
        <v>0.20238021800505671</v>
      </c>
      <c r="J429">
        <v>0.6081443103926617</v>
      </c>
      <c r="M429">
        <f t="shared" si="19"/>
        <v>-0.6313237370222452</v>
      </c>
      <c r="N429">
        <f t="shared" si="20"/>
        <v>7</v>
      </c>
    </row>
    <row r="430" spans="1:14" x14ac:dyDescent="0.35">
      <c r="A430" t="str">
        <f t="shared" si="18"/>
        <v>18097340202_2027</v>
      </c>
      <c r="B430">
        <v>18097340202</v>
      </c>
      <c r="C430">
        <v>2027</v>
      </c>
      <c r="D430">
        <v>-0.72025391614054124</v>
      </c>
      <c r="E430">
        <v>0.25614012129807101</v>
      </c>
      <c r="F430">
        <v>-0.75965807038839472</v>
      </c>
      <c r="G430">
        <v>0.51889478438848724</v>
      </c>
      <c r="H430">
        <v>1.2077470732168669</v>
      </c>
      <c r="I430">
        <v>0.24055720744082379</v>
      </c>
      <c r="J430">
        <v>0.56860687377968511</v>
      </c>
      <c r="M430">
        <f t="shared" si="19"/>
        <v>1.3120340735949982</v>
      </c>
      <c r="N430">
        <f t="shared" si="20"/>
        <v>7</v>
      </c>
    </row>
    <row r="431" spans="1:14" x14ac:dyDescent="0.35">
      <c r="A431" t="str">
        <f t="shared" si="18"/>
        <v>18097340202_2028</v>
      </c>
      <c r="B431">
        <v>18097340202</v>
      </c>
      <c r="C431">
        <v>2028</v>
      </c>
      <c r="D431">
        <v>-1.4559121306812739</v>
      </c>
      <c r="E431">
        <v>0.30987862472426198</v>
      </c>
      <c r="F431">
        <v>-0.54432568057449737</v>
      </c>
      <c r="G431">
        <v>0.43448972091246579</v>
      </c>
      <c r="H431">
        <v>-5.6512484390476077E-2</v>
      </c>
      <c r="I431">
        <v>0.24906964107080981</v>
      </c>
      <c r="J431">
        <v>0.54832739513599793</v>
      </c>
      <c r="M431">
        <f t="shared" si="19"/>
        <v>-0.51498491380271183</v>
      </c>
      <c r="N431">
        <f t="shared" si="20"/>
        <v>7</v>
      </c>
    </row>
    <row r="432" spans="1:14" x14ac:dyDescent="0.35">
      <c r="A432" t="str">
        <f t="shared" si="18"/>
        <v>18097340301_2024</v>
      </c>
      <c r="B432">
        <v>18097340301</v>
      </c>
      <c r="C432">
        <v>2024</v>
      </c>
      <c r="D432">
        <v>-1.0413731578207179</v>
      </c>
      <c r="E432">
        <v>-0.38689734980587409</v>
      </c>
      <c r="F432">
        <v>0.2401064914138884</v>
      </c>
      <c r="H432">
        <v>-0.36789136970468372</v>
      </c>
      <c r="I432">
        <v>0.67093876965573873</v>
      </c>
      <c r="J432">
        <v>0.66941703931714691</v>
      </c>
      <c r="M432">
        <f t="shared" si="19"/>
        <v>-0.2156995769445017</v>
      </c>
      <c r="N432">
        <f t="shared" si="20"/>
        <v>6</v>
      </c>
    </row>
    <row r="433" spans="1:14" x14ac:dyDescent="0.35">
      <c r="A433" t="str">
        <f t="shared" si="18"/>
        <v>18097340301_2025</v>
      </c>
      <c r="B433">
        <v>18097340301</v>
      </c>
      <c r="C433">
        <v>2025</v>
      </c>
      <c r="D433">
        <v>-0.34716073996309849</v>
      </c>
      <c r="E433">
        <v>-0.42500184207922598</v>
      </c>
      <c r="F433">
        <v>-0.12765429806094861</v>
      </c>
      <c r="H433">
        <v>-3.3555682451974399E-2</v>
      </c>
      <c r="I433">
        <v>0.87219597454180542</v>
      </c>
      <c r="J433">
        <v>0.67836542523246579</v>
      </c>
      <c r="M433">
        <f t="shared" si="19"/>
        <v>0.61718883721902373</v>
      </c>
      <c r="N433">
        <f t="shared" si="20"/>
        <v>6</v>
      </c>
    </row>
    <row r="434" spans="1:14" x14ac:dyDescent="0.35">
      <c r="A434" t="str">
        <f t="shared" si="18"/>
        <v>18097340301_2026</v>
      </c>
      <c r="B434">
        <v>18097340301</v>
      </c>
      <c r="C434">
        <v>2026</v>
      </c>
      <c r="D434">
        <v>-1.5466895197632251</v>
      </c>
      <c r="E434">
        <v>-0.70698210506321923</v>
      </c>
      <c r="F434">
        <v>-0.17271125000818191</v>
      </c>
      <c r="H434">
        <v>-1.5538134097191989</v>
      </c>
      <c r="I434">
        <v>0.82821700406335785</v>
      </c>
      <c r="J434">
        <v>0.6081443103926617</v>
      </c>
      <c r="M434">
        <f t="shared" si="19"/>
        <v>-2.5438349700978056</v>
      </c>
      <c r="N434">
        <f t="shared" si="20"/>
        <v>6</v>
      </c>
    </row>
    <row r="435" spans="1:14" x14ac:dyDescent="0.35">
      <c r="A435" t="str">
        <f t="shared" si="18"/>
        <v>18097340301_2027</v>
      </c>
      <c r="B435">
        <v>18097340301</v>
      </c>
      <c r="C435">
        <v>2027</v>
      </c>
      <c r="D435">
        <v>-0.720260200556888</v>
      </c>
      <c r="E435">
        <v>-0.49802661033308632</v>
      </c>
      <c r="F435">
        <v>-0.18752133255858081</v>
      </c>
      <c r="H435">
        <v>-0.30690144054143531</v>
      </c>
      <c r="I435">
        <v>0.71438115929397783</v>
      </c>
      <c r="J435">
        <v>0.56860687377968511</v>
      </c>
      <c r="M435">
        <f t="shared" si="19"/>
        <v>-0.42972155091632747</v>
      </c>
      <c r="N435">
        <f t="shared" si="20"/>
        <v>6</v>
      </c>
    </row>
    <row r="436" spans="1:14" x14ac:dyDescent="0.35">
      <c r="A436" t="str">
        <f t="shared" si="18"/>
        <v>18097340301_2028</v>
      </c>
      <c r="B436">
        <v>18097340301</v>
      </c>
      <c r="C436">
        <v>2028</v>
      </c>
      <c r="D436">
        <v>-1.455917906971955</v>
      </c>
      <c r="E436">
        <v>-0.4947121053694794</v>
      </c>
      <c r="F436">
        <v>-0.15613871900666901</v>
      </c>
      <c r="H436">
        <v>-0.98063202905457203</v>
      </c>
      <c r="I436">
        <v>0.58849698162204589</v>
      </c>
      <c r="J436">
        <v>0.54832739513599793</v>
      </c>
      <c r="M436">
        <f t="shared" si="19"/>
        <v>-1.9505763836446317</v>
      </c>
      <c r="N436">
        <f t="shared" si="20"/>
        <v>6</v>
      </c>
    </row>
    <row r="437" spans="1:14" x14ac:dyDescent="0.35">
      <c r="A437" t="str">
        <f t="shared" si="18"/>
        <v>18097340302_2024</v>
      </c>
      <c r="B437">
        <v>18097340302</v>
      </c>
      <c r="C437">
        <v>2024</v>
      </c>
      <c r="D437">
        <v>-1.0413754199304901</v>
      </c>
      <c r="F437">
        <v>0.37117929061411198</v>
      </c>
      <c r="G437">
        <v>0.93947949656711682</v>
      </c>
      <c r="H437">
        <v>0.44726412845296371</v>
      </c>
      <c r="J437">
        <v>0.66941703931714691</v>
      </c>
      <c r="M437">
        <f t="shared" si="19"/>
        <v>1.3859645350208494</v>
      </c>
      <c r="N437">
        <f t="shared" si="20"/>
        <v>5</v>
      </c>
    </row>
    <row r="438" spans="1:14" x14ac:dyDescent="0.35">
      <c r="A438" t="str">
        <f t="shared" si="18"/>
        <v>18097340302_2025</v>
      </c>
      <c r="B438">
        <v>18097340302</v>
      </c>
      <c r="C438">
        <v>2025</v>
      </c>
      <c r="D438">
        <v>-0.34715745133107773</v>
      </c>
      <c r="F438">
        <v>0.15556767591481471</v>
      </c>
      <c r="G438">
        <v>2.8509882604958832</v>
      </c>
      <c r="H438">
        <v>-1.8605119545777069</v>
      </c>
      <c r="J438">
        <v>0.67836542523246579</v>
      </c>
      <c r="M438">
        <f t="shared" si="19"/>
        <v>1.4772519557343788</v>
      </c>
      <c r="N438">
        <f t="shared" si="20"/>
        <v>5</v>
      </c>
    </row>
    <row r="439" spans="1:14" x14ac:dyDescent="0.35">
      <c r="A439" t="str">
        <f t="shared" si="18"/>
        <v>18097340302_2026</v>
      </c>
      <c r="B439">
        <v>18097340302</v>
      </c>
      <c r="C439">
        <v>2026</v>
      </c>
      <c r="D439">
        <v>-1.546690327605136</v>
      </c>
      <c r="F439">
        <v>-0.3784478582314687</v>
      </c>
      <c r="G439">
        <v>2.529496059915846</v>
      </c>
      <c r="H439">
        <v>1.5823026234511679</v>
      </c>
      <c r="J439">
        <v>0.6081443103926617</v>
      </c>
      <c r="M439">
        <f t="shared" si="19"/>
        <v>2.7948048079230707</v>
      </c>
      <c r="N439">
        <f t="shared" si="20"/>
        <v>5</v>
      </c>
    </row>
    <row r="440" spans="1:14" x14ac:dyDescent="0.35">
      <c r="A440" t="str">
        <f t="shared" si="18"/>
        <v>18097340302_2027</v>
      </c>
      <c r="B440">
        <v>18097340302</v>
      </c>
      <c r="C440">
        <v>2027</v>
      </c>
      <c r="D440">
        <v>-0.72025869499461193</v>
      </c>
      <c r="F440">
        <v>-0.15876857871949229</v>
      </c>
      <c r="G440">
        <v>3.1706441684548108</v>
      </c>
      <c r="H440">
        <v>-1.5954951265420141</v>
      </c>
      <c r="J440">
        <v>0.56860687377968511</v>
      </c>
      <c r="M440">
        <f t="shared" si="19"/>
        <v>1.2647286419783779</v>
      </c>
      <c r="N440">
        <f t="shared" si="20"/>
        <v>5</v>
      </c>
    </row>
    <row r="441" spans="1:14" x14ac:dyDescent="0.35">
      <c r="A441" t="str">
        <f t="shared" si="18"/>
        <v>18097340302_2028</v>
      </c>
      <c r="B441">
        <v>18097340302</v>
      </c>
      <c r="C441">
        <v>2028</v>
      </c>
      <c r="D441">
        <v>-1.4559172461456109</v>
      </c>
      <c r="F441">
        <v>-0.25326529018362648</v>
      </c>
      <c r="G441">
        <v>2.7842514160553749</v>
      </c>
      <c r="H441">
        <v>0.8174845533376317</v>
      </c>
      <c r="J441">
        <v>0.54832739513599793</v>
      </c>
      <c r="M441">
        <f t="shared" si="19"/>
        <v>2.4408808281997674</v>
      </c>
      <c r="N441">
        <f t="shared" si="20"/>
        <v>5</v>
      </c>
    </row>
    <row r="442" spans="1:14" x14ac:dyDescent="0.35">
      <c r="A442" t="str">
        <f t="shared" si="18"/>
        <v>18097340400_2024</v>
      </c>
      <c r="B442">
        <v>18097340400</v>
      </c>
      <c r="C442">
        <v>2024</v>
      </c>
      <c r="D442">
        <v>-0.71754431072883695</v>
      </c>
      <c r="E442">
        <v>-2.5982649689326669</v>
      </c>
      <c r="F442">
        <v>-0.42713772838193342</v>
      </c>
      <c r="G442">
        <v>1.8388526446264951E-2</v>
      </c>
      <c r="H442">
        <v>0.16608222648383081</v>
      </c>
      <c r="I442">
        <v>-0.57128786036297841</v>
      </c>
      <c r="J442">
        <v>1.662197255775081</v>
      </c>
      <c r="K442">
        <v>0.1420454345857784</v>
      </c>
      <c r="M442">
        <f t="shared" si="19"/>
        <v>-2.3255214251154603</v>
      </c>
      <c r="N442">
        <f t="shared" si="20"/>
        <v>8</v>
      </c>
    </row>
    <row r="443" spans="1:14" x14ac:dyDescent="0.35">
      <c r="A443" t="str">
        <f t="shared" si="18"/>
        <v>18097340400_2025</v>
      </c>
      <c r="B443">
        <v>18097340400</v>
      </c>
      <c r="C443">
        <v>2025</v>
      </c>
      <c r="D443">
        <v>-0.59187967443291567</v>
      </c>
      <c r="E443">
        <v>0.2236641301971761</v>
      </c>
      <c r="F443">
        <v>1.7231939712573749</v>
      </c>
      <c r="G443">
        <v>-0.26883587737601938</v>
      </c>
      <c r="H443">
        <v>0.28880660412681552</v>
      </c>
      <c r="I443">
        <v>-0.63395176029558797</v>
      </c>
      <c r="J443">
        <v>1.997238206650894</v>
      </c>
      <c r="K443">
        <v>9.0978416463185122E-2</v>
      </c>
      <c r="M443">
        <f t="shared" si="19"/>
        <v>2.8292140165909228</v>
      </c>
      <c r="N443">
        <f t="shared" si="20"/>
        <v>8</v>
      </c>
    </row>
    <row r="444" spans="1:14" x14ac:dyDescent="0.35">
      <c r="A444" t="str">
        <f t="shared" si="18"/>
        <v>18097340400_2026</v>
      </c>
      <c r="B444">
        <v>18097340400</v>
      </c>
      <c r="C444">
        <v>2026</v>
      </c>
      <c r="D444">
        <v>-1.186063372636315</v>
      </c>
      <c r="E444">
        <v>0.30992739771851258</v>
      </c>
      <c r="F444">
        <v>-1.3428695291612791</v>
      </c>
      <c r="G444">
        <v>-0.1621093909324538</v>
      </c>
      <c r="H444">
        <v>0.32831336836244018</v>
      </c>
      <c r="I444">
        <v>-0.60771564071052941</v>
      </c>
      <c r="J444">
        <v>1.9394851539432589</v>
      </c>
      <c r="K444">
        <v>-1.8005100430765601E-3</v>
      </c>
      <c r="M444">
        <f t="shared" si="19"/>
        <v>-0.72283252345944204</v>
      </c>
      <c r="N444">
        <f t="shared" si="20"/>
        <v>8</v>
      </c>
    </row>
    <row r="445" spans="1:14" x14ac:dyDescent="0.35">
      <c r="A445" t="str">
        <f t="shared" si="18"/>
        <v>18097340400_2027</v>
      </c>
      <c r="B445">
        <v>18097340400</v>
      </c>
      <c r="C445">
        <v>2027</v>
      </c>
      <c r="D445">
        <v>-0.75650946761748439</v>
      </c>
      <c r="E445">
        <v>0.30722143816309522</v>
      </c>
      <c r="F445">
        <v>1.818889200107354</v>
      </c>
      <c r="G445">
        <v>-0.1882767053946888</v>
      </c>
      <c r="H445">
        <v>0.16495551561115879</v>
      </c>
      <c r="I445">
        <v>-0.44836316197081488</v>
      </c>
      <c r="J445">
        <v>1.8843702114304759</v>
      </c>
      <c r="K445">
        <v>3.636906499265976E-2</v>
      </c>
      <c r="M445">
        <f t="shared" si="19"/>
        <v>2.8186560953217557</v>
      </c>
      <c r="N445">
        <f t="shared" si="20"/>
        <v>8</v>
      </c>
    </row>
    <row r="446" spans="1:14" x14ac:dyDescent="0.35">
      <c r="A446" t="str">
        <f t="shared" si="18"/>
        <v>18097340400_2028</v>
      </c>
      <c r="B446">
        <v>18097340400</v>
      </c>
      <c r="C446">
        <v>2028</v>
      </c>
      <c r="D446">
        <v>-1.260889734773925</v>
      </c>
      <c r="E446">
        <v>0.354275745874509</v>
      </c>
      <c r="F446">
        <v>-1.610103733784525</v>
      </c>
      <c r="G446">
        <v>-0.18231074016511961</v>
      </c>
      <c r="H446">
        <v>3.6465457738543428E-2</v>
      </c>
      <c r="I446">
        <v>-0.29880818206222698</v>
      </c>
      <c r="J446">
        <v>1.8521295287209669</v>
      </c>
      <c r="K446">
        <v>3.8345265636720409E-2</v>
      </c>
      <c r="M446">
        <f t="shared" si="19"/>
        <v>-1.0708963928150568</v>
      </c>
      <c r="N446">
        <f t="shared" si="20"/>
        <v>8</v>
      </c>
    </row>
    <row r="447" spans="1:14" x14ac:dyDescent="0.35">
      <c r="A447" t="str">
        <f t="shared" si="18"/>
        <v>18097340500_2024</v>
      </c>
      <c r="B447">
        <v>18097340500</v>
      </c>
      <c r="C447">
        <v>2024</v>
      </c>
      <c r="D447">
        <v>-0.71403224522575726</v>
      </c>
      <c r="E447">
        <v>-0.87281324057551357</v>
      </c>
      <c r="F447">
        <v>1.515879394146213</v>
      </c>
      <c r="G447">
        <v>-0.28190405170401472</v>
      </c>
      <c r="H447">
        <v>0.27912313384380649</v>
      </c>
      <c r="I447">
        <v>2.3377543349931509</v>
      </c>
      <c r="J447">
        <v>1.734938921487315</v>
      </c>
      <c r="K447">
        <v>9.4941196714912843E-2</v>
      </c>
      <c r="M447">
        <f t="shared" si="19"/>
        <v>4.0938874436801127</v>
      </c>
      <c r="N447">
        <f t="shared" si="20"/>
        <v>8</v>
      </c>
    </row>
    <row r="448" spans="1:14" x14ac:dyDescent="0.35">
      <c r="A448" t="str">
        <f t="shared" si="18"/>
        <v>18097340500_2025</v>
      </c>
      <c r="B448">
        <v>18097340500</v>
      </c>
      <c r="C448">
        <v>2025</v>
      </c>
      <c r="D448">
        <v>-0.59541841622129443</v>
      </c>
      <c r="E448">
        <v>1.27571250823531</v>
      </c>
      <c r="F448">
        <v>-2.584548275712395E-2</v>
      </c>
      <c r="G448">
        <v>-0.38828118882345308</v>
      </c>
      <c r="H448">
        <v>0.85519969490399173</v>
      </c>
      <c r="I448">
        <v>1.773016184210964</v>
      </c>
      <c r="J448">
        <v>2.0883625905844689</v>
      </c>
      <c r="K448">
        <v>-9.3876821778388658E-2</v>
      </c>
      <c r="M448">
        <f t="shared" si="19"/>
        <v>4.8888690683544747</v>
      </c>
      <c r="N448">
        <f t="shared" si="20"/>
        <v>8</v>
      </c>
    </row>
    <row r="449" spans="1:14" x14ac:dyDescent="0.35">
      <c r="A449" t="str">
        <f t="shared" si="18"/>
        <v>18097340500_2026</v>
      </c>
      <c r="B449">
        <v>18097340500</v>
      </c>
      <c r="C449">
        <v>2026</v>
      </c>
      <c r="D449">
        <v>-1.181213849544932</v>
      </c>
      <c r="E449">
        <v>-0.57714694220343654</v>
      </c>
      <c r="F449">
        <v>0.27806697203994418</v>
      </c>
      <c r="G449">
        <v>-0.44499629442617622</v>
      </c>
      <c r="H449">
        <v>1.020002510452545</v>
      </c>
      <c r="I449">
        <v>1.223653501143666</v>
      </c>
      <c r="J449">
        <v>2.0305463506008881</v>
      </c>
      <c r="K449">
        <v>-0.18463965621025749</v>
      </c>
      <c r="M449">
        <f t="shared" si="19"/>
        <v>2.164272591852241</v>
      </c>
      <c r="N449">
        <f t="shared" si="20"/>
        <v>8</v>
      </c>
    </row>
    <row r="450" spans="1:14" x14ac:dyDescent="0.35">
      <c r="A450" t="str">
        <f t="shared" si="18"/>
        <v>18097340500_2027</v>
      </c>
      <c r="B450">
        <v>18097340500</v>
      </c>
      <c r="C450">
        <v>2027</v>
      </c>
      <c r="D450">
        <v>-0.75800406460410963</v>
      </c>
      <c r="E450">
        <v>0.56901718190592121</v>
      </c>
      <c r="F450">
        <v>0.1913046727537995</v>
      </c>
      <c r="G450">
        <v>-0.46450956078706052</v>
      </c>
      <c r="H450">
        <v>0.9634188678888056</v>
      </c>
      <c r="I450">
        <v>0.85764191657178923</v>
      </c>
      <c r="J450">
        <v>1.974220204345855</v>
      </c>
      <c r="K450">
        <v>-0.14390340096389179</v>
      </c>
      <c r="M450">
        <f t="shared" si="19"/>
        <v>3.1891858171111083</v>
      </c>
      <c r="N450">
        <f t="shared" si="20"/>
        <v>8</v>
      </c>
    </row>
    <row r="451" spans="1:14" x14ac:dyDescent="0.35">
      <c r="A451" t="str">
        <f t="shared" ref="A451:A514" si="21">TEXT(B451,0)&amp;"_"&amp;TEXT(C451,0)</f>
        <v>18097340500_2028</v>
      </c>
      <c r="B451">
        <v>18097340500</v>
      </c>
      <c r="C451">
        <v>2028</v>
      </c>
      <c r="D451">
        <v>-1.258294472859222</v>
      </c>
      <c r="E451">
        <v>-1.293750435114624E-2</v>
      </c>
      <c r="F451">
        <v>0.31425449060543342</v>
      </c>
      <c r="G451">
        <v>-0.45277819650584178</v>
      </c>
      <c r="H451">
        <v>0.91209486669385498</v>
      </c>
      <c r="I451">
        <v>0.63231163129279566</v>
      </c>
      <c r="J451">
        <v>1.941141774921374</v>
      </c>
      <c r="K451">
        <v>-0.13935193342718091</v>
      </c>
      <c r="M451">
        <f t="shared" ref="M451:M514" si="22">SUM(D451:K451)</f>
        <v>1.9364406563700673</v>
      </c>
      <c r="N451">
        <f t="shared" ref="N451:N514" si="23">IF(D451=0,0,1)+IF(E451=0,0,1)+IF(F451=0,0,1)+IF(G451=0,0,1)+IF(H451=0,0,1)+IF(I451=0,0,1)++IF(J451=0,0,1)++IF(K451=0,0,1)</f>
        <v>8</v>
      </c>
    </row>
    <row r="452" spans="1:14" x14ac:dyDescent="0.35">
      <c r="A452" t="str">
        <f t="shared" si="21"/>
        <v>18097340600_2024</v>
      </c>
      <c r="B452">
        <v>18097340600</v>
      </c>
      <c r="C452">
        <v>2024</v>
      </c>
      <c r="D452">
        <v>-0.71403087532891951</v>
      </c>
      <c r="E452">
        <v>1.77076275432022</v>
      </c>
      <c r="F452">
        <v>-0.24936738661269581</v>
      </c>
      <c r="G452">
        <v>-5.2307246143696307E-2</v>
      </c>
      <c r="H452">
        <v>-0.10108674647477719</v>
      </c>
      <c r="I452">
        <v>0.86010881032467279</v>
      </c>
      <c r="J452">
        <v>1.7349389214873081</v>
      </c>
      <c r="K452">
        <v>9.4941196714912843E-2</v>
      </c>
      <c r="M452">
        <f t="shared" si="22"/>
        <v>3.3439594282870249</v>
      </c>
      <c r="N452">
        <f t="shared" si="23"/>
        <v>8</v>
      </c>
    </row>
    <row r="453" spans="1:14" x14ac:dyDescent="0.35">
      <c r="A453" t="str">
        <f t="shared" si="21"/>
        <v>18097340600_2025</v>
      </c>
      <c r="B453">
        <v>18097340600</v>
      </c>
      <c r="C453">
        <v>2025</v>
      </c>
      <c r="D453">
        <v>-0.59541388960486563</v>
      </c>
      <c r="E453">
        <v>1.976260025036481</v>
      </c>
      <c r="F453">
        <v>-8.03071322188985E-2</v>
      </c>
      <c r="G453">
        <v>2.2773947534015949E-2</v>
      </c>
      <c r="H453">
        <v>-0.72253125920891215</v>
      </c>
      <c r="I453">
        <v>0.98625572960933938</v>
      </c>
      <c r="J453">
        <v>2.0883625905844689</v>
      </c>
      <c r="K453">
        <v>-9.3876821778388658E-2</v>
      </c>
      <c r="M453">
        <f t="shared" si="22"/>
        <v>3.58152318995324</v>
      </c>
      <c r="N453">
        <f t="shared" si="23"/>
        <v>8</v>
      </c>
    </row>
    <row r="454" spans="1:14" x14ac:dyDescent="0.35">
      <c r="A454" t="str">
        <f t="shared" si="21"/>
        <v>18097340600_2026</v>
      </c>
      <c r="B454">
        <v>18097340600</v>
      </c>
      <c r="C454">
        <v>2026</v>
      </c>
      <c r="D454">
        <v>-1.1812115782941</v>
      </c>
      <c r="E454">
        <v>1.554293423670595</v>
      </c>
      <c r="F454">
        <v>-0.52993673562026966</v>
      </c>
      <c r="G454">
        <v>-2.2198517777037619E-2</v>
      </c>
      <c r="H454">
        <v>-0.46744480211415862</v>
      </c>
      <c r="I454">
        <v>0.92222522043295596</v>
      </c>
      <c r="J454">
        <v>2.0305463506008881</v>
      </c>
      <c r="K454">
        <v>-0.18463965621025749</v>
      </c>
      <c r="M454">
        <f t="shared" si="22"/>
        <v>2.1216337046886156</v>
      </c>
      <c r="N454">
        <f t="shared" si="23"/>
        <v>8</v>
      </c>
    </row>
    <row r="455" spans="1:14" x14ac:dyDescent="0.35">
      <c r="A455" t="str">
        <f t="shared" si="21"/>
        <v>18097340600_2027</v>
      </c>
      <c r="B455">
        <v>18097340600</v>
      </c>
      <c r="C455">
        <v>2027</v>
      </c>
      <c r="D455">
        <v>-0.7579994229370286</v>
      </c>
      <c r="E455">
        <v>1.1586248147580791</v>
      </c>
      <c r="F455">
        <v>-0.3847951608432007</v>
      </c>
      <c r="G455">
        <v>2.284857169721493E-2</v>
      </c>
      <c r="H455">
        <v>-0.51538101843435691</v>
      </c>
      <c r="I455">
        <v>0.78251321592455392</v>
      </c>
      <c r="J455">
        <v>1.974220204345855</v>
      </c>
      <c r="K455">
        <v>-0.14390340096389179</v>
      </c>
      <c r="M455">
        <f t="shared" si="22"/>
        <v>2.1361278035472249</v>
      </c>
      <c r="N455">
        <f t="shared" si="23"/>
        <v>8</v>
      </c>
    </row>
    <row r="456" spans="1:14" x14ac:dyDescent="0.35">
      <c r="A456" t="str">
        <f t="shared" si="21"/>
        <v>18097340600_2028</v>
      </c>
      <c r="B456">
        <v>18097340600</v>
      </c>
      <c r="C456">
        <v>2028</v>
      </c>
      <c r="D456">
        <v>-1.258290748868816</v>
      </c>
      <c r="E456">
        <v>0.91420991025752962</v>
      </c>
      <c r="F456">
        <v>-0.473820387210522</v>
      </c>
      <c r="G456">
        <v>8.479106539015256E-4</v>
      </c>
      <c r="H456">
        <v>-0.48090414477721061</v>
      </c>
      <c r="I456">
        <v>0.63493645141387223</v>
      </c>
      <c r="J456">
        <v>1.941141774921374</v>
      </c>
      <c r="K456">
        <v>-0.13935193342718091</v>
      </c>
      <c r="M456">
        <f t="shared" si="22"/>
        <v>1.138768832962948</v>
      </c>
      <c r="N456">
        <f t="shared" si="23"/>
        <v>8</v>
      </c>
    </row>
    <row r="457" spans="1:14" x14ac:dyDescent="0.35">
      <c r="A457" t="str">
        <f t="shared" si="21"/>
        <v>18097340700_2024</v>
      </c>
      <c r="B457">
        <v>18097340700</v>
      </c>
      <c r="C457">
        <v>2024</v>
      </c>
      <c r="D457">
        <v>-0.71466549613719632</v>
      </c>
      <c r="E457">
        <v>-3.1015780957832439</v>
      </c>
      <c r="F457">
        <v>0.36644904071723539</v>
      </c>
      <c r="G457">
        <v>-8.4613097258442294E-2</v>
      </c>
      <c r="H457">
        <v>0.2739286577168869</v>
      </c>
      <c r="J457">
        <v>1.721063146573004</v>
      </c>
      <c r="K457">
        <v>9.9798569927357764E-2</v>
      </c>
      <c r="M457">
        <f t="shared" si="22"/>
        <v>-1.4396172742443982</v>
      </c>
      <c r="N457">
        <f t="shared" si="23"/>
        <v>7</v>
      </c>
    </row>
    <row r="458" spans="1:14" x14ac:dyDescent="0.35">
      <c r="A458" t="str">
        <f t="shared" si="21"/>
        <v>18097340700_2025</v>
      </c>
      <c r="B458">
        <v>18097340700</v>
      </c>
      <c r="C458">
        <v>2025</v>
      </c>
      <c r="D458">
        <v>-0.5947753668013479</v>
      </c>
      <c r="E458">
        <v>-6.8255929608896079E-2</v>
      </c>
      <c r="F458">
        <v>0.17011709768059041</v>
      </c>
      <c r="G458">
        <v>7.2260264276038821E-2</v>
      </c>
      <c r="H458">
        <v>0.22965157553184559</v>
      </c>
      <c r="J458">
        <v>2.071046428535086</v>
      </c>
      <c r="K458">
        <v>-7.0578774521367835E-2</v>
      </c>
      <c r="M458">
        <f t="shared" si="22"/>
        <v>1.8094652950919492</v>
      </c>
      <c r="N458">
        <f t="shared" si="23"/>
        <v>7</v>
      </c>
    </row>
    <row r="459" spans="1:14" x14ac:dyDescent="0.35">
      <c r="A459" t="str">
        <f t="shared" si="21"/>
        <v>18097340700_2026</v>
      </c>
      <c r="B459">
        <v>18097340700</v>
      </c>
      <c r="C459">
        <v>2026</v>
      </c>
      <c r="D459">
        <v>-1.1820903607426669</v>
      </c>
      <c r="E459">
        <v>-3.8925184328209947E-2</v>
      </c>
      <c r="F459">
        <v>0.19723154367977119</v>
      </c>
      <c r="G459">
        <v>-4.4082973370323443E-2</v>
      </c>
      <c r="H459">
        <v>0.41642959506850802</v>
      </c>
      <c r="J459">
        <v>2.013253781006302</v>
      </c>
      <c r="K459">
        <v>-0.15974137719597681</v>
      </c>
      <c r="M459">
        <f t="shared" si="22"/>
        <v>1.2020750241174041</v>
      </c>
      <c r="N459">
        <f t="shared" si="23"/>
        <v>7</v>
      </c>
    </row>
    <row r="460" spans="1:14" x14ac:dyDescent="0.35">
      <c r="A460" t="str">
        <f t="shared" si="21"/>
        <v>18097340700_2027</v>
      </c>
      <c r="B460">
        <v>18097340700</v>
      </c>
      <c r="C460">
        <v>2027</v>
      </c>
      <c r="D460">
        <v>-0.75772934109401846</v>
      </c>
      <c r="E460">
        <v>-3.6659127356348367E-2</v>
      </c>
      <c r="F460">
        <v>0.2293620553049962</v>
      </c>
      <c r="G460">
        <v>5.4777037989949158E-2</v>
      </c>
      <c r="H460">
        <v>0.22755996107614621</v>
      </c>
      <c r="J460">
        <v>1.957159386110116</v>
      </c>
      <c r="K460">
        <v>-0.11859892991356449</v>
      </c>
      <c r="M460">
        <f t="shared" si="22"/>
        <v>1.5558710421172761</v>
      </c>
      <c r="N460">
        <f t="shared" si="23"/>
        <v>7</v>
      </c>
    </row>
    <row r="461" spans="1:14" x14ac:dyDescent="0.35">
      <c r="A461" t="str">
        <f t="shared" si="21"/>
        <v>18097340700_2028</v>
      </c>
      <c r="B461">
        <v>18097340700</v>
      </c>
      <c r="C461">
        <v>2028</v>
      </c>
      <c r="D461">
        <v>-1.2587624628287559</v>
      </c>
      <c r="E461">
        <v>4.7894618173598302E-2</v>
      </c>
      <c r="F461">
        <v>0.30070165284509393</v>
      </c>
      <c r="G461">
        <v>-7.6630103693343197E-3</v>
      </c>
      <c r="H461">
        <v>9.8466268310153635E-2</v>
      </c>
      <c r="J461">
        <v>1.9242402625923809</v>
      </c>
      <c r="K461">
        <v>-0.1141242919798169</v>
      </c>
      <c r="M461">
        <f t="shared" si="22"/>
        <v>0.99075303674331949</v>
      </c>
      <c r="N461">
        <f t="shared" si="23"/>
        <v>7</v>
      </c>
    </row>
    <row r="462" spans="1:14" x14ac:dyDescent="0.35">
      <c r="A462" t="str">
        <f t="shared" si="21"/>
        <v>18097340800_2024</v>
      </c>
      <c r="B462">
        <v>18097340800</v>
      </c>
      <c r="C462">
        <v>2024</v>
      </c>
      <c r="D462">
        <v>-1.0413549681019989</v>
      </c>
      <c r="E462">
        <v>0.46316422088857939</v>
      </c>
      <c r="F462">
        <v>-1.058698174405611</v>
      </c>
      <c r="G462">
        <v>3.022534468164104E-2</v>
      </c>
      <c r="H462">
        <v>0.1688438593177409</v>
      </c>
      <c r="I462">
        <v>-4.6134925401835579E-2</v>
      </c>
      <c r="J462">
        <v>0.66941703931714691</v>
      </c>
      <c r="M462">
        <f t="shared" si="22"/>
        <v>-0.81453760370433737</v>
      </c>
      <c r="N462">
        <f t="shared" si="23"/>
        <v>7</v>
      </c>
    </row>
    <row r="463" spans="1:14" x14ac:dyDescent="0.35">
      <c r="A463" t="str">
        <f t="shared" si="21"/>
        <v>18097340800_2025</v>
      </c>
      <c r="B463">
        <v>18097340800</v>
      </c>
      <c r="C463">
        <v>2025</v>
      </c>
      <c r="D463">
        <v>-0.34715222816895253</v>
      </c>
      <c r="E463">
        <v>-7.2033781917167375E-2</v>
      </c>
      <c r="F463">
        <v>-0.68410135573024866</v>
      </c>
      <c r="G463">
        <v>0.1024755723684717</v>
      </c>
      <c r="H463">
        <v>0.31349828818291681</v>
      </c>
      <c r="I463">
        <v>3.3732325090111669E-2</v>
      </c>
      <c r="J463">
        <v>0.67836542523246579</v>
      </c>
      <c r="M463">
        <f t="shared" si="22"/>
        <v>2.4784245057597243E-2</v>
      </c>
      <c r="N463">
        <f t="shared" si="23"/>
        <v>7</v>
      </c>
    </row>
    <row r="464" spans="1:14" x14ac:dyDescent="0.35">
      <c r="A464" t="str">
        <f t="shared" si="21"/>
        <v>18097340800_2026</v>
      </c>
      <c r="B464">
        <v>18097340800</v>
      </c>
      <c r="C464">
        <v>2026</v>
      </c>
      <c r="D464">
        <v>-1.5466669676848921</v>
      </c>
      <c r="E464">
        <v>0.26382109860045538</v>
      </c>
      <c r="F464">
        <v>-0.7206288307553711</v>
      </c>
      <c r="G464">
        <v>8.8944143833449188E-2</v>
      </c>
      <c r="H464">
        <v>0.35382208037130503</v>
      </c>
      <c r="I464">
        <v>6.3610024848924085E-2</v>
      </c>
      <c r="J464">
        <v>0.6081443103926617</v>
      </c>
      <c r="M464">
        <f t="shared" si="22"/>
        <v>-0.88895414039346743</v>
      </c>
      <c r="N464">
        <f t="shared" si="23"/>
        <v>7</v>
      </c>
    </row>
    <row r="465" spans="1:14" x14ac:dyDescent="0.35">
      <c r="A465" t="str">
        <f t="shared" si="21"/>
        <v>18097340800_2027</v>
      </c>
      <c r="B465">
        <v>18097340800</v>
      </c>
      <c r="C465">
        <v>2027</v>
      </c>
      <c r="D465">
        <v>-0.72024380517942765</v>
      </c>
      <c r="E465">
        <v>0.17768899044259381</v>
      </c>
      <c r="F465">
        <v>-0.82369915466822374</v>
      </c>
      <c r="G465">
        <v>0.14362429184506109</v>
      </c>
      <c r="H465">
        <v>0.19144576596546981</v>
      </c>
      <c r="I465">
        <v>0.1248914289028048</v>
      </c>
      <c r="J465">
        <v>0.56860687377968511</v>
      </c>
      <c r="M465">
        <f t="shared" si="22"/>
        <v>-0.33768560891203681</v>
      </c>
      <c r="N465">
        <f t="shared" si="23"/>
        <v>7</v>
      </c>
    </row>
    <row r="466" spans="1:14" x14ac:dyDescent="0.35">
      <c r="A466" t="str">
        <f t="shared" si="21"/>
        <v>18097340800_2028</v>
      </c>
      <c r="B466">
        <v>18097340800</v>
      </c>
      <c r="C466">
        <v>2028</v>
      </c>
      <c r="D466">
        <v>-1.455895613064264</v>
      </c>
      <c r="E466">
        <v>0.26792540512668578</v>
      </c>
      <c r="F466">
        <v>-0.85053829020146887</v>
      </c>
      <c r="G466">
        <v>0.11479670370908029</v>
      </c>
      <c r="H466">
        <v>6.0327367102178689E-2</v>
      </c>
      <c r="I466">
        <v>0.16233314139450411</v>
      </c>
      <c r="J466">
        <v>0.54832739513599793</v>
      </c>
      <c r="M466">
        <f t="shared" si="22"/>
        <v>-1.1527238907972861</v>
      </c>
      <c r="N466">
        <f t="shared" si="23"/>
        <v>7</v>
      </c>
    </row>
    <row r="467" spans="1:14" x14ac:dyDescent="0.35">
      <c r="A467" t="str">
        <f t="shared" si="21"/>
        <v>18097340901_2024</v>
      </c>
      <c r="B467">
        <v>18097340901</v>
      </c>
      <c r="C467">
        <v>2024</v>
      </c>
      <c r="D467">
        <v>-0.27889916769368261</v>
      </c>
      <c r="F467">
        <v>-1.3766799862699239</v>
      </c>
      <c r="G467">
        <v>0.61907982809391571</v>
      </c>
      <c r="H467">
        <v>0.50068828363987317</v>
      </c>
      <c r="I467">
        <v>-0.31819609802817822</v>
      </c>
      <c r="J467">
        <v>8.5931580103986802E-3</v>
      </c>
      <c r="M467">
        <f t="shared" si="22"/>
        <v>-0.84541398224759712</v>
      </c>
      <c r="N467">
        <f t="shared" si="23"/>
        <v>6</v>
      </c>
    </row>
    <row r="468" spans="1:14" x14ac:dyDescent="0.35">
      <c r="A468" t="str">
        <f t="shared" si="21"/>
        <v>18097340901_2025</v>
      </c>
      <c r="B468">
        <v>18097340901</v>
      </c>
      <c r="C468">
        <v>2025</v>
      </c>
      <c r="D468">
        <v>1.2259830078883529</v>
      </c>
      <c r="F468">
        <v>0.17669744471906459</v>
      </c>
      <c r="G468">
        <v>-1.322686213529159</v>
      </c>
      <c r="H468">
        <v>-0.59567721903319792</v>
      </c>
      <c r="I468">
        <v>-0.6625547893910313</v>
      </c>
      <c r="J468">
        <v>-0.221929594455607</v>
      </c>
      <c r="M468">
        <f t="shared" si="22"/>
        <v>-1.4001673638015777</v>
      </c>
      <c r="N468">
        <f t="shared" si="23"/>
        <v>6</v>
      </c>
    </row>
    <row r="469" spans="1:14" x14ac:dyDescent="0.35">
      <c r="A469" t="str">
        <f t="shared" si="21"/>
        <v>18097340901_2026</v>
      </c>
      <c r="B469">
        <v>18097340901</v>
      </c>
      <c r="C469">
        <v>2026</v>
      </c>
      <c r="D469">
        <v>0.1804277743713768</v>
      </c>
      <c r="F469">
        <v>0.65931067089243489</v>
      </c>
      <c r="G469">
        <v>1.401552936899525</v>
      </c>
      <c r="H469">
        <v>-0.47394318443557071</v>
      </c>
      <c r="I469">
        <v>-0.46421898844911758</v>
      </c>
      <c r="J469">
        <v>-0.31366304612279872</v>
      </c>
      <c r="M469">
        <f t="shared" si="22"/>
        <v>0.98946616315585012</v>
      </c>
      <c r="N469">
        <f t="shared" si="23"/>
        <v>6</v>
      </c>
    </row>
    <row r="470" spans="1:14" x14ac:dyDescent="0.35">
      <c r="A470" t="str">
        <f t="shared" si="21"/>
        <v>18097340901_2027</v>
      </c>
      <c r="B470">
        <v>18097340901</v>
      </c>
      <c r="C470">
        <v>2027</v>
      </c>
      <c r="D470">
        <v>1.019121953599269</v>
      </c>
      <c r="F470">
        <v>0.54990683864792533</v>
      </c>
      <c r="G470">
        <v>-1.215157067878561</v>
      </c>
      <c r="H470">
        <v>-0.55953307697077759</v>
      </c>
      <c r="I470">
        <v>-0.39306040004003578</v>
      </c>
      <c r="J470">
        <v>-0.34470487547330098</v>
      </c>
      <c r="M470">
        <f t="shared" si="22"/>
        <v>-0.94342662811548095</v>
      </c>
      <c r="N470">
        <f t="shared" si="23"/>
        <v>6</v>
      </c>
    </row>
    <row r="471" spans="1:14" x14ac:dyDescent="0.35">
      <c r="A471" t="str">
        <f t="shared" si="21"/>
        <v>18097340901_2028</v>
      </c>
      <c r="B471">
        <v>18097340901</v>
      </c>
      <c r="C471">
        <v>2028</v>
      </c>
      <c r="D471">
        <v>0.60602051476658081</v>
      </c>
      <c r="F471">
        <v>0.74119913985452435</v>
      </c>
      <c r="G471">
        <v>1.28056258388234</v>
      </c>
      <c r="H471">
        <v>-0.5221074551681486</v>
      </c>
      <c r="I471">
        <v>-0.22431585863039119</v>
      </c>
      <c r="J471">
        <v>-0.35703365881471488</v>
      </c>
      <c r="M471">
        <f t="shared" si="22"/>
        <v>1.5243252658901905</v>
      </c>
      <c r="N471">
        <f t="shared" si="23"/>
        <v>6</v>
      </c>
    </row>
    <row r="472" spans="1:14" x14ac:dyDescent="0.35">
      <c r="A472" t="str">
        <f t="shared" si="21"/>
        <v>18097340903_2024</v>
      </c>
      <c r="B472">
        <v>18097340903</v>
      </c>
      <c r="C472">
        <v>2024</v>
      </c>
      <c r="D472">
        <v>-1.0413716148935499</v>
      </c>
      <c r="E472">
        <v>0.12983692957596951</v>
      </c>
      <c r="F472">
        <v>2.2565825791507188</v>
      </c>
      <c r="G472">
        <v>-0.65471826869236738</v>
      </c>
      <c r="J472">
        <v>0.66941703931714691</v>
      </c>
      <c r="M472">
        <f t="shared" si="22"/>
        <v>1.3597466644579179</v>
      </c>
      <c r="N472">
        <f t="shared" si="23"/>
        <v>5</v>
      </c>
    </row>
    <row r="473" spans="1:14" x14ac:dyDescent="0.35">
      <c r="A473" t="str">
        <f t="shared" si="21"/>
        <v>18097340903_2025</v>
      </c>
      <c r="B473">
        <v>18097340903</v>
      </c>
      <c r="C473">
        <v>2025</v>
      </c>
      <c r="D473">
        <v>-0.34716157856248081</v>
      </c>
      <c r="E473">
        <v>-0.37810060009607849</v>
      </c>
      <c r="F473">
        <v>1.65909769024343</v>
      </c>
      <c r="G473">
        <v>-1.1434589710282279</v>
      </c>
      <c r="J473">
        <v>0.67836542523246579</v>
      </c>
      <c r="M473">
        <f t="shared" si="22"/>
        <v>0.46874196578910854</v>
      </c>
      <c r="N473">
        <f t="shared" si="23"/>
        <v>5</v>
      </c>
    </row>
    <row r="474" spans="1:14" x14ac:dyDescent="0.35">
      <c r="A474" t="str">
        <f t="shared" si="21"/>
        <v>18097340903_2026</v>
      </c>
      <c r="B474">
        <v>18097340903</v>
      </c>
      <c r="C474">
        <v>2026</v>
      </c>
      <c r="D474">
        <v>-1.5466883236284381</v>
      </c>
      <c r="E474">
        <v>-0.2596977237941821</v>
      </c>
      <c r="F474">
        <v>1.797017835049914</v>
      </c>
      <c r="G474">
        <v>-1.447490507087827</v>
      </c>
      <c r="J474">
        <v>0.6081443103926617</v>
      </c>
      <c r="M474">
        <f t="shared" si="22"/>
        <v>-0.84871440906787166</v>
      </c>
      <c r="N474">
        <f t="shared" si="23"/>
        <v>5</v>
      </c>
    </row>
    <row r="475" spans="1:14" x14ac:dyDescent="0.35">
      <c r="A475" t="str">
        <f t="shared" si="21"/>
        <v>18097340903_2027</v>
      </c>
      <c r="B475">
        <v>18097340903</v>
      </c>
      <c r="C475">
        <v>2027</v>
      </c>
      <c r="D475">
        <v>-0.72026008229195893</v>
      </c>
      <c r="E475">
        <v>-0.25250913507859918</v>
      </c>
      <c r="F475">
        <v>2.0647978768774919</v>
      </c>
      <c r="G475">
        <v>-1.344293543779826</v>
      </c>
      <c r="J475">
        <v>0.56860687377968511</v>
      </c>
      <c r="M475">
        <f t="shared" si="22"/>
        <v>0.31634198950679304</v>
      </c>
      <c r="N475">
        <f t="shared" si="23"/>
        <v>5</v>
      </c>
    </row>
    <row r="476" spans="1:14" x14ac:dyDescent="0.35">
      <c r="A476" t="str">
        <f t="shared" si="21"/>
        <v>18097340903_2028</v>
      </c>
      <c r="B476">
        <v>18097340903</v>
      </c>
      <c r="C476">
        <v>2028</v>
      </c>
      <c r="D476">
        <v>-1.455917248452602</v>
      </c>
      <c r="E476">
        <v>-0.14568490208496421</v>
      </c>
      <c r="F476">
        <v>2.1624553193110558</v>
      </c>
      <c r="G476">
        <v>-1.498213472887985</v>
      </c>
      <c r="J476">
        <v>0.54832739513599793</v>
      </c>
      <c r="M476">
        <f t="shared" si="22"/>
        <v>-0.3890329089784974</v>
      </c>
      <c r="N476">
        <f t="shared" si="23"/>
        <v>5</v>
      </c>
    </row>
    <row r="477" spans="1:14" x14ac:dyDescent="0.35">
      <c r="A477" t="str">
        <f t="shared" si="21"/>
        <v>18097340904_2024</v>
      </c>
      <c r="B477">
        <v>18097340904</v>
      </c>
      <c r="C477">
        <v>2024</v>
      </c>
      <c r="D477">
        <v>-1.041373544409566</v>
      </c>
      <c r="E477">
        <v>-0.14304825391348691</v>
      </c>
      <c r="F477">
        <v>0.93683174547902781</v>
      </c>
      <c r="G477">
        <v>-8.2584147899887925E-2</v>
      </c>
      <c r="H477">
        <v>-6.2119578887807593E-2</v>
      </c>
      <c r="I477">
        <v>-0.1903889700470883</v>
      </c>
      <c r="J477">
        <v>0.66941703931714691</v>
      </c>
      <c r="M477">
        <f t="shared" si="22"/>
        <v>8.6734289638337958E-2</v>
      </c>
      <c r="N477">
        <f t="shared" si="23"/>
        <v>7</v>
      </c>
    </row>
    <row r="478" spans="1:14" x14ac:dyDescent="0.35">
      <c r="A478" t="str">
        <f t="shared" si="21"/>
        <v>18097340904_2025</v>
      </c>
      <c r="B478">
        <v>18097340904</v>
      </c>
      <c r="C478">
        <v>2025</v>
      </c>
      <c r="D478">
        <v>-0.34715319631280062</v>
      </c>
      <c r="E478">
        <v>-0.42442662801786968</v>
      </c>
      <c r="F478">
        <v>1.525202128494187</v>
      </c>
      <c r="G478">
        <v>-0.56302377732237696</v>
      </c>
      <c r="H478">
        <v>-0.71820994721967524</v>
      </c>
      <c r="I478">
        <v>-0.84736867685890793</v>
      </c>
      <c r="J478">
        <v>0.67836542523246579</v>
      </c>
      <c r="M478">
        <f t="shared" si="22"/>
        <v>-0.69661467200497751</v>
      </c>
      <c r="N478">
        <f t="shared" si="23"/>
        <v>7</v>
      </c>
    </row>
    <row r="479" spans="1:14" x14ac:dyDescent="0.35">
      <c r="A479" t="str">
        <f t="shared" si="21"/>
        <v>18097340904_2026</v>
      </c>
      <c r="B479">
        <v>18097340904</v>
      </c>
      <c r="C479">
        <v>2026</v>
      </c>
      <c r="D479">
        <v>-1.546686450963884</v>
      </c>
      <c r="E479">
        <v>-0.3781375084923565</v>
      </c>
      <c r="F479">
        <v>0.38546765424793628</v>
      </c>
      <c r="G479">
        <v>-7.7036414013241003E-2</v>
      </c>
      <c r="H479">
        <v>-0.58641990665188881</v>
      </c>
      <c r="I479">
        <v>-0.40441304787502541</v>
      </c>
      <c r="J479">
        <v>0.6081443103926617</v>
      </c>
      <c r="M479">
        <f t="shared" si="22"/>
        <v>-1.9990813633557978</v>
      </c>
      <c r="N479">
        <f t="shared" si="23"/>
        <v>7</v>
      </c>
    </row>
    <row r="480" spans="1:14" x14ac:dyDescent="0.35">
      <c r="A480" t="str">
        <f t="shared" si="21"/>
        <v>18097340904_2027</v>
      </c>
      <c r="B480">
        <v>18097340904</v>
      </c>
      <c r="C480">
        <v>2027</v>
      </c>
      <c r="D480">
        <v>-0.72025425069903426</v>
      </c>
      <c r="E480">
        <v>-0.36262331317742402</v>
      </c>
      <c r="F480">
        <v>1.871762433440499</v>
      </c>
      <c r="G480">
        <v>-0.62339873703729931</v>
      </c>
      <c r="H480">
        <v>-0.64506395615824053</v>
      </c>
      <c r="I480">
        <v>-0.48790517945065309</v>
      </c>
      <c r="J480">
        <v>0.56860687377968511</v>
      </c>
      <c r="M480">
        <f t="shared" si="22"/>
        <v>-0.39887612930246708</v>
      </c>
      <c r="N480">
        <f t="shared" si="23"/>
        <v>7</v>
      </c>
    </row>
    <row r="481" spans="1:14" x14ac:dyDescent="0.35">
      <c r="A481" t="str">
        <f t="shared" si="21"/>
        <v>18097340904_2028</v>
      </c>
      <c r="B481">
        <v>18097340904</v>
      </c>
      <c r="C481">
        <v>2028</v>
      </c>
      <c r="D481">
        <v>-1.4559122800402371</v>
      </c>
      <c r="E481">
        <v>-0.24949836741140941</v>
      </c>
      <c r="F481">
        <v>0.56318421892511994</v>
      </c>
      <c r="G481">
        <v>-6.9631293157593352E-2</v>
      </c>
      <c r="H481">
        <v>-0.57811668484568857</v>
      </c>
      <c r="I481">
        <v>-0.22638659287408339</v>
      </c>
      <c r="J481">
        <v>0.54832739513599793</v>
      </c>
      <c r="M481">
        <f t="shared" si="22"/>
        <v>-1.4680336042678939</v>
      </c>
      <c r="N481">
        <f t="shared" si="23"/>
        <v>7</v>
      </c>
    </row>
    <row r="482" spans="1:14" x14ac:dyDescent="0.35">
      <c r="A482" t="str">
        <f t="shared" si="21"/>
        <v>18097341000_2024</v>
      </c>
      <c r="B482">
        <v>18097341000</v>
      </c>
      <c r="C482">
        <v>2024</v>
      </c>
      <c r="D482">
        <v>-1.0017186091134009</v>
      </c>
      <c r="E482">
        <v>8.9746676314476193E-2</v>
      </c>
      <c r="F482">
        <v>-1.3946980923380681</v>
      </c>
      <c r="G482">
        <v>-0.26902850454472438</v>
      </c>
      <c r="H482">
        <v>0.26502006711815063</v>
      </c>
      <c r="I482">
        <v>0.15749431790829529</v>
      </c>
      <c r="J482">
        <v>0.69489179937870504</v>
      </c>
      <c r="M482">
        <f t="shared" si="22"/>
        <v>-1.4582923452765657</v>
      </c>
      <c r="N482">
        <f t="shared" si="23"/>
        <v>7</v>
      </c>
    </row>
    <row r="483" spans="1:14" x14ac:dyDescent="0.35">
      <c r="A483" t="str">
        <f t="shared" si="21"/>
        <v>18097341000_2025</v>
      </c>
      <c r="B483">
        <v>18097341000</v>
      </c>
      <c r="C483">
        <v>2025</v>
      </c>
      <c r="D483">
        <v>-0.36382614438211991</v>
      </c>
      <c r="E483">
        <v>3.0841548883410869E-2</v>
      </c>
      <c r="F483">
        <v>-1.293985149265749</v>
      </c>
      <c r="G483">
        <v>-0.49360280621241448</v>
      </c>
      <c r="H483">
        <v>1.435453081282793</v>
      </c>
      <c r="I483">
        <v>0.25939496918792759</v>
      </c>
      <c r="J483">
        <v>0.71356377378978741</v>
      </c>
      <c r="M483">
        <f t="shared" si="22"/>
        <v>0.28783927328363579</v>
      </c>
      <c r="N483">
        <f t="shared" si="23"/>
        <v>7</v>
      </c>
    </row>
    <row r="484" spans="1:14" x14ac:dyDescent="0.35">
      <c r="A484" t="str">
        <f t="shared" si="21"/>
        <v>18097341000_2026</v>
      </c>
      <c r="B484">
        <v>18097341000</v>
      </c>
      <c r="C484">
        <v>2026</v>
      </c>
      <c r="D484">
        <v>-1.507248823090964</v>
      </c>
      <c r="E484">
        <v>0.11639170943932819</v>
      </c>
      <c r="F484">
        <v>-0.63762272396173669</v>
      </c>
      <c r="G484">
        <v>-0.52041014948189668</v>
      </c>
      <c r="H484">
        <v>-2.6249498571287391</v>
      </c>
      <c r="I484">
        <v>0.2673871158869861</v>
      </c>
      <c r="J484">
        <v>0.64388930345035722</v>
      </c>
      <c r="M484">
        <f t="shared" si="22"/>
        <v>-4.2625634248866646</v>
      </c>
      <c r="N484">
        <f t="shared" si="23"/>
        <v>7</v>
      </c>
    </row>
    <row r="485" spans="1:14" x14ac:dyDescent="0.35">
      <c r="A485" t="str">
        <f t="shared" si="21"/>
        <v>18097341000_2027</v>
      </c>
      <c r="B485">
        <v>18097341000</v>
      </c>
      <c r="C485">
        <v>2027</v>
      </c>
      <c r="D485">
        <v>-0.71158119504040362</v>
      </c>
      <c r="E485">
        <v>0.1249742440615689</v>
      </c>
      <c r="F485">
        <v>-0.22998953958270149</v>
      </c>
      <c r="G485">
        <v>-0.55781547534449094</v>
      </c>
      <c r="H485">
        <v>-0.21876790442238789</v>
      </c>
      <c r="I485">
        <v>0.28435993562770973</v>
      </c>
      <c r="J485">
        <v>0.60396741687514077</v>
      </c>
      <c r="M485">
        <f t="shared" si="22"/>
        <v>-0.70485251782556446</v>
      </c>
      <c r="N485">
        <f t="shared" si="23"/>
        <v>7</v>
      </c>
    </row>
    <row r="486" spans="1:14" x14ac:dyDescent="0.35">
      <c r="A486" t="str">
        <f t="shared" si="21"/>
        <v>18097341000_2028</v>
      </c>
      <c r="B486">
        <v>18097341000</v>
      </c>
      <c r="C486">
        <v>2028</v>
      </c>
      <c r="D486">
        <v>-1.430267320304949</v>
      </c>
      <c r="E486">
        <v>0.1948499039537607</v>
      </c>
      <c r="F486">
        <v>0.10852673397105519</v>
      </c>
      <c r="G486">
        <v>-0.53856852775429154</v>
      </c>
      <c r="H486">
        <v>0.57230127352420435</v>
      </c>
      <c r="I486">
        <v>0.28074541664060942</v>
      </c>
      <c r="J486">
        <v>0.58337143405006697</v>
      </c>
      <c r="M486">
        <f t="shared" si="22"/>
        <v>-0.22904108591954386</v>
      </c>
      <c r="N486">
        <f t="shared" si="23"/>
        <v>7</v>
      </c>
    </row>
    <row r="487" spans="1:14" x14ac:dyDescent="0.35">
      <c r="A487" t="str">
        <f t="shared" si="21"/>
        <v>18097341100_2024</v>
      </c>
      <c r="B487">
        <v>18097341100</v>
      </c>
      <c r="C487">
        <v>2024</v>
      </c>
      <c r="D487">
        <v>-0.71402902578359029</v>
      </c>
      <c r="E487">
        <v>0.37172814798325149</v>
      </c>
      <c r="F487">
        <v>0.29965201489258669</v>
      </c>
      <c r="G487">
        <v>5.4178889490943238E-2</v>
      </c>
      <c r="H487">
        <v>-0.35397923192085229</v>
      </c>
      <c r="I487">
        <v>-0.17612105393310401</v>
      </c>
      <c r="J487">
        <v>1.734938921487315</v>
      </c>
      <c r="K487">
        <v>9.4941196714912843E-2</v>
      </c>
      <c r="M487">
        <f t="shared" si="22"/>
        <v>1.3113098589314625</v>
      </c>
      <c r="N487">
        <f t="shared" si="23"/>
        <v>8</v>
      </c>
    </row>
    <row r="488" spans="1:14" x14ac:dyDescent="0.35">
      <c r="A488" t="str">
        <f t="shared" si="21"/>
        <v>18097341100_2025</v>
      </c>
      <c r="B488">
        <v>18097341100</v>
      </c>
      <c r="C488">
        <v>2025</v>
      </c>
      <c r="D488">
        <v>-0.59542446722052289</v>
      </c>
      <c r="E488">
        <v>0.38849844611800199</v>
      </c>
      <c r="F488">
        <v>-0.14377712485203911</v>
      </c>
      <c r="G488">
        <v>0.1161640231720252</v>
      </c>
      <c r="H488">
        <v>1.137104191857083</v>
      </c>
      <c r="I488">
        <v>-7.0151979093932698E-2</v>
      </c>
      <c r="J488">
        <v>2.0883625905844689</v>
      </c>
      <c r="K488">
        <v>-9.3876821778388658E-2</v>
      </c>
      <c r="M488">
        <f t="shared" si="22"/>
        <v>2.8268988587866959</v>
      </c>
      <c r="N488">
        <f t="shared" si="23"/>
        <v>8</v>
      </c>
    </row>
    <row r="489" spans="1:14" x14ac:dyDescent="0.35">
      <c r="A489" t="str">
        <f t="shared" si="21"/>
        <v>18097341100_2026</v>
      </c>
      <c r="B489">
        <v>18097341100</v>
      </c>
      <c r="C489">
        <v>2026</v>
      </c>
      <c r="D489">
        <v>-1.181210190635458</v>
      </c>
      <c r="E489">
        <v>0.47246290023137372</v>
      </c>
      <c r="F489">
        <v>-0.14028344102682219</v>
      </c>
      <c r="G489">
        <v>8.3615269250283467E-2</v>
      </c>
      <c r="H489">
        <v>-1.111560656239686</v>
      </c>
      <c r="I489">
        <v>-4.4036800708121118E-2</v>
      </c>
      <c r="J489">
        <v>2.0305463506008881</v>
      </c>
      <c r="K489">
        <v>-0.18463965621025749</v>
      </c>
      <c r="M489">
        <f t="shared" si="22"/>
        <v>-7.5106224737799626E-2</v>
      </c>
      <c r="N489">
        <f t="shared" si="23"/>
        <v>8</v>
      </c>
    </row>
    <row r="490" spans="1:14" x14ac:dyDescent="0.35">
      <c r="A490" t="str">
        <f t="shared" si="21"/>
        <v>18097341100_2027</v>
      </c>
      <c r="B490">
        <v>18097341100</v>
      </c>
      <c r="C490">
        <v>2027</v>
      </c>
      <c r="D490">
        <v>-0.75800796627938971</v>
      </c>
      <c r="E490">
        <v>0.45747470266826229</v>
      </c>
      <c r="F490">
        <v>-0.15789823338767869</v>
      </c>
      <c r="G490">
        <v>0.14467544832628651</v>
      </c>
      <c r="H490">
        <v>0.31789973501811097</v>
      </c>
      <c r="I490">
        <v>3.7399193862476039E-2</v>
      </c>
      <c r="J490">
        <v>1.974220204345855</v>
      </c>
      <c r="K490">
        <v>-0.14390340096389179</v>
      </c>
      <c r="M490">
        <f t="shared" si="22"/>
        <v>1.8718596835900305</v>
      </c>
      <c r="N490">
        <f t="shared" si="23"/>
        <v>8</v>
      </c>
    </row>
    <row r="491" spans="1:14" x14ac:dyDescent="0.35">
      <c r="A491" t="str">
        <f t="shared" si="21"/>
        <v>18097341100_2028</v>
      </c>
      <c r="B491">
        <v>18097341100</v>
      </c>
      <c r="C491">
        <v>2028</v>
      </c>
      <c r="D491">
        <v>-1.2582938696775969</v>
      </c>
      <c r="E491">
        <v>0.48320885038743677</v>
      </c>
      <c r="F491">
        <v>-0.1226669097215262</v>
      </c>
      <c r="G491">
        <v>0.1141315880798919</v>
      </c>
      <c r="H491">
        <v>-0.63345508279488416</v>
      </c>
      <c r="I491">
        <v>9.5035510055792721E-2</v>
      </c>
      <c r="J491">
        <v>1.941141774921374</v>
      </c>
      <c r="K491">
        <v>-0.13935193342718091</v>
      </c>
      <c r="M491">
        <f t="shared" si="22"/>
        <v>0.47974992782330705</v>
      </c>
      <c r="N491">
        <f t="shared" si="23"/>
        <v>8</v>
      </c>
    </row>
    <row r="492" spans="1:14" x14ac:dyDescent="0.35">
      <c r="A492" t="str">
        <f t="shared" si="21"/>
        <v>18097341200_2024</v>
      </c>
      <c r="B492">
        <v>18097341200</v>
      </c>
      <c r="C492">
        <v>2024</v>
      </c>
      <c r="D492">
        <v>-0.71402708634160306</v>
      </c>
      <c r="E492">
        <v>0.39424628467280209</v>
      </c>
      <c r="F492">
        <v>3.024430978874184E-2</v>
      </c>
      <c r="G492">
        <v>5.051516442507771E-2</v>
      </c>
      <c r="H492">
        <v>3.0618261761766491E-2</v>
      </c>
      <c r="I492">
        <v>-5.9491757317686993</v>
      </c>
      <c r="J492">
        <v>1.734938921487315</v>
      </c>
      <c r="K492">
        <v>9.4941196714912843E-2</v>
      </c>
      <c r="M492">
        <f t="shared" si="22"/>
        <v>-4.3276986792596865</v>
      </c>
      <c r="N492">
        <f t="shared" si="23"/>
        <v>8</v>
      </c>
    </row>
    <row r="493" spans="1:14" x14ac:dyDescent="0.35">
      <c r="A493" t="str">
        <f t="shared" si="21"/>
        <v>18097341200_2025</v>
      </c>
      <c r="B493">
        <v>18097341200</v>
      </c>
      <c r="C493">
        <v>2025</v>
      </c>
      <c r="D493">
        <v>-0.59542101179630302</v>
      </c>
      <c r="E493">
        <v>1.062598359498826</v>
      </c>
      <c r="F493">
        <v>0.1714193334836574</v>
      </c>
      <c r="G493">
        <v>0.74090749754866103</v>
      </c>
      <c r="H493">
        <v>-9.30441417127853E-2</v>
      </c>
      <c r="I493">
        <v>-0.80860414763773025</v>
      </c>
      <c r="J493">
        <v>2.0883625905844689</v>
      </c>
      <c r="K493">
        <v>-9.3876821778388658E-2</v>
      </c>
      <c r="M493">
        <f t="shared" si="22"/>
        <v>2.4723416581904059</v>
      </c>
      <c r="N493">
        <f t="shared" si="23"/>
        <v>8</v>
      </c>
    </row>
    <row r="494" spans="1:14" x14ac:dyDescent="0.35">
      <c r="A494" t="str">
        <f t="shared" si="21"/>
        <v>18097341200_2026</v>
      </c>
      <c r="B494">
        <v>18097341200</v>
      </c>
      <c r="C494">
        <v>2026</v>
      </c>
      <c r="D494">
        <v>-1.1812072721830811</v>
      </c>
      <c r="E494">
        <v>0.943931290482668</v>
      </c>
      <c r="F494">
        <v>0.17721958243547359</v>
      </c>
      <c r="G494">
        <v>0.74866526045169512</v>
      </c>
      <c r="H494">
        <v>-0.1001957627774754</v>
      </c>
      <c r="I494">
        <v>-0.79798376945015337</v>
      </c>
      <c r="J494">
        <v>2.0305463506008881</v>
      </c>
      <c r="K494">
        <v>-0.18463965621025749</v>
      </c>
      <c r="M494">
        <f t="shared" si="22"/>
        <v>1.6363360233497573</v>
      </c>
      <c r="N494">
        <f t="shared" si="23"/>
        <v>8</v>
      </c>
    </row>
    <row r="495" spans="1:14" x14ac:dyDescent="0.35">
      <c r="A495" t="str">
        <f t="shared" si="21"/>
        <v>18097341200_2027</v>
      </c>
      <c r="B495">
        <v>18097341200</v>
      </c>
      <c r="C495">
        <v>2027</v>
      </c>
      <c r="D495">
        <v>-0.75800401548452945</v>
      </c>
      <c r="E495">
        <v>0.93090641473468805</v>
      </c>
      <c r="F495">
        <v>0.20874054815574419</v>
      </c>
      <c r="G495">
        <v>0.93980694879409565</v>
      </c>
      <c r="H495">
        <v>-0.23710187668355809</v>
      </c>
      <c r="I495">
        <v>-0.62250445369528495</v>
      </c>
      <c r="J495">
        <v>1.974220204345855</v>
      </c>
      <c r="K495">
        <v>-0.14390340096389179</v>
      </c>
      <c r="M495">
        <f t="shared" si="22"/>
        <v>2.2921603692031187</v>
      </c>
      <c r="N495">
        <f t="shared" si="23"/>
        <v>8</v>
      </c>
    </row>
    <row r="496" spans="1:14" x14ac:dyDescent="0.35">
      <c r="A496" t="str">
        <f t="shared" si="21"/>
        <v>18097341200_2028</v>
      </c>
      <c r="B496">
        <v>18097341200</v>
      </c>
      <c r="C496">
        <v>2028</v>
      </c>
      <c r="D496">
        <v>-1.2582900393481371</v>
      </c>
      <c r="E496">
        <v>0.86024725503753097</v>
      </c>
      <c r="F496">
        <v>0.27791380518081288</v>
      </c>
      <c r="G496">
        <v>0.85605902001056089</v>
      </c>
      <c r="H496">
        <v>-0.29518886370984881</v>
      </c>
      <c r="I496">
        <v>-0.44945964520558102</v>
      </c>
      <c r="J496">
        <v>1.941141774921374</v>
      </c>
      <c r="K496">
        <v>-0.13935193342718091</v>
      </c>
      <c r="M496">
        <f t="shared" si="22"/>
        <v>1.7930713734595309</v>
      </c>
      <c r="N496">
        <f t="shared" si="23"/>
        <v>8</v>
      </c>
    </row>
    <row r="497" spans="1:14" x14ac:dyDescent="0.35">
      <c r="A497" t="str">
        <f t="shared" si="21"/>
        <v>18097341600_2024</v>
      </c>
      <c r="B497">
        <v>18097341600</v>
      </c>
      <c r="C497">
        <v>2024</v>
      </c>
      <c r="D497">
        <v>-0.71402683269882727</v>
      </c>
      <c r="E497">
        <v>1.680984368555533</v>
      </c>
      <c r="F497">
        <v>4.1725994509733209E-2</v>
      </c>
      <c r="G497">
        <v>5.8885151039359202E-3</v>
      </c>
      <c r="H497">
        <v>0.18500575831604019</v>
      </c>
      <c r="I497">
        <v>0.62295807244268742</v>
      </c>
      <c r="J497">
        <v>1.734938921487315</v>
      </c>
      <c r="K497">
        <v>9.4941196714912843E-2</v>
      </c>
      <c r="M497">
        <f t="shared" si="22"/>
        <v>3.6524159944313301</v>
      </c>
      <c r="N497">
        <f t="shared" si="23"/>
        <v>8</v>
      </c>
    </row>
    <row r="498" spans="1:14" x14ac:dyDescent="0.35">
      <c r="A498" t="str">
        <f t="shared" si="21"/>
        <v>18097341600_2025</v>
      </c>
      <c r="B498">
        <v>18097341600</v>
      </c>
      <c r="C498">
        <v>2025</v>
      </c>
      <c r="D498">
        <v>-0.59542148606969381</v>
      </c>
      <c r="E498">
        <v>1.810887520354576</v>
      </c>
      <c r="F498">
        <v>6.9381626228868676E-2</v>
      </c>
      <c r="G498">
        <v>-1.354085194638976</v>
      </c>
      <c r="H498">
        <v>0.47798661962844058</v>
      </c>
      <c r="I498">
        <v>0.53578185201326201</v>
      </c>
      <c r="J498">
        <v>2.0883625905844689</v>
      </c>
      <c r="K498">
        <v>-9.3876821778388658E-2</v>
      </c>
      <c r="M498">
        <f t="shared" si="22"/>
        <v>2.9390167063225578</v>
      </c>
      <c r="N498">
        <f t="shared" si="23"/>
        <v>8</v>
      </c>
    </row>
    <row r="499" spans="1:14" x14ac:dyDescent="0.35">
      <c r="A499" t="str">
        <f t="shared" si="21"/>
        <v>18097341600_2026</v>
      </c>
      <c r="B499">
        <v>18097341600</v>
      </c>
      <c r="C499">
        <v>2026</v>
      </c>
      <c r="D499">
        <v>-1.1812069836693171</v>
      </c>
      <c r="E499">
        <v>1.394061714497995</v>
      </c>
      <c r="F499">
        <v>0.28541491133064911</v>
      </c>
      <c r="G499">
        <v>-0.86778265933734722</v>
      </c>
      <c r="H499">
        <v>0.53458302252028433</v>
      </c>
      <c r="I499">
        <v>0.58835142113208327</v>
      </c>
      <c r="J499">
        <v>2.0305463506008881</v>
      </c>
      <c r="K499">
        <v>-0.18463965621025749</v>
      </c>
      <c r="M499">
        <f t="shared" si="22"/>
        <v>2.5993281208649779</v>
      </c>
      <c r="N499">
        <f t="shared" si="23"/>
        <v>8</v>
      </c>
    </row>
    <row r="500" spans="1:14" x14ac:dyDescent="0.35">
      <c r="A500" t="str">
        <f t="shared" si="21"/>
        <v>18097341600_2027</v>
      </c>
      <c r="B500">
        <v>18097341600</v>
      </c>
      <c r="C500">
        <v>2027</v>
      </c>
      <c r="D500">
        <v>-0.75800432070062751</v>
      </c>
      <c r="E500">
        <v>1.021042681413693</v>
      </c>
      <c r="F500">
        <v>0.26469073606626942</v>
      </c>
      <c r="G500">
        <v>-1.148387814175486</v>
      </c>
      <c r="H500">
        <v>0.38685841399068682</v>
      </c>
      <c r="I500">
        <v>0.52645224934734669</v>
      </c>
      <c r="J500">
        <v>1.974220204345855</v>
      </c>
      <c r="K500">
        <v>-0.14390340096389179</v>
      </c>
      <c r="M500">
        <f t="shared" si="22"/>
        <v>2.1229687493238458</v>
      </c>
      <c r="N500">
        <f t="shared" si="23"/>
        <v>8</v>
      </c>
    </row>
    <row r="501" spans="1:14" x14ac:dyDescent="0.35">
      <c r="A501" t="str">
        <f t="shared" si="21"/>
        <v>18097341600_2028</v>
      </c>
      <c r="B501">
        <v>18097341600</v>
      </c>
      <c r="C501">
        <v>2028</v>
      </c>
      <c r="D501">
        <v>-1.2582899906281291</v>
      </c>
      <c r="E501">
        <v>0.80653354248099751</v>
      </c>
      <c r="F501">
        <v>0.36014100150883999</v>
      </c>
      <c r="G501">
        <v>-1.0307068507477879</v>
      </c>
      <c r="H501">
        <v>0.2455303340017069</v>
      </c>
      <c r="I501">
        <v>0.45902883863709631</v>
      </c>
      <c r="J501">
        <v>1.941141774921374</v>
      </c>
      <c r="K501">
        <v>-0.13935193342718091</v>
      </c>
      <c r="M501">
        <f t="shared" si="22"/>
        <v>1.3840267167469169</v>
      </c>
      <c r="N501">
        <f t="shared" si="23"/>
        <v>8</v>
      </c>
    </row>
    <row r="502" spans="1:14" x14ac:dyDescent="0.35">
      <c r="A502" t="str">
        <f t="shared" si="21"/>
        <v>18097341701_2024</v>
      </c>
      <c r="B502">
        <v>18097341701</v>
      </c>
      <c r="C502">
        <v>2024</v>
      </c>
      <c r="D502">
        <v>-0.71402811150743939</v>
      </c>
      <c r="F502">
        <v>-0.64602826658591739</v>
      </c>
      <c r="G502">
        <v>0.31518675170926091</v>
      </c>
      <c r="H502">
        <v>-0.29007237156744192</v>
      </c>
      <c r="I502">
        <v>3.1706715502701841</v>
      </c>
      <c r="J502">
        <v>1.734938921487315</v>
      </c>
      <c r="K502">
        <v>9.4941196714912843E-2</v>
      </c>
      <c r="M502">
        <f t="shared" si="22"/>
        <v>3.6656096705208738</v>
      </c>
      <c r="N502">
        <f t="shared" si="23"/>
        <v>7</v>
      </c>
    </row>
    <row r="503" spans="1:14" x14ac:dyDescent="0.35">
      <c r="A503" t="str">
        <f t="shared" si="21"/>
        <v>18097341701_2025</v>
      </c>
      <c r="B503">
        <v>18097341701</v>
      </c>
      <c r="C503">
        <v>2025</v>
      </c>
      <c r="D503">
        <v>-0.59541908629829832</v>
      </c>
      <c r="F503">
        <v>-1.990046356074535</v>
      </c>
      <c r="G503">
        <v>4.2872660518324999</v>
      </c>
      <c r="H503">
        <v>0.29551151833612288</v>
      </c>
      <c r="I503">
        <v>-2.7199997190333982</v>
      </c>
      <c r="J503">
        <v>2.0883625905844689</v>
      </c>
      <c r="K503">
        <v>-9.3876821778388658E-2</v>
      </c>
      <c r="M503">
        <f t="shared" si="22"/>
        <v>1.2717981775684715</v>
      </c>
      <c r="N503">
        <f t="shared" si="23"/>
        <v>7</v>
      </c>
    </row>
    <row r="504" spans="1:14" x14ac:dyDescent="0.35">
      <c r="A504" t="str">
        <f t="shared" si="21"/>
        <v>18097341701_2026</v>
      </c>
      <c r="B504">
        <v>18097341701</v>
      </c>
      <c r="C504">
        <v>2026</v>
      </c>
      <c r="D504">
        <v>-1.1812084374223619</v>
      </c>
      <c r="F504">
        <v>-2.0610134866087382</v>
      </c>
      <c r="G504">
        <v>1.041156834806052</v>
      </c>
      <c r="H504">
        <v>-1.1011223707221729</v>
      </c>
      <c r="I504">
        <v>3.4734221067932518</v>
      </c>
      <c r="J504">
        <v>2.0305463506008881</v>
      </c>
      <c r="K504">
        <v>-0.18463965621025749</v>
      </c>
      <c r="M504">
        <f t="shared" si="22"/>
        <v>2.0171413412366608</v>
      </c>
      <c r="N504">
        <f t="shared" si="23"/>
        <v>7</v>
      </c>
    </row>
    <row r="505" spans="1:14" x14ac:dyDescent="0.35">
      <c r="A505" t="str">
        <f t="shared" si="21"/>
        <v>18097341701_2027</v>
      </c>
      <c r="B505">
        <v>18097341701</v>
      </c>
      <c r="C505">
        <v>2027</v>
      </c>
      <c r="D505">
        <v>-0.7580027742458133</v>
      </c>
      <c r="F505">
        <v>-2.4067227369480011</v>
      </c>
      <c r="G505">
        <v>4.6698754446132531</v>
      </c>
      <c r="H505">
        <v>-0.20587671392204879</v>
      </c>
      <c r="I505">
        <v>-1.7973754640703259</v>
      </c>
      <c r="J505">
        <v>1.974220204345855</v>
      </c>
      <c r="K505">
        <v>-0.14390340096389179</v>
      </c>
      <c r="M505">
        <f t="shared" si="22"/>
        <v>1.3322145588090275</v>
      </c>
      <c r="N505">
        <f t="shared" si="23"/>
        <v>7</v>
      </c>
    </row>
    <row r="506" spans="1:14" x14ac:dyDescent="0.35">
      <c r="A506" t="str">
        <f t="shared" si="21"/>
        <v>18097341701_2028</v>
      </c>
      <c r="B506">
        <v>18097341701</v>
      </c>
      <c r="C506">
        <v>2028</v>
      </c>
      <c r="D506">
        <v>-1.2582902320645271</v>
      </c>
      <c r="F506">
        <v>-2.5501965631373138</v>
      </c>
      <c r="G506">
        <v>1.26025120613387</v>
      </c>
      <c r="H506">
        <v>-0.71604100963846518</v>
      </c>
      <c r="I506">
        <v>2.0498101858546258</v>
      </c>
      <c r="J506">
        <v>1.941141774921374</v>
      </c>
      <c r="K506">
        <v>-0.13935193342718091</v>
      </c>
      <c r="M506">
        <f t="shared" si="22"/>
        <v>0.58732342864238318</v>
      </c>
      <c r="N506">
        <f t="shared" si="23"/>
        <v>7</v>
      </c>
    </row>
    <row r="507" spans="1:14" x14ac:dyDescent="0.35">
      <c r="A507" t="str">
        <f t="shared" si="21"/>
        <v>18097341702_2024</v>
      </c>
      <c r="B507">
        <v>18097341702</v>
      </c>
      <c r="C507">
        <v>2024</v>
      </c>
      <c r="D507">
        <v>-0.65827258008317935</v>
      </c>
      <c r="E507">
        <v>-1.281689653021671</v>
      </c>
      <c r="F507">
        <v>-0.15858283918048741</v>
      </c>
      <c r="I507">
        <v>-0.46850435608861418</v>
      </c>
      <c r="J507">
        <v>1.1272542132703971</v>
      </c>
      <c r="K507">
        <v>1.40354419842183</v>
      </c>
      <c r="M507">
        <f t="shared" si="22"/>
        <v>-3.6251016681725146E-2</v>
      </c>
      <c r="N507">
        <f t="shared" si="23"/>
        <v>6</v>
      </c>
    </row>
    <row r="508" spans="1:14" x14ac:dyDescent="0.35">
      <c r="A508" t="str">
        <f t="shared" si="21"/>
        <v>18097341702_2025</v>
      </c>
      <c r="B508">
        <v>18097341702</v>
      </c>
      <c r="C508">
        <v>2025</v>
      </c>
      <c r="D508">
        <v>-0.60352619598702306</v>
      </c>
      <c r="E508">
        <v>-1.8684108188880779</v>
      </c>
      <c r="F508">
        <v>-1.1127867750491871</v>
      </c>
      <c r="I508">
        <v>-1.057224990653888</v>
      </c>
      <c r="J508">
        <v>1.1840601075040611</v>
      </c>
      <c r="K508">
        <v>4.183917555134073</v>
      </c>
      <c r="M508">
        <f t="shared" si="22"/>
        <v>0.72602888205995875</v>
      </c>
      <c r="N508">
        <f t="shared" si="23"/>
        <v>6</v>
      </c>
    </row>
    <row r="509" spans="1:14" x14ac:dyDescent="0.35">
      <c r="A509" t="str">
        <f t="shared" si="21"/>
        <v>18097341702_2026</v>
      </c>
      <c r="B509">
        <v>18097341702</v>
      </c>
      <c r="C509">
        <v>2026</v>
      </c>
      <c r="D509">
        <v>-1.0816498730859789</v>
      </c>
      <c r="E509">
        <v>-3.2178329703631969</v>
      </c>
      <c r="F509">
        <v>-0.77384880029275049</v>
      </c>
      <c r="I509">
        <v>-0.72618071328202216</v>
      </c>
      <c r="J509">
        <v>1.0993778635361751</v>
      </c>
      <c r="K509">
        <v>3.9145598057764071</v>
      </c>
      <c r="M509">
        <f t="shared" si="22"/>
        <v>-0.78557468771136651</v>
      </c>
      <c r="N509">
        <f t="shared" si="23"/>
        <v>6</v>
      </c>
    </row>
    <row r="510" spans="1:14" x14ac:dyDescent="0.35">
      <c r="A510" t="str">
        <f t="shared" si="21"/>
        <v>18097341702_2027</v>
      </c>
      <c r="B510">
        <v>18097341702</v>
      </c>
      <c r="C510">
        <v>2027</v>
      </c>
      <c r="D510">
        <v>-0.73903378633703498</v>
      </c>
      <c r="E510">
        <v>-2.8205526691906528</v>
      </c>
      <c r="F510">
        <v>-1.0367638391120799</v>
      </c>
      <c r="I510">
        <v>-0.73098385459128523</v>
      </c>
      <c r="J510">
        <v>1.0510628938252651</v>
      </c>
      <c r="K510">
        <v>3.8784230691267099</v>
      </c>
      <c r="M510">
        <f t="shared" si="22"/>
        <v>-0.3978481862790777</v>
      </c>
      <c r="N510">
        <f t="shared" si="23"/>
        <v>6</v>
      </c>
    </row>
    <row r="511" spans="1:14" x14ac:dyDescent="0.35">
      <c r="A511" t="str">
        <f t="shared" si="21"/>
        <v>18097341702_2028</v>
      </c>
      <c r="B511">
        <v>18097341702</v>
      </c>
      <c r="C511">
        <v>2028</v>
      </c>
      <c r="D511">
        <v>-1.1787877036892309</v>
      </c>
      <c r="E511">
        <v>-3.866627945399038</v>
      </c>
      <c r="F511">
        <v>-1.030693601343438</v>
      </c>
      <c r="I511">
        <v>-0.45999571248671017</v>
      </c>
      <c r="J511">
        <v>1.0259682624540589</v>
      </c>
      <c r="K511">
        <v>3.8237166081813769</v>
      </c>
      <c r="M511">
        <f t="shared" si="22"/>
        <v>-1.68642009228298</v>
      </c>
      <c r="N511">
        <f t="shared" si="23"/>
        <v>6</v>
      </c>
    </row>
    <row r="512" spans="1:14" x14ac:dyDescent="0.35">
      <c r="A512" t="str">
        <f t="shared" si="21"/>
        <v>18097341902_2024</v>
      </c>
      <c r="B512">
        <v>18097341902</v>
      </c>
      <c r="C512">
        <v>2024</v>
      </c>
      <c r="D512">
        <v>-0.19608892002248179</v>
      </c>
      <c r="E512">
        <v>5.7188727108141608E-2</v>
      </c>
      <c r="F512">
        <v>-0.65759324145239151</v>
      </c>
      <c r="G512">
        <v>-0.30621468041069549</v>
      </c>
      <c r="I512">
        <v>-0.46475697591525128</v>
      </c>
      <c r="J512">
        <v>0.1926427224453803</v>
      </c>
      <c r="M512">
        <f t="shared" si="22"/>
        <v>-1.374822368247298</v>
      </c>
      <c r="N512">
        <f t="shared" si="23"/>
        <v>6</v>
      </c>
    </row>
    <row r="513" spans="1:14" x14ac:dyDescent="0.35">
      <c r="A513" t="str">
        <f t="shared" si="21"/>
        <v>18097341902_2025</v>
      </c>
      <c r="B513">
        <v>18097341902</v>
      </c>
      <c r="C513">
        <v>2025</v>
      </c>
      <c r="D513">
        <v>0.46216444841458088</v>
      </c>
      <c r="E513">
        <v>-1.37498389783332</v>
      </c>
      <c r="F513">
        <v>1.184120554232337</v>
      </c>
      <c r="G513">
        <v>-0.63750679968973589</v>
      </c>
      <c r="I513">
        <v>-0.65604207282187477</v>
      </c>
      <c r="J513">
        <v>-5.4703278314571148E-2</v>
      </c>
      <c r="M513">
        <f t="shared" si="22"/>
        <v>-1.076951046012584</v>
      </c>
      <c r="N513">
        <f t="shared" si="23"/>
        <v>6</v>
      </c>
    </row>
    <row r="514" spans="1:14" x14ac:dyDescent="0.35">
      <c r="A514" t="str">
        <f t="shared" si="21"/>
        <v>18097341902_2026</v>
      </c>
      <c r="B514">
        <v>18097341902</v>
      </c>
      <c r="C514">
        <v>2026</v>
      </c>
      <c r="D514">
        <v>-0.120983824943146</v>
      </c>
      <c r="E514">
        <v>-0.67298710754774216</v>
      </c>
      <c r="F514">
        <v>1.1183329737894629</v>
      </c>
      <c r="G514">
        <v>-0.65258976863147022</v>
      </c>
      <c r="I514">
        <v>-0.54394788462401311</v>
      </c>
      <c r="J514">
        <v>-0.14929193881761069</v>
      </c>
      <c r="M514">
        <f t="shared" si="22"/>
        <v>-1.0214675507745192</v>
      </c>
      <c r="N514">
        <f t="shared" si="23"/>
        <v>6</v>
      </c>
    </row>
    <row r="515" spans="1:14" x14ac:dyDescent="0.35">
      <c r="A515" t="str">
        <f t="shared" ref="A515:A578" si="24">TEXT(B515,0)&amp;"_"&amp;TEXT(C515,0)</f>
        <v>18097341902_2027</v>
      </c>
      <c r="B515">
        <v>18097341902</v>
      </c>
      <c r="C515">
        <v>2027</v>
      </c>
      <c r="D515">
        <v>0.42562674618080498</v>
      </c>
      <c r="E515">
        <v>-1.126113169551672</v>
      </c>
      <c r="F515">
        <v>1.2408223325428049</v>
      </c>
      <c r="G515">
        <v>-0.71330115582403131</v>
      </c>
      <c r="I515">
        <v>-0.43279984500408453</v>
      </c>
      <c r="J515">
        <v>-0.1825865697951328</v>
      </c>
      <c r="M515">
        <f t="shared" ref="M515:M578" si="25">SUM(D515:K515)</f>
        <v>-0.78835166145131064</v>
      </c>
      <c r="N515">
        <f t="shared" ref="N515:N578" si="26">IF(D515=0,0,1)+IF(E515=0,0,1)+IF(F515=0,0,1)+IF(G515=0,0,1)+IF(H515=0,0,1)+IF(I515=0,0,1)++IF(J515=0,0,1)++IF(K515=0,0,1)</f>
        <v>6</v>
      </c>
    </row>
    <row r="516" spans="1:14" x14ac:dyDescent="0.35">
      <c r="A516" t="str">
        <f t="shared" si="24"/>
        <v>18097341902_2028</v>
      </c>
      <c r="B516">
        <v>18097341902</v>
      </c>
      <c r="C516">
        <v>2028</v>
      </c>
      <c r="D516">
        <v>4.9316249012110978E-2</v>
      </c>
      <c r="E516">
        <v>-0.7595804671775358</v>
      </c>
      <c r="F516">
        <v>1.3947425244651921</v>
      </c>
      <c r="G516">
        <v>-0.68274370710548637</v>
      </c>
      <c r="I516">
        <v>-0.26769379184053582</v>
      </c>
      <c r="J516">
        <v>-0.19641635312171529</v>
      </c>
      <c r="M516">
        <f t="shared" si="25"/>
        <v>-0.46237554576797024</v>
      </c>
      <c r="N516">
        <f t="shared" si="26"/>
        <v>6</v>
      </c>
    </row>
    <row r="517" spans="1:14" x14ac:dyDescent="0.35">
      <c r="A517" t="str">
        <f t="shared" si="24"/>
        <v>18097341903_2024</v>
      </c>
      <c r="B517">
        <v>18097341903</v>
      </c>
      <c r="C517">
        <v>2024</v>
      </c>
      <c r="D517">
        <v>-0.92671101656685717</v>
      </c>
      <c r="E517">
        <v>4.6481116164561909E-2</v>
      </c>
      <c r="F517">
        <v>1.316452539181554</v>
      </c>
      <c r="G517">
        <v>-0.26604003572972329</v>
      </c>
      <c r="H517">
        <v>-0.20852065693055569</v>
      </c>
      <c r="I517">
        <v>-0.49449330126461488</v>
      </c>
      <c r="J517">
        <v>0.69068083436050265</v>
      </c>
      <c r="M517">
        <f t="shared" si="25"/>
        <v>0.15784947921486747</v>
      </c>
      <c r="N517">
        <f t="shared" si="26"/>
        <v>7</v>
      </c>
    </row>
    <row r="518" spans="1:14" x14ac:dyDescent="0.35">
      <c r="A518" t="str">
        <f t="shared" si="24"/>
        <v>18097341903_2025</v>
      </c>
      <c r="B518">
        <v>18097341903</v>
      </c>
      <c r="C518">
        <v>2025</v>
      </c>
      <c r="D518">
        <v>-0.4120781122468381</v>
      </c>
      <c r="E518">
        <v>0.37407579980195138</v>
      </c>
      <c r="F518">
        <v>-0.41617481207138152</v>
      </c>
      <c r="G518">
        <v>0.45550273195888441</v>
      </c>
      <c r="H518">
        <v>-1.148365822531993</v>
      </c>
      <c r="I518">
        <v>-0.66696783291933237</v>
      </c>
      <c r="J518">
        <v>0.68952728837880861</v>
      </c>
      <c r="M518">
        <f t="shared" si="25"/>
        <v>-1.1244807596299007</v>
      </c>
      <c r="N518">
        <f t="shared" si="26"/>
        <v>7</v>
      </c>
    </row>
    <row r="519" spans="1:14" x14ac:dyDescent="0.35">
      <c r="A519" t="str">
        <f t="shared" si="24"/>
        <v>18097341903_2026</v>
      </c>
      <c r="B519">
        <v>18097341903</v>
      </c>
      <c r="C519">
        <v>2026</v>
      </c>
      <c r="D519">
        <v>-1.434469030849723</v>
      </c>
      <c r="E519">
        <v>0.1862194823934466</v>
      </c>
      <c r="F519">
        <v>-0.22739995981870861</v>
      </c>
      <c r="G519">
        <v>-0.3785791407062945</v>
      </c>
      <c r="H519">
        <v>-0.81079623236152853</v>
      </c>
      <c r="I519">
        <v>-0.69233416580727247</v>
      </c>
      <c r="J519">
        <v>0.61554089339603579</v>
      </c>
      <c r="M519">
        <f t="shared" si="25"/>
        <v>-2.7418181537540445</v>
      </c>
      <c r="N519">
        <f t="shared" si="26"/>
        <v>7</v>
      </c>
    </row>
    <row r="520" spans="1:14" x14ac:dyDescent="0.35">
      <c r="A520" t="str">
        <f t="shared" si="24"/>
        <v>18097341903_2027</v>
      </c>
      <c r="B520">
        <v>18097341903</v>
      </c>
      <c r="C520">
        <v>2027</v>
      </c>
      <c r="D520">
        <v>-0.71012444688361909</v>
      </c>
      <c r="E520">
        <v>0.34500497267061669</v>
      </c>
      <c r="F520">
        <v>-0.3995600788180006</v>
      </c>
      <c r="G520">
        <v>0.3565099457508441</v>
      </c>
      <c r="H520">
        <v>-0.79040922202561936</v>
      </c>
      <c r="I520">
        <v>-0.54041479330132403</v>
      </c>
      <c r="J520">
        <v>0.57519044412151665</v>
      </c>
      <c r="M520">
        <f t="shared" si="25"/>
        <v>-1.1638031784855856</v>
      </c>
      <c r="N520">
        <f t="shared" si="26"/>
        <v>7</v>
      </c>
    </row>
    <row r="521" spans="1:14" x14ac:dyDescent="0.35">
      <c r="A521" t="str">
        <f t="shared" si="24"/>
        <v>18097341903_2028</v>
      </c>
      <c r="B521">
        <v>18097341903</v>
      </c>
      <c r="C521">
        <v>2028</v>
      </c>
      <c r="D521">
        <v>-1.3905506269192329</v>
      </c>
      <c r="E521">
        <v>0.30772473526187788</v>
      </c>
      <c r="F521">
        <v>-0.29435131565650619</v>
      </c>
      <c r="G521">
        <v>-0.27165378502201309</v>
      </c>
      <c r="H521">
        <v>-0.6642118395166825</v>
      </c>
      <c r="I521">
        <v>-0.38232168004639538</v>
      </c>
      <c r="J521">
        <v>0.55473014231710061</v>
      </c>
      <c r="M521">
        <f t="shared" si="25"/>
        <v>-2.1406343695818517</v>
      </c>
      <c r="N521">
        <f t="shared" si="26"/>
        <v>7</v>
      </c>
    </row>
    <row r="522" spans="1:14" x14ac:dyDescent="0.35">
      <c r="A522" t="str">
        <f t="shared" si="24"/>
        <v>18097341904_2024</v>
      </c>
      <c r="B522">
        <v>18097341904</v>
      </c>
      <c r="C522">
        <v>2024</v>
      </c>
      <c r="D522">
        <v>-1.04135554914165</v>
      </c>
      <c r="E522">
        <v>0.49566679107314032</v>
      </c>
      <c r="F522">
        <v>0.41543952794795302</v>
      </c>
      <c r="G522">
        <v>2.0254716036266882</v>
      </c>
      <c r="H522">
        <v>-0.20881201283286441</v>
      </c>
      <c r="I522">
        <v>1.0249945783647101</v>
      </c>
      <c r="J522">
        <v>0.66941703931714691</v>
      </c>
      <c r="M522">
        <f t="shared" si="25"/>
        <v>3.3808219783551241</v>
      </c>
      <c r="N522">
        <f t="shared" si="26"/>
        <v>7</v>
      </c>
    </row>
    <row r="523" spans="1:14" x14ac:dyDescent="0.35">
      <c r="A523" t="str">
        <f t="shared" si="24"/>
        <v>18097341904_2025</v>
      </c>
      <c r="B523">
        <v>18097341904</v>
      </c>
      <c r="C523">
        <v>2025</v>
      </c>
      <c r="D523">
        <v>-0.34715138548288821</v>
      </c>
      <c r="E523">
        <v>-4.37174650542883E-3</v>
      </c>
      <c r="F523">
        <v>-0.23948504352599809</v>
      </c>
      <c r="G523">
        <v>4.6143774390915411</v>
      </c>
      <c r="H523">
        <v>-0.95436914927341843</v>
      </c>
      <c r="I523">
        <v>0.37165923621839347</v>
      </c>
      <c r="J523">
        <v>0.67836542523246579</v>
      </c>
      <c r="M523">
        <f t="shared" si="25"/>
        <v>4.1190247757546672</v>
      </c>
      <c r="N523">
        <f t="shared" si="26"/>
        <v>7</v>
      </c>
    </row>
    <row r="524" spans="1:14" x14ac:dyDescent="0.35">
      <c r="A524" t="str">
        <f t="shared" si="24"/>
        <v>18097341904_2026</v>
      </c>
      <c r="B524">
        <v>18097341904</v>
      </c>
      <c r="C524">
        <v>2026</v>
      </c>
      <c r="D524">
        <v>-1.546667176123355</v>
      </c>
      <c r="E524">
        <v>0.25849232048920828</v>
      </c>
      <c r="F524">
        <v>-0.20801915064892701</v>
      </c>
      <c r="G524">
        <v>3.766971607813931</v>
      </c>
      <c r="H524">
        <v>-0.4933842956283267</v>
      </c>
      <c r="I524">
        <v>0.77883354006171812</v>
      </c>
      <c r="J524">
        <v>0.6081443103926617</v>
      </c>
      <c r="M524">
        <f t="shared" si="25"/>
        <v>3.1643711563569101</v>
      </c>
      <c r="N524">
        <f t="shared" si="26"/>
        <v>7</v>
      </c>
    </row>
    <row r="525" spans="1:14" x14ac:dyDescent="0.35">
      <c r="A525" t="str">
        <f t="shared" si="24"/>
        <v>18097341904_2027</v>
      </c>
      <c r="B525">
        <v>18097341904</v>
      </c>
      <c r="C525">
        <v>2027</v>
      </c>
      <c r="D525">
        <v>-0.72024342011417553</v>
      </c>
      <c r="E525">
        <v>0.21488077025111271</v>
      </c>
      <c r="F525">
        <v>-0.24143764007569279</v>
      </c>
      <c r="G525">
        <v>3.8810763050091239</v>
      </c>
      <c r="H525">
        <v>-0.43589716335771672</v>
      </c>
      <c r="I525">
        <v>0.53086011928746291</v>
      </c>
      <c r="J525">
        <v>0.56860687377968511</v>
      </c>
      <c r="M525">
        <f t="shared" si="25"/>
        <v>3.7978458447797996</v>
      </c>
      <c r="N525">
        <f t="shared" si="26"/>
        <v>7</v>
      </c>
    </row>
    <row r="526" spans="1:14" x14ac:dyDescent="0.35">
      <c r="A526" t="str">
        <f t="shared" si="24"/>
        <v>18097341904_2028</v>
      </c>
      <c r="B526">
        <v>18097341904</v>
      </c>
      <c r="C526">
        <v>2028</v>
      </c>
      <c r="D526">
        <v>-1.455895444930595</v>
      </c>
      <c r="E526">
        <v>0.28374119114126611</v>
      </c>
      <c r="F526">
        <v>-0.21305601669098209</v>
      </c>
      <c r="G526">
        <v>3.189464146631062</v>
      </c>
      <c r="H526">
        <v>-0.3735476885425929</v>
      </c>
      <c r="I526">
        <v>0.51248329972774409</v>
      </c>
      <c r="J526">
        <v>0.54832739513599793</v>
      </c>
      <c r="M526">
        <f t="shared" si="25"/>
        <v>2.4915168824718998</v>
      </c>
      <c r="N526">
        <f t="shared" si="26"/>
        <v>7</v>
      </c>
    </row>
    <row r="527" spans="1:14" x14ac:dyDescent="0.35">
      <c r="A527" t="str">
        <f t="shared" si="24"/>
        <v>18097342000_2024</v>
      </c>
      <c r="B527">
        <v>18097342000</v>
      </c>
      <c r="C527">
        <v>2024</v>
      </c>
      <c r="D527">
        <v>0.989403347350434</v>
      </c>
      <c r="E527">
        <v>-0.97311065115404816</v>
      </c>
      <c r="F527">
        <v>-0.93705590466190636</v>
      </c>
      <c r="G527">
        <v>-0.30616991131575111</v>
      </c>
      <c r="H527">
        <v>6.2369701489229823E-2</v>
      </c>
      <c r="I527">
        <v>0.47479591309307662</v>
      </c>
      <c r="J527">
        <v>-0.5079828665950582</v>
      </c>
      <c r="M527">
        <f t="shared" si="25"/>
        <v>-1.1977503717940232</v>
      </c>
      <c r="N527">
        <f t="shared" si="26"/>
        <v>7</v>
      </c>
    </row>
    <row r="528" spans="1:14" x14ac:dyDescent="0.35">
      <c r="A528" t="str">
        <f t="shared" si="24"/>
        <v>18097342000_2025</v>
      </c>
      <c r="B528">
        <v>18097342000</v>
      </c>
      <c r="C528">
        <v>2025</v>
      </c>
      <c r="D528">
        <v>-1.280130150380554</v>
      </c>
      <c r="E528">
        <v>-2.4928163619251191</v>
      </c>
      <c r="F528">
        <v>-0.30985783559951602</v>
      </c>
      <c r="G528">
        <v>-0.70400406142801863</v>
      </c>
      <c r="H528">
        <v>-0.53658966503523053</v>
      </c>
      <c r="I528">
        <v>9.3648514565064858E-2</v>
      </c>
      <c r="J528">
        <v>-0.49252179446839328</v>
      </c>
      <c r="M528">
        <f t="shared" si="25"/>
        <v>-5.7222713542717667</v>
      </c>
      <c r="N528">
        <f t="shared" si="26"/>
        <v>7</v>
      </c>
    </row>
    <row r="529" spans="1:14" x14ac:dyDescent="0.35">
      <c r="A529" t="str">
        <f t="shared" si="24"/>
        <v>18097342000_2026</v>
      </c>
      <c r="B529">
        <v>18097342000</v>
      </c>
      <c r="C529">
        <v>2026</v>
      </c>
      <c r="D529">
        <v>0.73506247913536793</v>
      </c>
      <c r="E529">
        <v>-3.0177834193124209</v>
      </c>
      <c r="F529">
        <v>-0.40908865912943088</v>
      </c>
      <c r="G529">
        <v>-0.71096682336151595</v>
      </c>
      <c r="H529">
        <v>-0.35930075996642558</v>
      </c>
      <c r="I529">
        <v>0.29648877086078917</v>
      </c>
      <c r="J529">
        <v>-0.51671970348387963</v>
      </c>
      <c r="M529">
        <f t="shared" si="25"/>
        <v>-3.9823081152575157</v>
      </c>
      <c r="N529">
        <f t="shared" si="26"/>
        <v>7</v>
      </c>
    </row>
    <row r="530" spans="1:14" x14ac:dyDescent="0.35">
      <c r="A530" t="str">
        <f t="shared" si="24"/>
        <v>18097342000_2027</v>
      </c>
      <c r="B530">
        <v>18097342000</v>
      </c>
      <c r="C530">
        <v>2027</v>
      </c>
      <c r="D530">
        <v>-0.79048052038933225</v>
      </c>
      <c r="E530">
        <v>-3.5628353211607799</v>
      </c>
      <c r="F530">
        <v>-0.48970409514105989</v>
      </c>
      <c r="G530">
        <v>-0.78161950349166343</v>
      </c>
      <c r="H530">
        <v>-0.48544278528032142</v>
      </c>
      <c r="I530">
        <v>0.26513635370592481</v>
      </c>
      <c r="J530">
        <v>-0.53261244988574719</v>
      </c>
      <c r="M530">
        <f t="shared" si="25"/>
        <v>-6.3775583216429794</v>
      </c>
      <c r="N530">
        <f t="shared" si="26"/>
        <v>7</v>
      </c>
    </row>
    <row r="531" spans="1:14" x14ac:dyDescent="0.35">
      <c r="A531" t="str">
        <f t="shared" si="24"/>
        <v>18097342000_2028</v>
      </c>
      <c r="B531">
        <v>18097342000</v>
      </c>
      <c r="C531">
        <v>2028</v>
      </c>
      <c r="D531">
        <v>0.118518025816767</v>
      </c>
      <c r="E531">
        <v>-3.9876816170736271</v>
      </c>
      <c r="F531">
        <v>-0.49121001680179249</v>
      </c>
      <c r="G531">
        <v>-0.74627878941277059</v>
      </c>
      <c r="H531">
        <v>-0.46819139944392218</v>
      </c>
      <c r="I531">
        <v>0.27921946255553548</v>
      </c>
      <c r="J531">
        <v>-0.54087366839332707</v>
      </c>
      <c r="M531">
        <f t="shared" si="25"/>
        <v>-5.836498002753137</v>
      </c>
      <c r="N531">
        <f t="shared" si="26"/>
        <v>7</v>
      </c>
    </row>
    <row r="532" spans="1:14" x14ac:dyDescent="0.35">
      <c r="A532" t="str">
        <f t="shared" si="24"/>
        <v>18097342101_2024</v>
      </c>
      <c r="B532">
        <v>18097342101</v>
      </c>
      <c r="C532">
        <v>2024</v>
      </c>
      <c r="D532">
        <v>-0.36208958594749552</v>
      </c>
      <c r="E532">
        <v>4.8880328609736097E-4</v>
      </c>
      <c r="F532">
        <v>-0.21485119265509631</v>
      </c>
      <c r="G532">
        <v>-0.25658824364871252</v>
      </c>
      <c r="H532">
        <v>-0.65176379146098107</v>
      </c>
      <c r="J532">
        <v>1.2029324509579511</v>
      </c>
      <c r="M532">
        <f t="shared" si="25"/>
        <v>-0.28187155946823705</v>
      </c>
      <c r="N532">
        <f t="shared" si="26"/>
        <v>6</v>
      </c>
    </row>
    <row r="533" spans="1:14" x14ac:dyDescent="0.35">
      <c r="A533" t="str">
        <f t="shared" si="24"/>
        <v>18097342101_2025</v>
      </c>
      <c r="B533">
        <v>18097342101</v>
      </c>
      <c r="C533">
        <v>2025</v>
      </c>
      <c r="D533">
        <v>-0.55495187657551492</v>
      </c>
      <c r="E533">
        <v>0.31856698475673151</v>
      </c>
      <c r="F533">
        <v>0.42679368843452542</v>
      </c>
      <c r="G533">
        <v>-0.45228980392328688</v>
      </c>
      <c r="H533">
        <v>1.7329087084978001</v>
      </c>
      <c r="J533">
        <v>0.79654411505090972</v>
      </c>
      <c r="M533">
        <f t="shared" si="25"/>
        <v>2.2675718162411651</v>
      </c>
      <c r="N533">
        <f t="shared" si="26"/>
        <v>6</v>
      </c>
    </row>
    <row r="534" spans="1:14" x14ac:dyDescent="0.35">
      <c r="A534" t="str">
        <f t="shared" si="24"/>
        <v>18097342101_2026</v>
      </c>
      <c r="B534">
        <v>18097342101</v>
      </c>
      <c r="C534">
        <v>2026</v>
      </c>
      <c r="D534">
        <v>-0.4638375354041045</v>
      </c>
      <c r="E534">
        <v>0.28706844118565022</v>
      </c>
      <c r="F534">
        <v>0.47631703921869689</v>
      </c>
      <c r="G534">
        <v>-0.48485713818587389</v>
      </c>
      <c r="H534">
        <v>-2.2356200284759749</v>
      </c>
      <c r="J534">
        <v>0.70894219084376742</v>
      </c>
      <c r="M534">
        <f t="shared" si="25"/>
        <v>-1.7119870308178387</v>
      </c>
      <c r="N534">
        <f t="shared" si="26"/>
        <v>6</v>
      </c>
    </row>
    <row r="535" spans="1:14" x14ac:dyDescent="0.35">
      <c r="A535" t="str">
        <f t="shared" si="24"/>
        <v>18097342101_2027</v>
      </c>
      <c r="B535">
        <v>18097342101</v>
      </c>
      <c r="C535">
        <v>2027</v>
      </c>
      <c r="D535">
        <v>-0.58467334241753965</v>
      </c>
      <c r="E535">
        <v>0.31264151254116118</v>
      </c>
      <c r="F535">
        <v>0.55079170959032453</v>
      </c>
      <c r="G535">
        <v>-0.5153482574596312</v>
      </c>
      <c r="H535">
        <v>0.7244587836954226</v>
      </c>
      <c r="J535">
        <v>0.663100447757211</v>
      </c>
      <c r="M535">
        <f t="shared" si="25"/>
        <v>1.1509708537069485</v>
      </c>
      <c r="N535">
        <f t="shared" si="26"/>
        <v>6</v>
      </c>
    </row>
    <row r="536" spans="1:14" x14ac:dyDescent="0.35">
      <c r="A536" t="str">
        <f t="shared" si="24"/>
        <v>18097342101_2028</v>
      </c>
      <c r="B536">
        <v>18097342101</v>
      </c>
      <c r="C536">
        <v>2028</v>
      </c>
      <c r="D536">
        <v>-0.62825165915608694</v>
      </c>
      <c r="E536">
        <v>0.35338241676907828</v>
      </c>
      <c r="F536">
        <v>0.65253624295562063</v>
      </c>
      <c r="G536">
        <v>-0.49930475360558652</v>
      </c>
      <c r="H536">
        <v>-1.1874836579810379</v>
      </c>
      <c r="J536">
        <v>0.64151657904242676</v>
      </c>
      <c r="M536">
        <f t="shared" si="25"/>
        <v>-0.66760483197558573</v>
      </c>
      <c r="N536">
        <f t="shared" si="26"/>
        <v>6</v>
      </c>
    </row>
    <row r="537" spans="1:14" x14ac:dyDescent="0.35">
      <c r="A537" t="str">
        <f t="shared" si="24"/>
        <v>18097342200_2024</v>
      </c>
      <c r="B537">
        <v>18097342200</v>
      </c>
      <c r="C537">
        <v>2024</v>
      </c>
      <c r="D537">
        <v>-0.36819190031103999</v>
      </c>
      <c r="E537">
        <v>0.17716736999276869</v>
      </c>
      <c r="F537">
        <v>0.22233973025058509</v>
      </c>
      <c r="G537">
        <v>1.246424698470213</v>
      </c>
      <c r="H537">
        <v>0.50248810005299649</v>
      </c>
      <c r="I537">
        <v>-0.52321592065464873</v>
      </c>
      <c r="J537">
        <v>1.3025678032230319</v>
      </c>
      <c r="M537">
        <f t="shared" si="25"/>
        <v>2.5595798810239065</v>
      </c>
      <c r="N537">
        <f t="shared" si="26"/>
        <v>7</v>
      </c>
    </row>
    <row r="538" spans="1:14" x14ac:dyDescent="0.35">
      <c r="A538" t="str">
        <f t="shared" si="24"/>
        <v>18097342200_2025</v>
      </c>
      <c r="B538">
        <v>18097342200</v>
      </c>
      <c r="C538">
        <v>2025</v>
      </c>
      <c r="D538">
        <v>-0.55161062094597757</v>
      </c>
      <c r="E538">
        <v>0.53580803649796371</v>
      </c>
      <c r="F538">
        <v>0.74536772008079355</v>
      </c>
      <c r="G538">
        <v>-1.0361897184662381</v>
      </c>
      <c r="H538">
        <v>-1.27470473098413</v>
      </c>
      <c r="I538">
        <v>-1.121866913733536</v>
      </c>
      <c r="J538">
        <v>0.85725073639310989</v>
      </c>
      <c r="M538">
        <f t="shared" si="25"/>
        <v>-1.8459454911580144</v>
      </c>
      <c r="N538">
        <f t="shared" si="26"/>
        <v>7</v>
      </c>
    </row>
    <row r="539" spans="1:14" x14ac:dyDescent="0.35">
      <c r="A539" t="str">
        <f t="shared" si="24"/>
        <v>18097342200_2026</v>
      </c>
      <c r="B539">
        <v>18097342200</v>
      </c>
      <c r="C539">
        <v>2026</v>
      </c>
      <c r="D539">
        <v>-0.4690229714022357</v>
      </c>
      <c r="E539">
        <v>0.741812660977202</v>
      </c>
      <c r="F539">
        <v>0.54449657770519655</v>
      </c>
      <c r="G539">
        <v>2.4595550754595958</v>
      </c>
      <c r="H539">
        <v>3.7095599503560589E-2</v>
      </c>
      <c r="I539">
        <v>-1.062463600290247</v>
      </c>
      <c r="J539">
        <v>0.7758025680058569</v>
      </c>
      <c r="M539">
        <f t="shared" si="25"/>
        <v>3.027275909958929</v>
      </c>
      <c r="N539">
        <f t="shared" si="26"/>
        <v>7</v>
      </c>
    </row>
    <row r="540" spans="1:14" x14ac:dyDescent="0.35">
      <c r="A540" t="str">
        <f t="shared" si="24"/>
        <v>18097342200_2027</v>
      </c>
      <c r="B540">
        <v>18097342200</v>
      </c>
      <c r="C540">
        <v>2027</v>
      </c>
      <c r="D540">
        <v>-0.58395012521155598</v>
      </c>
      <c r="E540">
        <v>0.73496902195127234</v>
      </c>
      <c r="F540">
        <v>0.51202930022131121</v>
      </c>
      <c r="G540">
        <v>-0.5088437838293407</v>
      </c>
      <c r="H540">
        <v>-0.71617298112581662</v>
      </c>
      <c r="I540">
        <v>-0.88103316284983324</v>
      </c>
      <c r="J540">
        <v>0.72832900795149791</v>
      </c>
      <c r="M540">
        <f t="shared" si="25"/>
        <v>-0.71467272289246497</v>
      </c>
      <c r="N540">
        <f t="shared" si="26"/>
        <v>7</v>
      </c>
    </row>
    <row r="541" spans="1:14" x14ac:dyDescent="0.35">
      <c r="A541" t="str">
        <f t="shared" si="24"/>
        <v>18097342200_2028</v>
      </c>
      <c r="B541">
        <v>18097342200</v>
      </c>
      <c r="C541">
        <v>2028</v>
      </c>
      <c r="D541">
        <v>-0.63142681873113615</v>
      </c>
      <c r="E541">
        <v>0.724560238994996</v>
      </c>
      <c r="F541">
        <v>0.56198137974793738</v>
      </c>
      <c r="G541">
        <v>2.1022131212330328</v>
      </c>
      <c r="H541">
        <v>-0.36039867795200131</v>
      </c>
      <c r="I541">
        <v>-0.68145895594876604</v>
      </c>
      <c r="J541">
        <v>0.70621450076630943</v>
      </c>
      <c r="M541">
        <f t="shared" si="25"/>
        <v>2.421684788110372</v>
      </c>
      <c r="N541">
        <f t="shared" si="26"/>
        <v>7</v>
      </c>
    </row>
    <row r="542" spans="1:14" x14ac:dyDescent="0.35">
      <c r="A542" t="str">
        <f t="shared" si="24"/>
        <v>18097342300_2024</v>
      </c>
      <c r="B542">
        <v>18097342300</v>
      </c>
      <c r="C542">
        <v>2024</v>
      </c>
      <c r="D542">
        <v>-0.36819224236078152</v>
      </c>
      <c r="E542">
        <v>0.87321214346647624</v>
      </c>
      <c r="F542">
        <v>7.374004781610663E-2</v>
      </c>
      <c r="G542">
        <v>0.104674834690208</v>
      </c>
      <c r="H542">
        <v>1.0316749525963871</v>
      </c>
      <c r="I542">
        <v>0.1858900080005379</v>
      </c>
      <c r="J542">
        <v>1.3025678032230319</v>
      </c>
      <c r="M542">
        <f t="shared" si="25"/>
        <v>3.203567547431966</v>
      </c>
      <c r="N542">
        <f t="shared" si="26"/>
        <v>7</v>
      </c>
    </row>
    <row r="543" spans="1:14" x14ac:dyDescent="0.35">
      <c r="A543" t="str">
        <f t="shared" si="24"/>
        <v>18097342300_2025</v>
      </c>
      <c r="B543">
        <v>18097342300</v>
      </c>
      <c r="C543">
        <v>2025</v>
      </c>
      <c r="D543">
        <v>-0.5516091700878436</v>
      </c>
      <c r="E543">
        <v>0.26818679442230359</v>
      </c>
      <c r="F543">
        <v>0.27684339153952242</v>
      </c>
      <c r="G543">
        <v>0.53404790635539245</v>
      </c>
      <c r="H543">
        <v>1.388143713725611</v>
      </c>
      <c r="I543">
        <v>-5.0400085029672782E-2</v>
      </c>
      <c r="J543">
        <v>0.85725073639310989</v>
      </c>
      <c r="M543">
        <f t="shared" si="25"/>
        <v>2.7224632873184227</v>
      </c>
      <c r="N543">
        <f t="shared" si="26"/>
        <v>7</v>
      </c>
    </row>
    <row r="544" spans="1:14" x14ac:dyDescent="0.35">
      <c r="A544" t="str">
        <f t="shared" si="24"/>
        <v>18097342300_2026</v>
      </c>
      <c r="B544">
        <v>18097342300</v>
      </c>
      <c r="C544">
        <v>2026</v>
      </c>
      <c r="D544">
        <v>-0.4690237859068595</v>
      </c>
      <c r="E544">
        <v>0.6175399858127244</v>
      </c>
      <c r="F544">
        <v>5.2746781849628929E-2</v>
      </c>
      <c r="G544">
        <v>0.48632877816214748</v>
      </c>
      <c r="H544">
        <v>1.571543509815605</v>
      </c>
      <c r="I544">
        <v>5.0916631373827979E-2</v>
      </c>
      <c r="J544">
        <v>0.7758025680058569</v>
      </c>
      <c r="M544">
        <f t="shared" si="25"/>
        <v>3.085854469112931</v>
      </c>
      <c r="N544">
        <f t="shared" si="26"/>
        <v>7</v>
      </c>
    </row>
    <row r="545" spans="1:14" x14ac:dyDescent="0.35">
      <c r="A545" t="str">
        <f t="shared" si="24"/>
        <v>18097342300_2027</v>
      </c>
      <c r="B545">
        <v>18097342300</v>
      </c>
      <c r="C545">
        <v>2027</v>
      </c>
      <c r="D545">
        <v>-0.58394873133042924</v>
      </c>
      <c r="E545">
        <v>0.52785832568136304</v>
      </c>
      <c r="F545">
        <v>-3.3441680065409561E-2</v>
      </c>
      <c r="G545">
        <v>0.62068261525347102</v>
      </c>
      <c r="H545">
        <v>1.7671818740590211</v>
      </c>
      <c r="I545">
        <v>0.10371529091435119</v>
      </c>
      <c r="J545">
        <v>0.72832900795149791</v>
      </c>
      <c r="M545">
        <f t="shared" si="25"/>
        <v>3.1303767024638649</v>
      </c>
      <c r="N545">
        <f t="shared" si="26"/>
        <v>7</v>
      </c>
    </row>
    <row r="546" spans="1:14" x14ac:dyDescent="0.35">
      <c r="A546" t="str">
        <f t="shared" si="24"/>
        <v>18097342300_2028</v>
      </c>
      <c r="B546">
        <v>18097342300</v>
      </c>
      <c r="C546">
        <v>2028</v>
      </c>
      <c r="D546">
        <v>-0.63142707751424143</v>
      </c>
      <c r="E546">
        <v>0.55626337153003591</v>
      </c>
      <c r="F546">
        <v>-2.1685944627296259E-2</v>
      </c>
      <c r="G546">
        <v>0.55744666004480703</v>
      </c>
      <c r="H546">
        <v>2.2390816381953509</v>
      </c>
      <c r="I546">
        <v>0.14776562013596969</v>
      </c>
      <c r="J546">
        <v>0.70621450076630943</v>
      </c>
      <c r="M546">
        <f t="shared" si="25"/>
        <v>3.5536587685309353</v>
      </c>
      <c r="N546">
        <f t="shared" si="26"/>
        <v>7</v>
      </c>
    </row>
    <row r="547" spans="1:14" x14ac:dyDescent="0.35">
      <c r="A547" t="str">
        <f t="shared" si="24"/>
        <v>18097342400_2024</v>
      </c>
      <c r="B547">
        <v>18097342400</v>
      </c>
      <c r="C547">
        <v>2024</v>
      </c>
      <c r="D547">
        <v>-0.36990279561498163</v>
      </c>
      <c r="E547">
        <v>-0.21788160858360209</v>
      </c>
      <c r="F547">
        <v>-0.67290055872022692</v>
      </c>
      <c r="G547">
        <v>-2.666343598201585E-2</v>
      </c>
      <c r="H547">
        <v>-6.8128298342763335E-2</v>
      </c>
      <c r="I547">
        <v>-0.31245608691947718</v>
      </c>
      <c r="J547">
        <v>1.289513843999023</v>
      </c>
      <c r="M547">
        <f t="shared" si="25"/>
        <v>-0.37841894016404409</v>
      </c>
      <c r="N547">
        <f t="shared" si="26"/>
        <v>7</v>
      </c>
    </row>
    <row r="548" spans="1:14" x14ac:dyDescent="0.35">
      <c r="A548" t="str">
        <f t="shared" si="24"/>
        <v>18097342400_2025</v>
      </c>
      <c r="B548">
        <v>18097342400</v>
      </c>
      <c r="C548">
        <v>2025</v>
      </c>
      <c r="D548">
        <v>-0.53779615514745871</v>
      </c>
      <c r="E548">
        <v>-0.34889479073303009</v>
      </c>
      <c r="F548">
        <v>-0.71406718337481756</v>
      </c>
      <c r="G548">
        <v>0.33842565896831511</v>
      </c>
      <c r="H548">
        <v>-0.72417784565704146</v>
      </c>
      <c r="I548">
        <v>-0.25780917775805678</v>
      </c>
      <c r="J548">
        <v>0.84879207244082244</v>
      </c>
      <c r="M548">
        <f t="shared" si="25"/>
        <v>-1.3955274212612669</v>
      </c>
      <c r="N548">
        <f t="shared" si="26"/>
        <v>7</v>
      </c>
    </row>
    <row r="549" spans="1:14" x14ac:dyDescent="0.35">
      <c r="A549" t="str">
        <f t="shared" si="24"/>
        <v>18097342400_2026</v>
      </c>
      <c r="B549">
        <v>18097342400</v>
      </c>
      <c r="C549">
        <v>2026</v>
      </c>
      <c r="D549">
        <v>-0.46300917660756102</v>
      </c>
      <c r="E549">
        <v>-0.22914681536097359</v>
      </c>
      <c r="F549">
        <v>-0.7125653843237918</v>
      </c>
      <c r="G549">
        <v>0.29777307042646478</v>
      </c>
      <c r="H549">
        <v>-0.58973138787648027</v>
      </c>
      <c r="I549">
        <v>-0.22617257522804959</v>
      </c>
      <c r="J549">
        <v>0.76660509631943063</v>
      </c>
      <c r="M549">
        <f t="shared" si="25"/>
        <v>-1.1562471726509611</v>
      </c>
      <c r="N549">
        <f t="shared" si="26"/>
        <v>7</v>
      </c>
    </row>
    <row r="550" spans="1:14" x14ac:dyDescent="0.35">
      <c r="A550" t="str">
        <f t="shared" si="24"/>
        <v>18097342400_2027</v>
      </c>
      <c r="B550">
        <v>18097342400</v>
      </c>
      <c r="C550">
        <v>2027</v>
      </c>
      <c r="D550">
        <v>-0.57162197810299953</v>
      </c>
      <c r="E550">
        <v>-0.1960646902661316</v>
      </c>
      <c r="F550">
        <v>-0.82518459978027114</v>
      </c>
      <c r="G550">
        <v>0.39736139736270931</v>
      </c>
      <c r="H550">
        <v>-0.64793758106524735</v>
      </c>
      <c r="I550">
        <v>-0.1155208432247202</v>
      </c>
      <c r="J550">
        <v>0.71934864014168132</v>
      </c>
      <c r="M550">
        <f t="shared" si="25"/>
        <v>-1.2396196549349794</v>
      </c>
      <c r="N550">
        <f t="shared" si="26"/>
        <v>7</v>
      </c>
    </row>
    <row r="551" spans="1:14" x14ac:dyDescent="0.35">
      <c r="A551" t="str">
        <f t="shared" si="24"/>
        <v>18097342400_2028</v>
      </c>
      <c r="B551">
        <v>18097342400</v>
      </c>
      <c r="C551">
        <v>2028</v>
      </c>
      <c r="D551">
        <v>-0.62111341699680578</v>
      </c>
      <c r="E551">
        <v>-9.0805220274416718E-2</v>
      </c>
      <c r="F551">
        <v>-0.84943724932850384</v>
      </c>
      <c r="G551">
        <v>0.3488724474077759</v>
      </c>
      <c r="H551">
        <v>-0.5799205290004803</v>
      </c>
      <c r="I551">
        <v>-2.506438568805611E-2</v>
      </c>
      <c r="J551">
        <v>0.69730738795993508</v>
      </c>
      <c r="M551">
        <f t="shared" si="25"/>
        <v>-1.1201609659205518</v>
      </c>
      <c r="N551">
        <f t="shared" si="26"/>
        <v>7</v>
      </c>
    </row>
    <row r="552" spans="1:14" x14ac:dyDescent="0.35">
      <c r="A552" t="str">
        <f t="shared" si="24"/>
        <v>18097342500_2024</v>
      </c>
      <c r="B552">
        <v>18097342500</v>
      </c>
      <c r="C552">
        <v>2024</v>
      </c>
      <c r="D552">
        <v>-0.36819176347987159</v>
      </c>
      <c r="E552">
        <v>-0.68439452581561622</v>
      </c>
      <c r="F552">
        <v>-0.14119090742643639</v>
      </c>
      <c r="G552">
        <v>1.8767298011510759E-2</v>
      </c>
      <c r="H552">
        <v>0.37937658811609781</v>
      </c>
      <c r="I552">
        <v>0.41998908925319461</v>
      </c>
      <c r="J552">
        <v>1.3025678032230319</v>
      </c>
      <c r="M552">
        <f t="shared" si="25"/>
        <v>0.92692358188191082</v>
      </c>
      <c r="N552">
        <f t="shared" si="26"/>
        <v>7</v>
      </c>
    </row>
    <row r="553" spans="1:14" x14ac:dyDescent="0.35">
      <c r="A553" t="str">
        <f t="shared" si="24"/>
        <v>18097342500_2025</v>
      </c>
      <c r="B553">
        <v>18097342500</v>
      </c>
      <c r="C553">
        <v>2025</v>
      </c>
      <c r="D553">
        <v>-0.55161113259047678</v>
      </c>
      <c r="E553">
        <v>7.2693565778344293E-2</v>
      </c>
      <c r="F553">
        <v>6.8462377265852595E-2</v>
      </c>
      <c r="G553">
        <v>-4.318217939846937E-2</v>
      </c>
      <c r="H553">
        <v>1.702596207751754</v>
      </c>
      <c r="I553">
        <v>-0.33663077812863412</v>
      </c>
      <c r="J553">
        <v>0.85725073639310989</v>
      </c>
      <c r="M553">
        <f t="shared" si="25"/>
        <v>1.7695787970714805</v>
      </c>
      <c r="N553">
        <f t="shared" si="26"/>
        <v>7</v>
      </c>
    </row>
    <row r="554" spans="1:14" x14ac:dyDescent="0.35">
      <c r="A554" t="str">
        <f t="shared" si="24"/>
        <v>18097342500_2026</v>
      </c>
      <c r="B554">
        <v>18097342500</v>
      </c>
      <c r="C554">
        <v>2026</v>
      </c>
      <c r="D554">
        <v>-0.46902265941669569</v>
      </c>
      <c r="E554">
        <v>-0.28034554142821172</v>
      </c>
      <c r="F554">
        <v>8.2863711116400424E-2</v>
      </c>
      <c r="G554">
        <v>-0.2429414478884446</v>
      </c>
      <c r="H554">
        <v>2.198111621563247</v>
      </c>
      <c r="I554">
        <v>4.7329104415593612E-2</v>
      </c>
      <c r="J554">
        <v>0.7758025680058569</v>
      </c>
      <c r="M554">
        <f t="shared" si="25"/>
        <v>2.1117973563677461</v>
      </c>
      <c r="N554">
        <f t="shared" si="26"/>
        <v>7</v>
      </c>
    </row>
    <row r="555" spans="1:14" x14ac:dyDescent="0.35">
      <c r="A555" t="str">
        <f t="shared" si="24"/>
        <v>18097342500_2027</v>
      </c>
      <c r="B555">
        <v>18097342500</v>
      </c>
      <c r="C555">
        <v>2027</v>
      </c>
      <c r="D555">
        <v>-0.58395061108228208</v>
      </c>
      <c r="E555">
        <v>-0.15376188533278981</v>
      </c>
      <c r="F555">
        <v>9.9527008440029846E-2</v>
      </c>
      <c r="G555">
        <v>-0.33889869625102159</v>
      </c>
      <c r="H555">
        <v>3.0796959659231802</v>
      </c>
      <c r="I555">
        <v>2.93685975529079E-3</v>
      </c>
      <c r="J555">
        <v>0.72832900795149791</v>
      </c>
      <c r="M555">
        <f t="shared" si="25"/>
        <v>2.8338776494039051</v>
      </c>
      <c r="N555">
        <f t="shared" si="26"/>
        <v>7</v>
      </c>
    </row>
    <row r="556" spans="1:14" x14ac:dyDescent="0.35">
      <c r="A556" t="str">
        <f t="shared" si="24"/>
        <v>18097342500_2028</v>
      </c>
      <c r="B556">
        <v>18097342500</v>
      </c>
      <c r="C556">
        <v>2028</v>
      </c>
      <c r="D556">
        <v>-0.63142670583886762</v>
      </c>
      <c r="E556">
        <v>-8.1609974101948965E-2</v>
      </c>
      <c r="F556">
        <v>0.15840865165234441</v>
      </c>
      <c r="G556">
        <v>-0.39090454425191362</v>
      </c>
      <c r="H556">
        <v>3.0929887365066229</v>
      </c>
      <c r="I556">
        <v>0.1003436354114982</v>
      </c>
      <c r="J556">
        <v>0.70621450076630943</v>
      </c>
      <c r="M556">
        <f t="shared" si="25"/>
        <v>2.9540143001440446</v>
      </c>
      <c r="N556">
        <f t="shared" si="26"/>
        <v>7</v>
      </c>
    </row>
    <row r="557" spans="1:14" x14ac:dyDescent="0.35">
      <c r="A557" t="str">
        <f t="shared" si="24"/>
        <v>18097342600_2024</v>
      </c>
      <c r="B557">
        <v>18097342600</v>
      </c>
      <c r="C557">
        <v>2024</v>
      </c>
      <c r="D557">
        <v>-0.56286749060690355</v>
      </c>
      <c r="F557">
        <v>-9.3952056956780156E-4</v>
      </c>
      <c r="G557">
        <v>0.1819621720357551</v>
      </c>
      <c r="H557">
        <v>6.5222471385507935E-2</v>
      </c>
      <c r="I557">
        <v>0.43511693912179089</v>
      </c>
      <c r="J557">
        <v>0.69138243807690714</v>
      </c>
      <c r="K557">
        <v>0.13399012890880191</v>
      </c>
      <c r="M557">
        <f t="shared" si="25"/>
        <v>0.94386713835229163</v>
      </c>
      <c r="N557">
        <f t="shared" si="26"/>
        <v>7</v>
      </c>
    </row>
    <row r="558" spans="1:14" x14ac:dyDescent="0.35">
      <c r="A558" t="str">
        <f t="shared" si="24"/>
        <v>18097342600_2025</v>
      </c>
      <c r="B558">
        <v>18097342600</v>
      </c>
      <c r="C558">
        <v>2025</v>
      </c>
      <c r="D558">
        <v>2.3655078275418351E-2</v>
      </c>
      <c r="F558">
        <v>-0.49608577779489538</v>
      </c>
      <c r="G558">
        <v>0.1211090334639081</v>
      </c>
      <c r="H558">
        <v>-0.44444916255239802</v>
      </c>
      <c r="I558">
        <v>0.60545233370087759</v>
      </c>
      <c r="J558">
        <v>0.63845080506580409</v>
      </c>
      <c r="K558">
        <v>-0.1364035981882134</v>
      </c>
      <c r="M558">
        <f t="shared" si="25"/>
        <v>0.31172871197050128</v>
      </c>
      <c r="N558">
        <f t="shared" si="26"/>
        <v>7</v>
      </c>
    </row>
    <row r="559" spans="1:14" x14ac:dyDescent="0.35">
      <c r="A559" t="str">
        <f t="shared" si="24"/>
        <v>18097342600_2026</v>
      </c>
      <c r="B559">
        <v>18097342600</v>
      </c>
      <c r="C559">
        <v>2026</v>
      </c>
      <c r="D559">
        <v>-0.48343166131084248</v>
      </c>
      <c r="F559">
        <v>-0.50502852238889029</v>
      </c>
      <c r="G559">
        <v>-8.2397414904977387E-2</v>
      </c>
      <c r="H559">
        <v>-0.30911182140694787</v>
      </c>
      <c r="I559">
        <v>0.59385702537287077</v>
      </c>
      <c r="J559">
        <v>0.5501666655693237</v>
      </c>
      <c r="K559">
        <v>-0.15465823155788039</v>
      </c>
      <c r="M559">
        <f t="shared" si="25"/>
        <v>-0.39060396062734404</v>
      </c>
      <c r="N559">
        <f t="shared" si="26"/>
        <v>7</v>
      </c>
    </row>
    <row r="560" spans="1:14" x14ac:dyDescent="0.35">
      <c r="A560" t="str">
        <f t="shared" si="24"/>
        <v>18097342600_2027</v>
      </c>
      <c r="B560">
        <v>18097342600</v>
      </c>
      <c r="C560">
        <v>2027</v>
      </c>
      <c r="D560">
        <v>-0.1165326002637551</v>
      </c>
      <c r="F560">
        <v>-0.57775741638733369</v>
      </c>
      <c r="G560">
        <v>-0.1005585881110577</v>
      </c>
      <c r="H560">
        <v>-0.43595615455568631</v>
      </c>
      <c r="I560">
        <v>0.54032135333800291</v>
      </c>
      <c r="J560">
        <v>0.50836372940135155</v>
      </c>
      <c r="K560">
        <v>-0.1481705978727135</v>
      </c>
      <c r="M560">
        <f t="shared" si="25"/>
        <v>-0.33029027445119186</v>
      </c>
      <c r="N560">
        <f t="shared" si="26"/>
        <v>7</v>
      </c>
    </row>
    <row r="561" spans="1:14" x14ac:dyDescent="0.35">
      <c r="A561" t="str">
        <f t="shared" si="24"/>
        <v>18097342600_2028</v>
      </c>
      <c r="B561">
        <v>18097342600</v>
      </c>
      <c r="C561">
        <v>2028</v>
      </c>
      <c r="D561">
        <v>-0.43439138096432373</v>
      </c>
      <c r="F561">
        <v>-0.58152596199690509</v>
      </c>
      <c r="G561">
        <v>-0.12850142434041001</v>
      </c>
      <c r="H561">
        <v>-0.43610403104927359</v>
      </c>
      <c r="I561">
        <v>0.4672967899548543</v>
      </c>
      <c r="J561">
        <v>0.48820504812500221</v>
      </c>
      <c r="K561">
        <v>-0.12854017854621211</v>
      </c>
      <c r="M561">
        <f t="shared" si="25"/>
        <v>-0.75356113881726783</v>
      </c>
      <c r="N561">
        <f t="shared" si="26"/>
        <v>7</v>
      </c>
    </row>
    <row r="562" spans="1:14" x14ac:dyDescent="0.35">
      <c r="A562" t="str">
        <f t="shared" si="24"/>
        <v>18097350100_2024</v>
      </c>
      <c r="B562">
        <v>18097350100</v>
      </c>
      <c r="C562">
        <v>2024</v>
      </c>
      <c r="D562">
        <v>-1.4627772898040889</v>
      </c>
      <c r="E562">
        <v>-2.3992100566673642</v>
      </c>
      <c r="F562">
        <v>-1.0462324687407361</v>
      </c>
      <c r="G562">
        <v>0.15176414719117129</v>
      </c>
      <c r="H562">
        <v>0.1178146170769669</v>
      </c>
      <c r="I562">
        <v>2.0450293920317222</v>
      </c>
      <c r="J562">
        <v>-0.68828517049382776</v>
      </c>
      <c r="K562">
        <v>0.1312637837966433</v>
      </c>
      <c r="M562">
        <f t="shared" si="25"/>
        <v>-3.1506330456095135</v>
      </c>
      <c r="N562">
        <f t="shared" si="26"/>
        <v>8</v>
      </c>
    </row>
    <row r="563" spans="1:14" x14ac:dyDescent="0.35">
      <c r="A563" t="str">
        <f t="shared" si="24"/>
        <v>18097350100_2025</v>
      </c>
      <c r="B563">
        <v>18097350100</v>
      </c>
      <c r="C563">
        <v>2025</v>
      </c>
      <c r="D563">
        <v>0.55959475010000737</v>
      </c>
      <c r="E563">
        <v>0.54853487584774019</v>
      </c>
      <c r="F563">
        <v>-1.1809093698769451</v>
      </c>
      <c r="G563">
        <v>0.50299018256965944</v>
      </c>
      <c r="H563">
        <v>-6.2515179998724579E-2</v>
      </c>
      <c r="I563">
        <v>1.607088665434891</v>
      </c>
      <c r="J563">
        <v>-0.12939832353102071</v>
      </c>
      <c r="K563">
        <v>-5.0494312702515851E-2</v>
      </c>
      <c r="M563">
        <f t="shared" si="25"/>
        <v>1.7948912878430918</v>
      </c>
      <c r="N563">
        <f t="shared" si="26"/>
        <v>8</v>
      </c>
    </row>
    <row r="564" spans="1:14" x14ac:dyDescent="0.35">
      <c r="A564" t="str">
        <f t="shared" si="24"/>
        <v>18097350100_2026</v>
      </c>
      <c r="B564">
        <v>18097350100</v>
      </c>
      <c r="C564">
        <v>2026</v>
      </c>
      <c r="D564">
        <v>-1.022478780262871</v>
      </c>
      <c r="E564">
        <v>0.63328144564946587</v>
      </c>
      <c r="F564">
        <v>-1.2523929154445039</v>
      </c>
      <c r="G564">
        <v>0.41016947466131748</v>
      </c>
      <c r="H564">
        <v>-5.5726916343185169E-2</v>
      </c>
      <c r="I564">
        <v>1.159127425240416</v>
      </c>
      <c r="J564">
        <v>0.16305057431959979</v>
      </c>
      <c r="K564">
        <v>-0.185948664706024</v>
      </c>
      <c r="M564">
        <f t="shared" si="25"/>
        <v>-0.15091835688578481</v>
      </c>
      <c r="N564">
        <f t="shared" si="26"/>
        <v>8</v>
      </c>
    </row>
    <row r="565" spans="1:14" x14ac:dyDescent="0.35">
      <c r="A565" t="str">
        <f t="shared" si="24"/>
        <v>18097350100_2027</v>
      </c>
      <c r="B565">
        <v>18097350100</v>
      </c>
      <c r="C565">
        <v>2027</v>
      </c>
      <c r="D565">
        <v>-3.1232901256944941E-2</v>
      </c>
      <c r="E565">
        <v>0.60358012427928642</v>
      </c>
      <c r="F565">
        <v>-1.433702370111666</v>
      </c>
      <c r="G565">
        <v>0.51473692040104535</v>
      </c>
      <c r="H565">
        <v>-0.2267187870732138</v>
      </c>
      <c r="I565">
        <v>0.84763702955298126</v>
      </c>
      <c r="J565">
        <v>0.28667662180857501</v>
      </c>
      <c r="K565">
        <v>-0.1715487321609763</v>
      </c>
      <c r="M565">
        <f t="shared" si="25"/>
        <v>0.38942790543908701</v>
      </c>
      <c r="N565">
        <f t="shared" si="26"/>
        <v>8</v>
      </c>
    </row>
    <row r="566" spans="1:14" x14ac:dyDescent="0.35">
      <c r="A566" t="str">
        <f t="shared" si="24"/>
        <v>18097350100_2028</v>
      </c>
      <c r="B566">
        <v>18097350100</v>
      </c>
      <c r="C566">
        <v>2028</v>
      </c>
      <c r="D566">
        <v>-0.695621914003408</v>
      </c>
      <c r="E566">
        <v>0.6064332308716186</v>
      </c>
      <c r="F566">
        <v>-1.517409195156066</v>
      </c>
      <c r="G566">
        <v>0.45384087355219138</v>
      </c>
      <c r="H566">
        <v>-0.29489308738055509</v>
      </c>
      <c r="I566">
        <v>0.64221109857483494</v>
      </c>
      <c r="J566">
        <v>0.33565218732903213</v>
      </c>
      <c r="K566">
        <v>-0.18299330708051201</v>
      </c>
      <c r="M566">
        <f t="shared" si="25"/>
        <v>-0.65278011329286412</v>
      </c>
      <c r="N566">
        <f t="shared" si="26"/>
        <v>8</v>
      </c>
    </row>
    <row r="567" spans="1:14" x14ac:dyDescent="0.35">
      <c r="A567" t="str">
        <f t="shared" si="24"/>
        <v>18097350300_2024</v>
      </c>
      <c r="B567">
        <v>18097350300</v>
      </c>
      <c r="C567">
        <v>2024</v>
      </c>
      <c r="D567">
        <v>-1.3694189511421611</v>
      </c>
      <c r="E567">
        <v>0.98273517271727295</v>
      </c>
      <c r="F567">
        <v>1.3222165629583169</v>
      </c>
      <c r="G567">
        <v>-3.5703623678042272E-2</v>
      </c>
      <c r="H567">
        <v>0.1317642980526291</v>
      </c>
      <c r="I567">
        <v>0.29976200501416272</v>
      </c>
      <c r="J567">
        <v>-0.44969687851136969</v>
      </c>
      <c r="K567">
        <v>0.117557692858337</v>
      </c>
      <c r="M567">
        <f t="shared" si="25"/>
        <v>0.99921627826914561</v>
      </c>
      <c r="N567">
        <f t="shared" si="26"/>
        <v>8</v>
      </c>
    </row>
    <row r="568" spans="1:14" x14ac:dyDescent="0.35">
      <c r="A568" t="str">
        <f t="shared" si="24"/>
        <v>18097350300_2025</v>
      </c>
      <c r="B568">
        <v>18097350300</v>
      </c>
      <c r="C568">
        <v>2025</v>
      </c>
      <c r="D568">
        <v>0.46524531063134161</v>
      </c>
      <c r="E568">
        <v>0.99778145789567319</v>
      </c>
      <c r="F568">
        <v>-7.5630695278289861E-2</v>
      </c>
      <c r="G568">
        <v>1.3157507644311079</v>
      </c>
      <c r="H568">
        <v>8.8796479245315779E-2</v>
      </c>
      <c r="I568">
        <v>0.57762203394186984</v>
      </c>
      <c r="J568">
        <v>8.848961405212484E-2</v>
      </c>
      <c r="K568">
        <v>-7.042906957803248E-2</v>
      </c>
      <c r="M568">
        <f t="shared" si="25"/>
        <v>3.3876258953411109</v>
      </c>
      <c r="N568">
        <f t="shared" si="26"/>
        <v>8</v>
      </c>
    </row>
    <row r="569" spans="1:14" x14ac:dyDescent="0.35">
      <c r="A569" t="str">
        <f t="shared" si="24"/>
        <v>18097350300_2026</v>
      </c>
      <c r="B569">
        <v>18097350300</v>
      </c>
      <c r="C569">
        <v>2026</v>
      </c>
      <c r="D569">
        <v>-1.042723098472536</v>
      </c>
      <c r="E569">
        <v>0.78503477069332595</v>
      </c>
      <c r="F569">
        <v>-6.4945370288704368E-2</v>
      </c>
      <c r="G569">
        <v>0.52039052230281246</v>
      </c>
      <c r="H569">
        <v>0.12949467035188669</v>
      </c>
      <c r="I569">
        <v>0.50939971805253459</v>
      </c>
      <c r="J569">
        <v>0.28250725526280479</v>
      </c>
      <c r="K569">
        <v>-0.19056212366324929</v>
      </c>
      <c r="M569">
        <f t="shared" si="25"/>
        <v>0.92859634423887472</v>
      </c>
      <c r="N569">
        <f t="shared" si="26"/>
        <v>8</v>
      </c>
    </row>
    <row r="570" spans="1:14" x14ac:dyDescent="0.35">
      <c r="A570" t="str">
        <f t="shared" si="24"/>
        <v>18097350300_2027</v>
      </c>
      <c r="B570">
        <v>18097350300</v>
      </c>
      <c r="C570">
        <v>2027</v>
      </c>
      <c r="D570">
        <v>-8.1299072266709294E-2</v>
      </c>
      <c r="E570">
        <v>0.57950496058442291</v>
      </c>
      <c r="F570">
        <v>-7.1653079010710649E-2</v>
      </c>
      <c r="G570">
        <v>1.136336055007406</v>
      </c>
      <c r="H570">
        <v>-3.390645578623231E-2</v>
      </c>
      <c r="I570">
        <v>0.49973474785887301</v>
      </c>
      <c r="J570">
        <v>0.33847518837855128</v>
      </c>
      <c r="K570">
        <v>-0.167015570623296</v>
      </c>
      <c r="M570">
        <f t="shared" si="25"/>
        <v>2.2001767741423053</v>
      </c>
      <c r="N570">
        <f t="shared" si="26"/>
        <v>8</v>
      </c>
    </row>
    <row r="571" spans="1:14" x14ac:dyDescent="0.35">
      <c r="A571" t="str">
        <f t="shared" si="24"/>
        <v>18097350300_2028</v>
      </c>
      <c r="B571">
        <v>18097350300</v>
      </c>
      <c r="C571">
        <v>2028</v>
      </c>
      <c r="D571">
        <v>-0.74407220246478833</v>
      </c>
      <c r="E571">
        <v>0.49965564919193761</v>
      </c>
      <c r="F571">
        <v>-2.835317855378949E-2</v>
      </c>
      <c r="G571">
        <v>0.76939157635810851</v>
      </c>
      <c r="H571">
        <v>-0.13389745135888309</v>
      </c>
      <c r="I571">
        <v>0.42980616808894789</v>
      </c>
      <c r="J571">
        <v>0.35099887196082968</v>
      </c>
      <c r="K571">
        <v>-0.17283161138803521</v>
      </c>
      <c r="M571">
        <f t="shared" si="25"/>
        <v>0.97069782183432762</v>
      </c>
      <c r="N571">
        <f t="shared" si="26"/>
        <v>8</v>
      </c>
    </row>
    <row r="572" spans="1:14" x14ac:dyDescent="0.35">
      <c r="A572" t="str">
        <f t="shared" si="24"/>
        <v>18097350400_2024</v>
      </c>
      <c r="B572">
        <v>18097350400</v>
      </c>
      <c r="C572">
        <v>2024</v>
      </c>
      <c r="D572">
        <v>-1.1521644650639069</v>
      </c>
      <c r="E572">
        <v>-7.0020305114118012E-2</v>
      </c>
      <c r="F572">
        <v>9.6418285474158275E-2</v>
      </c>
      <c r="G572">
        <v>-3.9592878043926347E-2</v>
      </c>
      <c r="H572">
        <v>0.1118661410720406</v>
      </c>
      <c r="I572">
        <v>0.8433802907780894</v>
      </c>
      <c r="J572">
        <v>0.4508130444713867</v>
      </c>
      <c r="K572">
        <v>9.2285762432684257E-2</v>
      </c>
      <c r="M572">
        <f t="shared" si="25"/>
        <v>0.33298587600640794</v>
      </c>
      <c r="N572">
        <f t="shared" si="26"/>
        <v>8</v>
      </c>
    </row>
    <row r="573" spans="1:14" x14ac:dyDescent="0.35">
      <c r="A573" t="str">
        <f t="shared" si="24"/>
        <v>18097350400_2025</v>
      </c>
      <c r="B573">
        <v>18097350400</v>
      </c>
      <c r="C573">
        <v>2025</v>
      </c>
      <c r="D573">
        <v>0.1585791534404257</v>
      </c>
      <c r="E573">
        <v>-3.3444386602644892E-2</v>
      </c>
      <c r="F573">
        <v>-0.41768654463800181</v>
      </c>
      <c r="G573">
        <v>0.19387168095160981</v>
      </c>
      <c r="H573">
        <v>4.7492774668848318E-2</v>
      </c>
      <c r="I573">
        <v>1.183825655273701</v>
      </c>
      <c r="J573">
        <v>0.22083034062152659</v>
      </c>
      <c r="K573">
        <v>-5.7253388089479558E-2</v>
      </c>
      <c r="M573">
        <f t="shared" si="25"/>
        <v>1.296215285625985</v>
      </c>
      <c r="N573">
        <f t="shared" si="26"/>
        <v>8</v>
      </c>
    </row>
    <row r="574" spans="1:14" x14ac:dyDescent="0.35">
      <c r="A574" t="str">
        <f t="shared" si="24"/>
        <v>18097350400_2026</v>
      </c>
      <c r="B574">
        <v>18097350400</v>
      </c>
      <c r="C574">
        <v>2026</v>
      </c>
      <c r="D574">
        <v>-1.2715930735263281</v>
      </c>
      <c r="E574">
        <v>-4.7367115930118657E-2</v>
      </c>
      <c r="F574">
        <v>-0.43456512684444498</v>
      </c>
      <c r="G574">
        <v>0.1587587309639257</v>
      </c>
      <c r="H574">
        <v>0.104720557538466</v>
      </c>
      <c r="I574">
        <v>1.0663269250977521</v>
      </c>
      <c r="J574">
        <v>0.12357941318807721</v>
      </c>
      <c r="K574">
        <v>-0.13534247806031349</v>
      </c>
      <c r="M574">
        <f t="shared" si="25"/>
        <v>-0.43548216757298419</v>
      </c>
      <c r="N574">
        <f t="shared" si="26"/>
        <v>8</v>
      </c>
    </row>
    <row r="575" spans="1:14" x14ac:dyDescent="0.35">
      <c r="A575" t="str">
        <f t="shared" si="24"/>
        <v>18097350400_2027</v>
      </c>
      <c r="B575">
        <v>18097350400</v>
      </c>
      <c r="C575">
        <v>2027</v>
      </c>
      <c r="D575">
        <v>-0.32553420250912468</v>
      </c>
      <c r="E575">
        <v>-4.6300549454133897E-3</v>
      </c>
      <c r="F575">
        <v>-0.49550340872194443</v>
      </c>
      <c r="G575">
        <v>0.23706872175062499</v>
      </c>
      <c r="H575">
        <v>-5.3155060992468722E-2</v>
      </c>
      <c r="I575">
        <v>0.89016652666193918</v>
      </c>
      <c r="J575">
        <v>8.6614330692388719E-2</v>
      </c>
      <c r="K575">
        <v>-9.0944473841421999E-2</v>
      </c>
      <c r="M575">
        <f t="shared" si="25"/>
        <v>0.24408237809457961</v>
      </c>
      <c r="N575">
        <f t="shared" si="26"/>
        <v>8</v>
      </c>
    </row>
    <row r="576" spans="1:14" x14ac:dyDescent="0.35">
      <c r="A576" t="str">
        <f t="shared" si="24"/>
        <v>18097350400_2028</v>
      </c>
      <c r="B576">
        <v>18097350400</v>
      </c>
      <c r="C576">
        <v>2028</v>
      </c>
      <c r="D576">
        <v>-1.0353088695419701</v>
      </c>
      <c r="E576">
        <v>7.0726845707376251E-2</v>
      </c>
      <c r="F576">
        <v>-0.49174437523874592</v>
      </c>
      <c r="G576">
        <v>0.2003632415788342</v>
      </c>
      <c r="H576">
        <v>-0.1489561857952294</v>
      </c>
      <c r="I576">
        <v>0.70647287386963842</v>
      </c>
      <c r="J576">
        <v>7.0294213570967462E-2</v>
      </c>
      <c r="K576">
        <v>-8.5689873230702873E-2</v>
      </c>
      <c r="M576">
        <f t="shared" si="25"/>
        <v>-0.71384212907983235</v>
      </c>
      <c r="N576">
        <f t="shared" si="26"/>
        <v>8</v>
      </c>
    </row>
    <row r="577" spans="1:14" x14ac:dyDescent="0.35">
      <c r="A577" t="str">
        <f t="shared" si="24"/>
        <v>18097350500_2024</v>
      </c>
      <c r="B577">
        <v>18097350500</v>
      </c>
      <c r="C577">
        <v>2024</v>
      </c>
      <c r="D577">
        <v>-1.1888408269360891</v>
      </c>
      <c r="E577">
        <v>-3.321917006382904</v>
      </c>
      <c r="F577">
        <v>-0.64706743097724606</v>
      </c>
      <c r="G577">
        <v>0.124002214703087</v>
      </c>
      <c r="H577">
        <v>0.1186238891068591</v>
      </c>
      <c r="I577">
        <v>-7.1584486004270989E-2</v>
      </c>
      <c r="J577">
        <v>2.998461712561729</v>
      </c>
      <c r="K577">
        <v>5.3489160278906947E-2</v>
      </c>
      <c r="M577">
        <f t="shared" si="25"/>
        <v>-1.9348327736499282</v>
      </c>
      <c r="N577">
        <f t="shared" si="26"/>
        <v>8</v>
      </c>
    </row>
    <row r="578" spans="1:14" x14ac:dyDescent="0.35">
      <c r="A578" t="str">
        <f t="shared" si="24"/>
        <v>18097350500_2025</v>
      </c>
      <c r="B578">
        <v>18097350500</v>
      </c>
      <c r="C578">
        <v>2025</v>
      </c>
      <c r="D578">
        <v>-0.84516168741802122</v>
      </c>
      <c r="E578">
        <v>-0.34549756779828822</v>
      </c>
      <c r="F578">
        <v>-0.26708542624626391</v>
      </c>
      <c r="G578">
        <v>0.28334757372509423</v>
      </c>
      <c r="H578">
        <v>-0.1178386715724887</v>
      </c>
      <c r="I578">
        <v>3.9603201509321342</v>
      </c>
      <c r="J578">
        <v>3.0310279467695862</v>
      </c>
      <c r="K578">
        <v>-0.25681073367830232</v>
      </c>
      <c r="M578">
        <f t="shared" si="25"/>
        <v>5.4423015847134497</v>
      </c>
      <c r="N578">
        <f t="shared" si="26"/>
        <v>8</v>
      </c>
    </row>
    <row r="579" spans="1:14" x14ac:dyDescent="0.35">
      <c r="A579" t="str">
        <f t="shared" ref="A579:A642" si="27">TEXT(B579,0)&amp;"_"&amp;TEXT(C579,0)</f>
        <v>18097350500_2026</v>
      </c>
      <c r="B579">
        <v>18097350500</v>
      </c>
      <c r="C579">
        <v>2026</v>
      </c>
      <c r="D579">
        <v>-1.321565406814774</v>
      </c>
      <c r="E579">
        <v>-0.31577690249608931</v>
      </c>
      <c r="F579">
        <v>-0.29856688223330557</v>
      </c>
      <c r="G579">
        <v>0.20909375154230589</v>
      </c>
      <c r="H579">
        <v>-5.5028783095126987E-2</v>
      </c>
      <c r="I579">
        <v>0.56356369294967812</v>
      </c>
      <c r="J579">
        <v>2.9096004358449208</v>
      </c>
      <c r="K579">
        <v>-0.3550493154452008</v>
      </c>
      <c r="M579">
        <f t="shared" ref="M579:M642" si="28">SUM(D579:K579)</f>
        <v>1.3362705902524081</v>
      </c>
      <c r="N579">
        <f t="shared" ref="N579:N642" si="29">IF(D579=0,0,1)+IF(E579=0,0,1)+IF(F579=0,0,1)+IF(G579=0,0,1)+IF(H579=0,0,1)+IF(I579=0,0,1)++IF(J579=0,0,1)++IF(K579=0,0,1)</f>
        <v>8</v>
      </c>
    </row>
    <row r="580" spans="1:14" x14ac:dyDescent="0.35">
      <c r="A580" t="str">
        <f t="shared" si="27"/>
        <v>18097350500_2027</v>
      </c>
      <c r="B580">
        <v>18097350500</v>
      </c>
      <c r="C580">
        <v>2027</v>
      </c>
      <c r="D580">
        <v>-1.244975114296266</v>
      </c>
      <c r="E580">
        <v>-0.30915669730653439</v>
      </c>
      <c r="F580">
        <v>-0.33217072189971719</v>
      </c>
      <c r="G580">
        <v>0.29056928420440192</v>
      </c>
      <c r="H580">
        <v>-0.20654849372302089</v>
      </c>
      <c r="I580">
        <v>2.1395531807364438</v>
      </c>
      <c r="J580">
        <v>2.8352077486778389</v>
      </c>
      <c r="K580">
        <v>-0.31803788904084013</v>
      </c>
      <c r="M580">
        <f t="shared" si="28"/>
        <v>2.8544412973523063</v>
      </c>
      <c r="N580">
        <f t="shared" si="29"/>
        <v>8</v>
      </c>
    </row>
    <row r="581" spans="1:14" x14ac:dyDescent="0.35">
      <c r="A581" t="str">
        <f t="shared" si="27"/>
        <v>18097350500_2028</v>
      </c>
      <c r="B581">
        <v>18097350500</v>
      </c>
      <c r="C581">
        <v>2028</v>
      </c>
      <c r="D581">
        <v>-1.4288219886161071</v>
      </c>
      <c r="E581">
        <v>-0.20286672910932049</v>
      </c>
      <c r="F581">
        <v>-0.31513494465060399</v>
      </c>
      <c r="G581">
        <v>0.24940281138961909</v>
      </c>
      <c r="H581">
        <v>-0.27071486554225371</v>
      </c>
      <c r="I581">
        <v>0.59571678036523645</v>
      </c>
      <c r="J581">
        <v>2.793461502418003</v>
      </c>
      <c r="K581">
        <v>-0.31430314275624038</v>
      </c>
      <c r="M581">
        <f t="shared" si="28"/>
        <v>1.106739423498333</v>
      </c>
      <c r="N581">
        <f t="shared" si="29"/>
        <v>8</v>
      </c>
    </row>
    <row r="582" spans="1:14" x14ac:dyDescent="0.35">
      <c r="A582" t="str">
        <f t="shared" si="27"/>
        <v>18097350600_2024</v>
      </c>
      <c r="B582">
        <v>18097350600</v>
      </c>
      <c r="C582">
        <v>2024</v>
      </c>
      <c r="D582">
        <v>-1.188840934548498</v>
      </c>
      <c r="E582">
        <v>1.4031544168310479</v>
      </c>
      <c r="F582">
        <v>-0.21474356719226889</v>
      </c>
      <c r="G582">
        <v>0.49561960472664218</v>
      </c>
      <c r="H582">
        <v>9.4075002820948925E-2</v>
      </c>
      <c r="I582">
        <v>-0.25746830936868181</v>
      </c>
      <c r="J582">
        <v>2.998461712561729</v>
      </c>
      <c r="K582">
        <v>5.3489160278906947E-2</v>
      </c>
      <c r="M582">
        <f t="shared" si="28"/>
        <v>3.383747086109826</v>
      </c>
      <c r="N582">
        <f t="shared" si="29"/>
        <v>8</v>
      </c>
    </row>
    <row r="583" spans="1:14" x14ac:dyDescent="0.35">
      <c r="A583" t="str">
        <f t="shared" si="27"/>
        <v>18097350600_2025</v>
      </c>
      <c r="B583">
        <v>18097350600</v>
      </c>
      <c r="C583">
        <v>2025</v>
      </c>
      <c r="D583">
        <v>-0.84515854690744407</v>
      </c>
      <c r="E583">
        <v>1.5227053593057851</v>
      </c>
      <c r="F583">
        <v>0.26821030656278227</v>
      </c>
      <c r="G583">
        <v>-1.7898590669010119</v>
      </c>
      <c r="H583">
        <v>-6.8820679069192786E-2</v>
      </c>
      <c r="I583">
        <v>-0.28603697307176418</v>
      </c>
      <c r="J583">
        <v>3.0310279467695862</v>
      </c>
      <c r="K583">
        <v>-0.25681073367830232</v>
      </c>
      <c r="M583">
        <f t="shared" si="28"/>
        <v>1.5752576130104383</v>
      </c>
      <c r="N583">
        <f t="shared" si="29"/>
        <v>8</v>
      </c>
    </row>
    <row r="584" spans="1:14" x14ac:dyDescent="0.35">
      <c r="A584" t="str">
        <f t="shared" si="27"/>
        <v>18097350600_2026</v>
      </c>
      <c r="B584">
        <v>18097350600</v>
      </c>
      <c r="C584">
        <v>2026</v>
      </c>
      <c r="D584">
        <v>-1.3215669915295589</v>
      </c>
      <c r="E584">
        <v>1.253459041772699</v>
      </c>
      <c r="F584">
        <v>0.30251136367217291</v>
      </c>
      <c r="G584">
        <v>-4.5234025335681098E-2</v>
      </c>
      <c r="H584">
        <v>-1.9293677147825979E-2</v>
      </c>
      <c r="I584">
        <v>-0.23519671491107841</v>
      </c>
      <c r="J584">
        <v>2.9096004358449208</v>
      </c>
      <c r="K584">
        <v>-0.3550493154452008</v>
      </c>
      <c r="M584">
        <f t="shared" si="28"/>
        <v>2.4892301169204476</v>
      </c>
      <c r="N584">
        <f t="shared" si="29"/>
        <v>8</v>
      </c>
    </row>
    <row r="585" spans="1:14" x14ac:dyDescent="0.35">
      <c r="A585" t="str">
        <f t="shared" si="27"/>
        <v>18097350600_2027</v>
      </c>
      <c r="B585">
        <v>18097350600</v>
      </c>
      <c r="C585">
        <v>2027</v>
      </c>
      <c r="D585">
        <v>-1.244971309903536</v>
      </c>
      <c r="E585">
        <v>1.0007214208858479</v>
      </c>
      <c r="F585">
        <v>0.35014279522686043</v>
      </c>
      <c r="G585">
        <v>-1.1647114267522609</v>
      </c>
      <c r="H585">
        <v>-0.17300405800451829</v>
      </c>
      <c r="I585">
        <v>-0.12704400513127759</v>
      </c>
      <c r="J585">
        <v>2.8352077486778389</v>
      </c>
      <c r="K585">
        <v>-0.31803788904084013</v>
      </c>
      <c r="M585">
        <f t="shared" si="28"/>
        <v>1.1583032759581142</v>
      </c>
      <c r="N585">
        <f t="shared" si="29"/>
        <v>8</v>
      </c>
    </row>
    <row r="586" spans="1:14" x14ac:dyDescent="0.35">
      <c r="A586" t="str">
        <f t="shared" si="27"/>
        <v>18097350600_2028</v>
      </c>
      <c r="B586">
        <v>18097350600</v>
      </c>
      <c r="C586">
        <v>2028</v>
      </c>
      <c r="D586">
        <v>-1.428823006554812</v>
      </c>
      <c r="E586">
        <v>0.86301230470275636</v>
      </c>
      <c r="F586">
        <v>0.43274253543965518</v>
      </c>
      <c r="G586">
        <v>-0.49868477255367771</v>
      </c>
      <c r="H586">
        <v>-0.24497729971799781</v>
      </c>
      <c r="I586">
        <v>-3.346713829661685E-2</v>
      </c>
      <c r="J586">
        <v>2.793461502418003</v>
      </c>
      <c r="K586">
        <v>-0.31430314275624038</v>
      </c>
      <c r="M586">
        <f t="shared" si="28"/>
        <v>1.56896098268107</v>
      </c>
      <c r="N586">
        <f t="shared" si="29"/>
        <v>8</v>
      </c>
    </row>
    <row r="587" spans="1:14" x14ac:dyDescent="0.35">
      <c r="A587" t="str">
        <f t="shared" si="27"/>
        <v>18097350700_2024</v>
      </c>
      <c r="B587">
        <v>18097350700</v>
      </c>
      <c r="C587">
        <v>2024</v>
      </c>
      <c r="D587">
        <v>-1.188840938614387</v>
      </c>
      <c r="E587">
        <v>-5.3431435978144447E-2</v>
      </c>
      <c r="F587">
        <v>0.35191773286262967</v>
      </c>
      <c r="G587">
        <v>-2.0611814705853719</v>
      </c>
      <c r="H587">
        <v>0.21687236771807361</v>
      </c>
      <c r="I587">
        <v>1.5818851050803919</v>
      </c>
      <c r="J587">
        <v>2.998461712561729</v>
      </c>
      <c r="K587">
        <v>5.3489160278906947E-2</v>
      </c>
      <c r="M587">
        <f t="shared" si="28"/>
        <v>1.8991722333238281</v>
      </c>
      <c r="N587">
        <f t="shared" si="29"/>
        <v>8</v>
      </c>
    </row>
    <row r="588" spans="1:14" x14ac:dyDescent="0.35">
      <c r="A588" t="str">
        <f t="shared" si="27"/>
        <v>18097350700_2025</v>
      </c>
      <c r="B588">
        <v>18097350700</v>
      </c>
      <c r="C588">
        <v>2025</v>
      </c>
      <c r="D588">
        <v>-0.84516403155679076</v>
      </c>
      <c r="E588">
        <v>-4.8920495603836343E-2</v>
      </c>
      <c r="F588">
        <v>-0.31503824862490343</v>
      </c>
      <c r="G588">
        <v>-1.404311372748517</v>
      </c>
      <c r="H588">
        <v>0.5690442281227639</v>
      </c>
      <c r="I588">
        <v>1.743622828726024</v>
      </c>
      <c r="J588">
        <v>3.0310279467695862</v>
      </c>
      <c r="K588">
        <v>-0.25681073367830232</v>
      </c>
      <c r="M588">
        <f t="shared" si="28"/>
        <v>2.473450121406024</v>
      </c>
      <c r="N588">
        <f t="shared" si="29"/>
        <v>8</v>
      </c>
    </row>
    <row r="589" spans="1:14" x14ac:dyDescent="0.35">
      <c r="A589" t="str">
        <f t="shared" si="27"/>
        <v>18097350700_2026</v>
      </c>
      <c r="B589">
        <v>18097350700</v>
      </c>
      <c r="C589">
        <v>2026</v>
      </c>
      <c r="D589">
        <v>-1.3215645516024499</v>
      </c>
      <c r="E589">
        <v>-0.1539647565432273</v>
      </c>
      <c r="F589">
        <v>-0.16593293729542849</v>
      </c>
      <c r="G589">
        <v>-0.74576817373367421</v>
      </c>
      <c r="H589">
        <v>0.62684699184586079</v>
      </c>
      <c r="I589">
        <v>1.571687563451774</v>
      </c>
      <c r="J589">
        <v>2.9096004358449208</v>
      </c>
      <c r="K589">
        <v>-0.3550493154452008</v>
      </c>
      <c r="M589">
        <f t="shared" si="28"/>
        <v>2.3658552565225746</v>
      </c>
      <c r="N589">
        <f t="shared" si="29"/>
        <v>8</v>
      </c>
    </row>
    <row r="590" spans="1:14" x14ac:dyDescent="0.35">
      <c r="A590" t="str">
        <f t="shared" si="27"/>
        <v>18097350700_2027</v>
      </c>
      <c r="B590">
        <v>18097350700</v>
      </c>
      <c r="C590">
        <v>2027</v>
      </c>
      <c r="D590">
        <v>-1.2449780039392819</v>
      </c>
      <c r="E590">
        <v>1.3841582673800601E-3</v>
      </c>
      <c r="F590">
        <v>-8.0087294497143025E-2</v>
      </c>
      <c r="G590">
        <v>-1.436058448724973</v>
      </c>
      <c r="H590">
        <v>0.49088677408225129</v>
      </c>
      <c r="I590">
        <v>1.2204134864685541</v>
      </c>
      <c r="J590">
        <v>2.8352077486778389</v>
      </c>
      <c r="K590">
        <v>-0.31803788904084013</v>
      </c>
      <c r="M590">
        <f t="shared" si="28"/>
        <v>1.4687305312937864</v>
      </c>
      <c r="N590">
        <f t="shared" si="29"/>
        <v>8</v>
      </c>
    </row>
    <row r="591" spans="1:14" x14ac:dyDescent="0.35">
      <c r="A591" t="str">
        <f t="shared" si="27"/>
        <v>18097350700_2028</v>
      </c>
      <c r="B591">
        <v>18097350700</v>
      </c>
      <c r="C591">
        <v>2028</v>
      </c>
      <c r="D591">
        <v>-1.4288215358451679</v>
      </c>
      <c r="E591">
        <v>-1.3672750389929831E-2</v>
      </c>
      <c r="F591">
        <v>3.1237563605014281E-2</v>
      </c>
      <c r="G591">
        <v>-0.89350690834827939</v>
      </c>
      <c r="H591">
        <v>0.35114824309136239</v>
      </c>
      <c r="I591">
        <v>0.92477946408946476</v>
      </c>
      <c r="J591">
        <v>2.793461502418003</v>
      </c>
      <c r="K591">
        <v>-0.31430314275624038</v>
      </c>
      <c r="M591">
        <f t="shared" si="28"/>
        <v>1.4503224358642264</v>
      </c>
      <c r="N591">
        <f t="shared" si="29"/>
        <v>8</v>
      </c>
    </row>
    <row r="592" spans="1:14" x14ac:dyDescent="0.35">
      <c r="A592" t="str">
        <f t="shared" si="27"/>
        <v>18097350800_2024</v>
      </c>
      <c r="B592">
        <v>18097350800</v>
      </c>
      <c r="C592">
        <v>2024</v>
      </c>
      <c r="D592">
        <v>-1.120545272218245</v>
      </c>
      <c r="E592">
        <v>0.52841862304171849</v>
      </c>
      <c r="F592">
        <v>1.2284633726905121</v>
      </c>
      <c r="G592">
        <v>0.18014867856666769</v>
      </c>
      <c r="H592">
        <v>1.8740733779456429E-2</v>
      </c>
      <c r="I592">
        <v>0.83232857409986227</v>
      </c>
      <c r="J592">
        <v>2.120550582351886</v>
      </c>
      <c r="K592">
        <v>0.69717935899713535</v>
      </c>
      <c r="M592">
        <f t="shared" si="28"/>
        <v>4.4852846513089935</v>
      </c>
      <c r="N592">
        <f t="shared" si="29"/>
        <v>8</v>
      </c>
    </row>
    <row r="593" spans="1:14" x14ac:dyDescent="0.35">
      <c r="A593" t="str">
        <f t="shared" si="27"/>
        <v>18097350800_2025</v>
      </c>
      <c r="B593">
        <v>18097350800</v>
      </c>
      <c r="C593">
        <v>2025</v>
      </c>
      <c r="D593">
        <v>-0.73575401860583078</v>
      </c>
      <c r="E593">
        <v>0.75131151294536047</v>
      </c>
      <c r="F593">
        <v>0.78948815307722064</v>
      </c>
      <c r="G593">
        <v>-0.595968075818883</v>
      </c>
      <c r="H593">
        <v>-0.55432350458893975</v>
      </c>
      <c r="I593">
        <v>1.2955219133797911</v>
      </c>
      <c r="J593">
        <v>1.73072630712818</v>
      </c>
      <c r="K593">
        <v>3.2423581030502389</v>
      </c>
      <c r="M593">
        <f t="shared" si="28"/>
        <v>5.9233603905671375</v>
      </c>
      <c r="N593">
        <f t="shared" si="29"/>
        <v>8</v>
      </c>
    </row>
    <row r="594" spans="1:14" x14ac:dyDescent="0.35">
      <c r="A594" t="str">
        <f t="shared" si="27"/>
        <v>18097350800_2026</v>
      </c>
      <c r="B594">
        <v>18097350800</v>
      </c>
      <c r="C594">
        <v>2026</v>
      </c>
      <c r="D594">
        <v>-1.3163123393198191</v>
      </c>
      <c r="E594">
        <v>0.82872719174425113</v>
      </c>
      <c r="F594">
        <v>0.67348320112634397</v>
      </c>
      <c r="G594">
        <v>-9.4844818715852597E-2</v>
      </c>
      <c r="H594">
        <v>-0.46123120466894119</v>
      </c>
      <c r="I594">
        <v>1.2245107050331669</v>
      </c>
      <c r="J594">
        <v>1.634152238829832</v>
      </c>
      <c r="K594">
        <v>3.9461602418364108</v>
      </c>
      <c r="M594">
        <f t="shared" si="28"/>
        <v>6.434645215865392</v>
      </c>
      <c r="N594">
        <f t="shared" si="29"/>
        <v>8</v>
      </c>
    </row>
    <row r="595" spans="1:14" x14ac:dyDescent="0.35">
      <c r="A595" t="str">
        <f t="shared" si="27"/>
        <v>18097350800_2027</v>
      </c>
      <c r="B595">
        <v>18097350800</v>
      </c>
      <c r="C595">
        <v>2027</v>
      </c>
      <c r="D595">
        <v>-1.082090694948556</v>
      </c>
      <c r="E595">
        <v>0.77735747609294881</v>
      </c>
      <c r="F595">
        <v>0.6469371647721841</v>
      </c>
      <c r="G595">
        <v>-0.33221895291468079</v>
      </c>
      <c r="H595">
        <v>-0.55478807715109657</v>
      </c>
      <c r="I595">
        <v>1.001848602916882</v>
      </c>
      <c r="J595">
        <v>1.576191440820264</v>
      </c>
      <c r="K595">
        <v>4.5317846980509753</v>
      </c>
      <c r="M595">
        <f t="shared" si="28"/>
        <v>6.5650216576389209</v>
      </c>
      <c r="N595">
        <f t="shared" si="29"/>
        <v>8</v>
      </c>
    </row>
    <row r="596" spans="1:14" x14ac:dyDescent="0.35">
      <c r="A596" t="str">
        <f t="shared" si="27"/>
        <v>18097350800_2028</v>
      </c>
      <c r="B596">
        <v>18097350800</v>
      </c>
      <c r="C596">
        <v>2028</v>
      </c>
      <c r="D596">
        <v>-1.4110038590756719</v>
      </c>
      <c r="E596">
        <v>0.75030196859345577</v>
      </c>
      <c r="F596">
        <v>0.67308218666671438</v>
      </c>
      <c r="G596">
        <v>-0.21896664199589549</v>
      </c>
      <c r="H596">
        <v>-0.5204290913802706</v>
      </c>
      <c r="I596">
        <v>0.78148998224839827</v>
      </c>
      <c r="J596">
        <v>1.5461266878488511</v>
      </c>
      <c r="K596">
        <v>4.879027770561974</v>
      </c>
      <c r="M596">
        <f t="shared" si="28"/>
        <v>6.4796290034675552</v>
      </c>
      <c r="N596">
        <f t="shared" si="29"/>
        <v>8</v>
      </c>
    </row>
    <row r="597" spans="1:14" x14ac:dyDescent="0.35">
      <c r="A597" t="str">
        <f t="shared" si="27"/>
        <v>18097350900_2024</v>
      </c>
      <c r="B597">
        <v>18097350900</v>
      </c>
      <c r="C597">
        <v>2024</v>
      </c>
      <c r="D597">
        <v>-1.152163164406262</v>
      </c>
      <c r="E597">
        <v>0.67204756119382336</v>
      </c>
      <c r="F597">
        <v>-0.3808446720539444</v>
      </c>
      <c r="G597">
        <v>2.808788523092046</v>
      </c>
      <c r="H597">
        <v>9.1363006201671162E-2</v>
      </c>
      <c r="I597">
        <v>1.352377473693148</v>
      </c>
      <c r="J597">
        <v>0.45081304436208319</v>
      </c>
      <c r="K597">
        <v>9.2285762432684257E-2</v>
      </c>
      <c r="M597">
        <f t="shared" si="28"/>
        <v>3.9346675345152491</v>
      </c>
      <c r="N597">
        <f t="shared" si="29"/>
        <v>8</v>
      </c>
    </row>
    <row r="598" spans="1:14" x14ac:dyDescent="0.35">
      <c r="A598" t="str">
        <f t="shared" si="27"/>
        <v>18097350900_2025</v>
      </c>
      <c r="B598">
        <v>18097350900</v>
      </c>
      <c r="C598">
        <v>2025</v>
      </c>
      <c r="D598">
        <v>0.15857716284704049</v>
      </c>
      <c r="E598">
        <v>0.87007436980941466</v>
      </c>
      <c r="F598">
        <v>-0.129466226213795</v>
      </c>
      <c r="G598">
        <v>2.6935686644758801</v>
      </c>
      <c r="H598">
        <v>2.4837315751958182</v>
      </c>
      <c r="I598">
        <v>1.2363641913606409</v>
      </c>
      <c r="J598">
        <v>0.22083034060939821</v>
      </c>
      <c r="K598">
        <v>-5.7253388089479558E-2</v>
      </c>
      <c r="M598">
        <f t="shared" si="28"/>
        <v>7.4764266899949181</v>
      </c>
      <c r="N598">
        <f t="shared" si="29"/>
        <v>8</v>
      </c>
    </row>
    <row r="599" spans="1:14" x14ac:dyDescent="0.35">
      <c r="A599" t="str">
        <f t="shared" si="27"/>
        <v>18097350900_2026</v>
      </c>
      <c r="B599">
        <v>18097350900</v>
      </c>
      <c r="C599">
        <v>2026</v>
      </c>
      <c r="D599">
        <v>-1.271593486534953</v>
      </c>
      <c r="E599">
        <v>0.96117884153167876</v>
      </c>
      <c r="F599">
        <v>-5.1725685717151672E-2</v>
      </c>
      <c r="G599">
        <v>2.1718146996765761</v>
      </c>
      <c r="H599">
        <v>0.41385827220267801</v>
      </c>
      <c r="I599">
        <v>1.306360288666454</v>
      </c>
      <c r="J599">
        <v>0.12357941317723729</v>
      </c>
      <c r="K599">
        <v>-0.13534247806031349</v>
      </c>
      <c r="M599">
        <f t="shared" si="28"/>
        <v>3.5181298649422059</v>
      </c>
      <c r="N599">
        <f t="shared" si="29"/>
        <v>8</v>
      </c>
    </row>
    <row r="600" spans="1:14" x14ac:dyDescent="0.35">
      <c r="A600" t="str">
        <f t="shared" si="27"/>
        <v>18097350900_2027</v>
      </c>
      <c r="B600">
        <v>18097350900</v>
      </c>
      <c r="C600">
        <v>2027</v>
      </c>
      <c r="D600">
        <v>-0.32553525939690048</v>
      </c>
      <c r="E600">
        <v>0.88919717155910161</v>
      </c>
      <c r="F600">
        <v>-8.5550750275213791E-2</v>
      </c>
      <c r="G600">
        <v>2.3026289745653399</v>
      </c>
      <c r="H600">
        <v>3.051803049732158</v>
      </c>
      <c r="I600">
        <v>0.98300192225041605</v>
      </c>
      <c r="J600">
        <v>8.6614330681628243E-2</v>
      </c>
      <c r="K600">
        <v>-9.0944473841421999E-2</v>
      </c>
      <c r="M600">
        <f t="shared" si="28"/>
        <v>6.8112149652751075</v>
      </c>
      <c r="N600">
        <f t="shared" si="29"/>
        <v>8</v>
      </c>
    </row>
    <row r="601" spans="1:14" x14ac:dyDescent="0.35">
      <c r="A601" t="str">
        <f t="shared" si="27"/>
        <v>18097350900_2028</v>
      </c>
      <c r="B601">
        <v>18097350900</v>
      </c>
      <c r="C601">
        <v>2028</v>
      </c>
      <c r="D601">
        <v>-1.0353099134573149</v>
      </c>
      <c r="E601">
        <v>0.84202474346854894</v>
      </c>
      <c r="F601">
        <v>-3.240977557982256E-2</v>
      </c>
      <c r="G601">
        <v>1.9550864975587281</v>
      </c>
      <c r="H601">
        <v>1.678524224609192</v>
      </c>
      <c r="I601">
        <v>0.79550432886771028</v>
      </c>
      <c r="J601">
        <v>7.0294213560224583E-2</v>
      </c>
      <c r="K601">
        <v>-8.5689873230702873E-2</v>
      </c>
      <c r="M601">
        <f t="shared" si="28"/>
        <v>4.1880244457965627</v>
      </c>
      <c r="N601">
        <f t="shared" si="29"/>
        <v>8</v>
      </c>
    </row>
    <row r="602" spans="1:14" x14ac:dyDescent="0.35">
      <c r="A602" t="str">
        <f t="shared" si="27"/>
        <v>18097351000_2024</v>
      </c>
      <c r="B602">
        <v>18097351000</v>
      </c>
      <c r="C602">
        <v>2024</v>
      </c>
      <c r="D602">
        <v>-1.33361284172183</v>
      </c>
      <c r="E602">
        <v>0.6437572587853061</v>
      </c>
      <c r="F602">
        <v>-0.48129801186261728</v>
      </c>
      <c r="H602">
        <v>-5.6307885168837696E-3</v>
      </c>
      <c r="I602">
        <v>0.42121743729462358</v>
      </c>
      <c r="J602">
        <v>-0.31301430457922702</v>
      </c>
      <c r="K602">
        <v>0.1115587420583834</v>
      </c>
      <c r="M602">
        <f t="shared" si="28"/>
        <v>-0.95702250854224502</v>
      </c>
      <c r="N602">
        <f t="shared" si="29"/>
        <v>7</v>
      </c>
    </row>
    <row r="603" spans="1:14" x14ac:dyDescent="0.35">
      <c r="A603" t="str">
        <f t="shared" si="27"/>
        <v>18097351000_2025</v>
      </c>
      <c r="B603">
        <v>18097351000</v>
      </c>
      <c r="C603">
        <v>2025</v>
      </c>
      <c r="D603">
        <v>0.4277255645885279</v>
      </c>
      <c r="E603">
        <v>0.18895295052926539</v>
      </c>
      <c r="F603">
        <v>-0.77024861439339043</v>
      </c>
      <c r="G603">
        <v>1.2957021887882429</v>
      </c>
      <c r="H603">
        <v>-0.56170719078870734</v>
      </c>
      <c r="I603">
        <v>0.92734482071701119</v>
      </c>
      <c r="J603">
        <v>0.18398681585640039</v>
      </c>
      <c r="K603">
        <v>-7.9037545086684605E-2</v>
      </c>
      <c r="M603">
        <f t="shared" si="28"/>
        <v>1.6127189902106653</v>
      </c>
      <c r="N603">
        <f t="shared" si="29"/>
        <v>8</v>
      </c>
    </row>
    <row r="604" spans="1:14" x14ac:dyDescent="0.35">
      <c r="A604" t="str">
        <f t="shared" si="27"/>
        <v>18097351000_2026</v>
      </c>
      <c r="B604">
        <v>18097351000</v>
      </c>
      <c r="C604">
        <v>2026</v>
      </c>
      <c r="D604">
        <v>-1.0573809593857291</v>
      </c>
      <c r="E604">
        <v>0.76720728188223275</v>
      </c>
      <c r="F604">
        <v>-0.8157542714345547</v>
      </c>
      <c r="G604">
        <v>-1.072361604693159</v>
      </c>
      <c r="H604">
        <v>-0.44391635366261939</v>
      </c>
      <c r="I604">
        <v>0.9502548604041392</v>
      </c>
      <c r="J604">
        <v>0.32154770539467931</v>
      </c>
      <c r="K604">
        <v>-0.19224901885220569</v>
      </c>
      <c r="M604">
        <f t="shared" si="28"/>
        <v>-1.5426523603472166</v>
      </c>
      <c r="N604">
        <f t="shared" si="29"/>
        <v>8</v>
      </c>
    </row>
    <row r="605" spans="1:14" x14ac:dyDescent="0.35">
      <c r="A605" t="str">
        <f t="shared" si="27"/>
        <v>18097351000_2027</v>
      </c>
      <c r="B605">
        <v>18097351000</v>
      </c>
      <c r="C605">
        <v>2027</v>
      </c>
      <c r="D605">
        <v>-0.1038258162888166</v>
      </c>
      <c r="E605">
        <v>0.42999498945013909</v>
      </c>
      <c r="F605">
        <v>-0.93250822423469715</v>
      </c>
      <c r="G605">
        <v>1.014504876440419</v>
      </c>
      <c r="H605">
        <v>-0.53496507509467861</v>
      </c>
      <c r="I605">
        <v>0.81670206583515548</v>
      </c>
      <c r="J605">
        <v>0.3481068616399034</v>
      </c>
      <c r="K605">
        <v>-0.16447631212555339</v>
      </c>
      <c r="M605">
        <f t="shared" si="28"/>
        <v>0.87353336562187123</v>
      </c>
      <c r="N605">
        <f t="shared" si="29"/>
        <v>8</v>
      </c>
    </row>
    <row r="606" spans="1:14" x14ac:dyDescent="0.35">
      <c r="A606" t="str">
        <f t="shared" si="27"/>
        <v>18097351000_2028</v>
      </c>
      <c r="B606">
        <v>18097351000</v>
      </c>
      <c r="C606">
        <v>2028</v>
      </c>
      <c r="D606">
        <v>-0.76854234783269215</v>
      </c>
      <c r="E606">
        <v>0.62441514844158152</v>
      </c>
      <c r="F606">
        <v>-0.969531201516032</v>
      </c>
      <c r="G606">
        <v>-0.8273941794323566</v>
      </c>
      <c r="H606">
        <v>-0.50572450744786868</v>
      </c>
      <c r="I606">
        <v>0.66045503217522905</v>
      </c>
      <c r="J606">
        <v>0.34806753896582893</v>
      </c>
      <c r="K606">
        <v>-0.16763704734054419</v>
      </c>
      <c r="M606">
        <f t="shared" si="28"/>
        <v>-1.6058915639868538</v>
      </c>
      <c r="N606">
        <f t="shared" si="29"/>
        <v>8</v>
      </c>
    </row>
    <row r="607" spans="1:14" x14ac:dyDescent="0.35">
      <c r="A607" t="str">
        <f t="shared" si="27"/>
        <v>18097351200_2024</v>
      </c>
      <c r="B607">
        <v>18097351200</v>
      </c>
      <c r="C607">
        <v>2024</v>
      </c>
      <c r="D607">
        <v>-1.462774584844122</v>
      </c>
      <c r="E607">
        <v>2.907769618982047</v>
      </c>
      <c r="F607">
        <v>-0.26186604260606883</v>
      </c>
      <c r="G607">
        <v>8.9852001795527159E-2</v>
      </c>
      <c r="H607">
        <v>0.35710398864778881</v>
      </c>
      <c r="I607">
        <v>-1.1760639430341</v>
      </c>
      <c r="J607">
        <v>-0.68828517049382776</v>
      </c>
      <c r="K607">
        <v>0.1312637837966433</v>
      </c>
      <c r="M607">
        <f t="shared" si="28"/>
        <v>-0.10300034775611253</v>
      </c>
      <c r="N607">
        <f t="shared" si="29"/>
        <v>8</v>
      </c>
    </row>
    <row r="608" spans="1:14" x14ac:dyDescent="0.35">
      <c r="A608" t="str">
        <f t="shared" si="27"/>
        <v>18097351200_2025</v>
      </c>
      <c r="B608">
        <v>18097351200</v>
      </c>
      <c r="C608">
        <v>2025</v>
      </c>
      <c r="D608">
        <v>0.55959663209986676</v>
      </c>
      <c r="E608">
        <v>-1.8260633716582551</v>
      </c>
      <c r="F608">
        <v>-0.8378727011735565</v>
      </c>
      <c r="G608">
        <v>0.4493481201317871</v>
      </c>
      <c r="H608">
        <v>1.554638122521856</v>
      </c>
      <c r="I608">
        <v>1.981818586487375</v>
      </c>
      <c r="J608">
        <v>-0.12939832353102071</v>
      </c>
      <c r="K608">
        <v>-5.0494312702515851E-2</v>
      </c>
      <c r="M608">
        <f t="shared" si="28"/>
        <v>1.7015727521755366</v>
      </c>
      <c r="N608">
        <f t="shared" si="29"/>
        <v>8</v>
      </c>
    </row>
    <row r="609" spans="1:14" x14ac:dyDescent="0.35">
      <c r="A609" t="str">
        <f t="shared" si="27"/>
        <v>18097351200_2026</v>
      </c>
      <c r="B609">
        <v>18097351200</v>
      </c>
      <c r="C609">
        <v>2026</v>
      </c>
      <c r="D609">
        <v>-1.022474948387214</v>
      </c>
      <c r="E609">
        <v>2.200763590621952</v>
      </c>
      <c r="F609">
        <v>-0.72441145674182883</v>
      </c>
      <c r="G609">
        <v>0.38612588116546109</v>
      </c>
      <c r="H609">
        <v>1.9385814300801121</v>
      </c>
      <c r="I609">
        <v>1.5067547618850901</v>
      </c>
      <c r="J609">
        <v>0.16305057431959979</v>
      </c>
      <c r="K609">
        <v>-0.185948664706024</v>
      </c>
      <c r="M609">
        <f t="shared" si="28"/>
        <v>4.2624411682371486</v>
      </c>
      <c r="N609">
        <f t="shared" si="29"/>
        <v>8</v>
      </c>
    </row>
    <row r="610" spans="1:14" x14ac:dyDescent="0.35">
      <c r="A610" t="str">
        <f t="shared" si="27"/>
        <v>18097351200_2027</v>
      </c>
      <c r="B610">
        <v>18097351200</v>
      </c>
      <c r="C610">
        <v>2027</v>
      </c>
      <c r="D610">
        <v>-3.122989382899204E-2</v>
      </c>
      <c r="E610">
        <v>-0.46734386195864569</v>
      </c>
      <c r="F610">
        <v>-0.76950164927318021</v>
      </c>
      <c r="G610">
        <v>0.49896540513219451</v>
      </c>
      <c r="H610">
        <v>2.5137982960394849</v>
      </c>
      <c r="I610">
        <v>1.0602056708347609</v>
      </c>
      <c r="J610">
        <v>0.28667662180857501</v>
      </c>
      <c r="K610">
        <v>-0.1715487321609763</v>
      </c>
      <c r="M610">
        <f t="shared" si="28"/>
        <v>2.920021856593221</v>
      </c>
      <c r="N610">
        <f t="shared" si="29"/>
        <v>8</v>
      </c>
    </row>
    <row r="611" spans="1:14" x14ac:dyDescent="0.35">
      <c r="A611" t="str">
        <f t="shared" si="27"/>
        <v>18097351200_2028</v>
      </c>
      <c r="B611">
        <v>18097351200</v>
      </c>
      <c r="C611">
        <v>2028</v>
      </c>
      <c r="D611">
        <v>-0.69561795001822235</v>
      </c>
      <c r="E611">
        <v>1.054663672997737</v>
      </c>
      <c r="F611">
        <v>-0.77124343579805388</v>
      </c>
      <c r="G611">
        <v>0.44312830416995858</v>
      </c>
      <c r="H611">
        <v>3.0929887365066229</v>
      </c>
      <c r="I611">
        <v>0.74678809678286351</v>
      </c>
      <c r="J611">
        <v>0.33565218732903213</v>
      </c>
      <c r="K611">
        <v>-0.18299330708051201</v>
      </c>
      <c r="M611">
        <f t="shared" si="28"/>
        <v>4.0233663048894259</v>
      </c>
      <c r="N611">
        <f t="shared" si="29"/>
        <v>8</v>
      </c>
    </row>
    <row r="612" spans="1:14" x14ac:dyDescent="0.35">
      <c r="A612" t="str">
        <f t="shared" si="27"/>
        <v>18097351500_2024</v>
      </c>
      <c r="B612">
        <v>18097351500</v>
      </c>
      <c r="C612">
        <v>2024</v>
      </c>
      <c r="D612">
        <v>-1.356548512393128</v>
      </c>
      <c r="E612">
        <v>0.4646171765421338</v>
      </c>
      <c r="F612">
        <v>0.77148296679119599</v>
      </c>
      <c r="G612">
        <v>-0.13081872367531469</v>
      </c>
      <c r="H612">
        <v>0.2431529986302991</v>
      </c>
      <c r="I612">
        <v>0.75416267992911201</v>
      </c>
      <c r="J612">
        <v>-0.40393017406851378</v>
      </c>
      <c r="K612">
        <v>0.1154502634530946</v>
      </c>
      <c r="M612">
        <f t="shared" si="28"/>
        <v>0.45756867520887906</v>
      </c>
      <c r="N612">
        <f t="shared" si="29"/>
        <v>8</v>
      </c>
    </row>
    <row r="613" spans="1:14" x14ac:dyDescent="0.35">
      <c r="A613" t="str">
        <f t="shared" si="27"/>
        <v>18097351500_2025</v>
      </c>
      <c r="B613">
        <v>18097351500</v>
      </c>
      <c r="C613">
        <v>2025</v>
      </c>
      <c r="D613">
        <v>0.45191709326564022</v>
      </c>
      <c r="E613">
        <v>0.62954826697033517</v>
      </c>
      <c r="F613">
        <v>-9.734682866689752E-2</v>
      </c>
      <c r="G613">
        <v>0.41273002055811381</v>
      </c>
      <c r="H613">
        <v>0.37869410614657828</v>
      </c>
      <c r="I613">
        <v>1.3008257031780781</v>
      </c>
      <c r="J613">
        <v>0.1225828431979686</v>
      </c>
      <c r="K613">
        <v>-7.3494662270656028E-2</v>
      </c>
      <c r="M613">
        <f t="shared" si="28"/>
        <v>3.1254565423791614</v>
      </c>
      <c r="N613">
        <f t="shared" si="29"/>
        <v>8</v>
      </c>
    </row>
    <row r="614" spans="1:14" x14ac:dyDescent="0.35">
      <c r="A614" t="str">
        <f t="shared" si="27"/>
        <v>18097351500_2026</v>
      </c>
      <c r="B614">
        <v>18097351500</v>
      </c>
      <c r="C614">
        <v>2026</v>
      </c>
      <c r="D614">
        <v>-1.0474570974120421</v>
      </c>
      <c r="E614">
        <v>0.71193647532744397</v>
      </c>
      <c r="F614">
        <v>7.100012078441556E-2</v>
      </c>
      <c r="G614">
        <v>7.1091191213400046E-2</v>
      </c>
      <c r="H614">
        <v>0.51100917680828162</v>
      </c>
      <c r="I614">
        <v>1.1137189029923129</v>
      </c>
      <c r="J614">
        <v>0.29757017944431641</v>
      </c>
      <c r="K614">
        <v>-0.19122541416068969</v>
      </c>
      <c r="M614">
        <f t="shared" si="28"/>
        <v>1.5376435349974387</v>
      </c>
      <c r="N614">
        <f t="shared" si="29"/>
        <v>8</v>
      </c>
    </row>
    <row r="615" spans="1:14" x14ac:dyDescent="0.35">
      <c r="A615" t="str">
        <f t="shared" si="27"/>
        <v>18097351500_2027</v>
      </c>
      <c r="B615">
        <v>18097351500</v>
      </c>
      <c r="C615">
        <v>2027</v>
      </c>
      <c r="D615">
        <v>-8.9091696780152968E-2</v>
      </c>
      <c r="E615">
        <v>0.67397301561703793</v>
      </c>
      <c r="F615">
        <v>-1.968261445339126E-2</v>
      </c>
      <c r="G615">
        <v>0.30086365019426281</v>
      </c>
      <c r="H615">
        <v>0.33986891119644769</v>
      </c>
      <c r="I615">
        <v>0.9332115870364216</v>
      </c>
      <c r="J615">
        <v>0.34299379562150861</v>
      </c>
      <c r="K615">
        <v>-0.16621554761453999</v>
      </c>
      <c r="M615">
        <f t="shared" si="28"/>
        <v>2.3159211008175942</v>
      </c>
      <c r="N615">
        <f t="shared" si="29"/>
        <v>8</v>
      </c>
    </row>
    <row r="616" spans="1:14" x14ac:dyDescent="0.35">
      <c r="A616" t="str">
        <f t="shared" si="27"/>
        <v>18097351500_2028</v>
      </c>
      <c r="B616">
        <v>18097351500</v>
      </c>
      <c r="C616">
        <v>2028</v>
      </c>
      <c r="D616">
        <v>-0.75238755343461949</v>
      </c>
      <c r="E616">
        <v>0.66505929124694574</v>
      </c>
      <c r="F616">
        <v>9.2250037309573041E-2</v>
      </c>
      <c r="G616">
        <v>0.17757683129565019</v>
      </c>
      <c r="H616">
        <v>0.203466154521287</v>
      </c>
      <c r="I616">
        <v>0.73324439441066536</v>
      </c>
      <c r="J616">
        <v>0.35077478769142229</v>
      </c>
      <c r="K616">
        <v>-0.17111354934095971</v>
      </c>
      <c r="M616">
        <f t="shared" si="28"/>
        <v>1.2988703936999644</v>
      </c>
      <c r="N616">
        <f t="shared" si="29"/>
        <v>8</v>
      </c>
    </row>
    <row r="617" spans="1:14" x14ac:dyDescent="0.35">
      <c r="A617" t="str">
        <f t="shared" si="27"/>
        <v>18097351600_2024</v>
      </c>
      <c r="B617">
        <v>18097351600</v>
      </c>
      <c r="C617">
        <v>2024</v>
      </c>
      <c r="D617">
        <v>-1.0699520073639801</v>
      </c>
      <c r="E617">
        <v>0.35042195077614291</v>
      </c>
      <c r="F617">
        <v>-0.39014187242955323</v>
      </c>
      <c r="G617">
        <v>0.33522109315874238</v>
      </c>
      <c r="I617">
        <v>0.46703250545009661</v>
      </c>
      <c r="J617">
        <v>0.28820408118542468</v>
      </c>
      <c r="K617">
        <v>0.40004920829138563</v>
      </c>
      <c r="M617">
        <f t="shared" si="28"/>
        <v>0.38083495906825887</v>
      </c>
      <c r="N617">
        <f t="shared" si="29"/>
        <v>7</v>
      </c>
    </row>
    <row r="618" spans="1:14" x14ac:dyDescent="0.35">
      <c r="A618" t="str">
        <f t="shared" si="27"/>
        <v>18097351600_2025</v>
      </c>
      <c r="B618">
        <v>18097351600</v>
      </c>
      <c r="C618">
        <v>2025</v>
      </c>
      <c r="D618">
        <v>0.42474564129118669</v>
      </c>
      <c r="E618">
        <v>0.51071707109992392</v>
      </c>
      <c r="F618">
        <v>-0.62477727490025703</v>
      </c>
      <c r="G618">
        <v>1.3810979491271389</v>
      </c>
      <c r="I618">
        <v>0.84923120084395909</v>
      </c>
      <c r="J618">
        <v>0.1132957843257119</v>
      </c>
      <c r="K618">
        <v>0.94396254195746476</v>
      </c>
      <c r="M618">
        <f t="shared" si="28"/>
        <v>3.5982729137451281</v>
      </c>
      <c r="N618">
        <f t="shared" si="29"/>
        <v>7</v>
      </c>
    </row>
    <row r="619" spans="1:14" x14ac:dyDescent="0.35">
      <c r="A619" t="str">
        <f t="shared" si="27"/>
        <v>18097351600_2026</v>
      </c>
      <c r="B619">
        <v>18097351600</v>
      </c>
      <c r="C619">
        <v>2026</v>
      </c>
      <c r="D619">
        <v>-0.92493599513922264</v>
      </c>
      <c r="E619">
        <v>0.59035152415704573</v>
      </c>
      <c r="F619">
        <v>-0.72106023834103272</v>
      </c>
      <c r="G619">
        <v>1.1953529151396409</v>
      </c>
      <c r="I619">
        <v>0.77077771138139728</v>
      </c>
      <c r="J619">
        <v>1.8980854797220101E-2</v>
      </c>
      <c r="K619">
        <v>0.81221656398782205</v>
      </c>
      <c r="M619">
        <f t="shared" si="28"/>
        <v>1.741683335982871</v>
      </c>
      <c r="N619">
        <f t="shared" si="29"/>
        <v>7</v>
      </c>
    </row>
    <row r="620" spans="1:14" x14ac:dyDescent="0.35">
      <c r="A620" t="str">
        <f t="shared" si="27"/>
        <v>18097351600_2027</v>
      </c>
      <c r="B620">
        <v>18097351600</v>
      </c>
      <c r="C620">
        <v>2027</v>
      </c>
      <c r="D620">
        <v>-1.283453112562967E-2</v>
      </c>
      <c r="E620">
        <v>-0.16394294288571379</v>
      </c>
      <c r="F620">
        <v>-0.85281676868548906</v>
      </c>
      <c r="G620">
        <v>1.4729926026129561</v>
      </c>
      <c r="I620">
        <v>0.67801688531033988</v>
      </c>
      <c r="J620">
        <v>-1.6531656644033131E-2</v>
      </c>
      <c r="K620">
        <v>0.83407209120596515</v>
      </c>
      <c r="M620">
        <f t="shared" si="28"/>
        <v>1.9389556797883953</v>
      </c>
      <c r="N620">
        <f t="shared" si="29"/>
        <v>7</v>
      </c>
    </row>
    <row r="621" spans="1:14" x14ac:dyDescent="0.35">
      <c r="A621" t="str">
        <f t="shared" si="27"/>
        <v>18097351600_2028</v>
      </c>
      <c r="B621">
        <v>18097351600</v>
      </c>
      <c r="C621">
        <v>2028</v>
      </c>
      <c r="D621">
        <v>-0.6474137888626591</v>
      </c>
      <c r="E621">
        <v>-0.15531203518722619</v>
      </c>
      <c r="F621">
        <v>-0.89456762824961333</v>
      </c>
      <c r="G621">
        <v>1.339415647122411</v>
      </c>
      <c r="I621">
        <v>0.56264848673590895</v>
      </c>
      <c r="J621">
        <v>-3.1896532528962102E-2</v>
      </c>
      <c r="K621">
        <v>0.8240820645207535</v>
      </c>
      <c r="M621">
        <f t="shared" si="28"/>
        <v>0.9969562135506127</v>
      </c>
      <c r="N621">
        <f t="shared" si="29"/>
        <v>7</v>
      </c>
    </row>
    <row r="622" spans="1:14" x14ac:dyDescent="0.35">
      <c r="A622" t="str">
        <f t="shared" si="27"/>
        <v>18097351700_2024</v>
      </c>
      <c r="B622">
        <v>18097351700</v>
      </c>
      <c r="C622">
        <v>2024</v>
      </c>
      <c r="D622">
        <v>-1.00826114219765</v>
      </c>
      <c r="E622">
        <v>0.32468905614201182</v>
      </c>
      <c r="F622">
        <v>-0.37870137912752633</v>
      </c>
      <c r="G622">
        <v>-2.0717903946242489</v>
      </c>
      <c r="H622">
        <v>0.39416307890209168</v>
      </c>
      <c r="I622">
        <v>1.140820082922547</v>
      </c>
      <c r="J622">
        <v>0.32330469592973199</v>
      </c>
      <c r="K622">
        <v>0.31981280970147918</v>
      </c>
      <c r="M622">
        <f t="shared" si="28"/>
        <v>-0.95596319235156302</v>
      </c>
      <c r="N622">
        <f t="shared" si="29"/>
        <v>8</v>
      </c>
    </row>
    <row r="623" spans="1:14" x14ac:dyDescent="0.35">
      <c r="A623" t="str">
        <f t="shared" si="27"/>
        <v>18097351700_2025</v>
      </c>
      <c r="B623">
        <v>18097351700</v>
      </c>
      <c r="C623">
        <v>2025</v>
      </c>
      <c r="D623">
        <v>8.4869223751344772E-2</v>
      </c>
      <c r="E623">
        <v>0.78186071694599368</v>
      </c>
      <c r="F623">
        <v>-0.68172454248594838</v>
      </c>
      <c r="G623">
        <v>1.178067751422113</v>
      </c>
      <c r="H623">
        <v>1.663979948551616</v>
      </c>
      <c r="I623">
        <v>0.82838681323256469</v>
      </c>
      <c r="J623">
        <v>0.10145618350835239</v>
      </c>
      <c r="K623">
        <v>0.82964174859692974</v>
      </c>
      <c r="M623">
        <f t="shared" si="28"/>
        <v>4.7865378435229662</v>
      </c>
      <c r="N623">
        <f t="shared" si="29"/>
        <v>8</v>
      </c>
    </row>
    <row r="624" spans="1:14" x14ac:dyDescent="0.35">
      <c r="A624" t="str">
        <f t="shared" si="27"/>
        <v>18097351700_2026</v>
      </c>
      <c r="B624">
        <v>18097351700</v>
      </c>
      <c r="C624">
        <v>2026</v>
      </c>
      <c r="D624">
        <v>-1.1728543487935259</v>
      </c>
      <c r="E624">
        <v>0.72257435505774514</v>
      </c>
      <c r="F624">
        <v>-0.74816041902299657</v>
      </c>
      <c r="G624">
        <v>1.13077078617232</v>
      </c>
      <c r="H624">
        <v>1.8761691035763799</v>
      </c>
      <c r="I624">
        <v>1.065571216970127</v>
      </c>
      <c r="J624">
        <v>5.5710141000003396E-3</v>
      </c>
      <c r="K624">
        <v>0.74392006552024981</v>
      </c>
      <c r="M624">
        <f t="shared" si="28"/>
        <v>3.6235617735802998</v>
      </c>
      <c r="N624">
        <f t="shared" si="29"/>
        <v>8</v>
      </c>
    </row>
    <row r="625" spans="1:14" x14ac:dyDescent="0.35">
      <c r="A625" t="str">
        <f t="shared" si="27"/>
        <v>18097351700_2027</v>
      </c>
      <c r="B625">
        <v>18097351700</v>
      </c>
      <c r="C625">
        <v>2027</v>
      </c>
      <c r="D625">
        <v>-0.3056351439424328</v>
      </c>
      <c r="E625">
        <v>0.72842131583761571</v>
      </c>
      <c r="F625">
        <v>-0.86266871724354754</v>
      </c>
      <c r="G625">
        <v>1.390949123429017</v>
      </c>
      <c r="H625">
        <v>2.1244838208307431</v>
      </c>
      <c r="I625">
        <v>0.76921023826823198</v>
      </c>
      <c r="J625">
        <v>-2.9804514395372961E-2</v>
      </c>
      <c r="K625">
        <v>0.77673379333825843</v>
      </c>
      <c r="M625">
        <f t="shared" si="28"/>
        <v>4.5916899161225126</v>
      </c>
      <c r="N625">
        <f t="shared" si="29"/>
        <v>8</v>
      </c>
    </row>
    <row r="626" spans="1:14" x14ac:dyDescent="0.35">
      <c r="A626" t="str">
        <f t="shared" si="27"/>
        <v>18097351700_2028</v>
      </c>
      <c r="B626">
        <v>18097351700</v>
      </c>
      <c r="C626">
        <v>2028</v>
      </c>
      <c r="D626">
        <v>-0.97945736192335575</v>
      </c>
      <c r="E626">
        <v>0.69624031363976768</v>
      </c>
      <c r="F626">
        <v>-0.89486726565112773</v>
      </c>
      <c r="G626">
        <v>1.283130415537201</v>
      </c>
      <c r="H626">
        <v>2.833935740120292</v>
      </c>
      <c r="I626">
        <v>0.67215490226970687</v>
      </c>
      <c r="J626">
        <v>-4.5047639566233699E-2</v>
      </c>
      <c r="K626">
        <v>0.76975326967222013</v>
      </c>
      <c r="M626">
        <f t="shared" si="28"/>
        <v>4.3358423740984708</v>
      </c>
      <c r="N626">
        <f t="shared" si="29"/>
        <v>8</v>
      </c>
    </row>
    <row r="627" spans="1:14" x14ac:dyDescent="0.35">
      <c r="A627" t="str">
        <f t="shared" si="27"/>
        <v>18097351900_2024</v>
      </c>
      <c r="B627">
        <v>18097351900</v>
      </c>
      <c r="C627">
        <v>2024</v>
      </c>
      <c r="D627">
        <v>-1.1888409397155819</v>
      </c>
      <c r="E627">
        <v>1.206943688622766</v>
      </c>
      <c r="F627">
        <v>-0.207602162614278</v>
      </c>
      <c r="G627">
        <v>0.1149882812883312</v>
      </c>
      <c r="H627">
        <v>-0.47273389289445611</v>
      </c>
      <c r="J627">
        <v>2.998461712561729</v>
      </c>
      <c r="K627">
        <v>5.3489160278906947E-2</v>
      </c>
      <c r="M627">
        <f t="shared" si="28"/>
        <v>2.5047058475274171</v>
      </c>
      <c r="N627">
        <f t="shared" si="29"/>
        <v>7</v>
      </c>
    </row>
    <row r="628" spans="1:14" x14ac:dyDescent="0.35">
      <c r="A628" t="str">
        <f t="shared" si="27"/>
        <v>18097351900_2025</v>
      </c>
      <c r="B628">
        <v>18097351900</v>
      </c>
      <c r="C628">
        <v>2025</v>
      </c>
      <c r="D628">
        <v>-0.84516250116889202</v>
      </c>
      <c r="E628">
        <v>1.183397972486842</v>
      </c>
      <c r="F628">
        <v>8.3516799588553445E-2</v>
      </c>
      <c r="G628">
        <v>0.56362283279042025</v>
      </c>
      <c r="H628">
        <v>0.16897759523385611</v>
      </c>
      <c r="J628">
        <v>3.0310279467695862</v>
      </c>
      <c r="K628">
        <v>-0.25681073367830232</v>
      </c>
      <c r="M628">
        <f t="shared" si="28"/>
        <v>3.9285699120220641</v>
      </c>
      <c r="N628">
        <f t="shared" si="29"/>
        <v>7</v>
      </c>
    </row>
    <row r="629" spans="1:14" x14ac:dyDescent="0.35">
      <c r="A629" t="str">
        <f t="shared" si="27"/>
        <v>18097351900_2026</v>
      </c>
      <c r="B629">
        <v>18097351900</v>
      </c>
      <c r="C629">
        <v>2026</v>
      </c>
      <c r="D629">
        <v>-1.321565236236758</v>
      </c>
      <c r="E629">
        <v>1.0188367722422009</v>
      </c>
      <c r="F629">
        <v>9.9640189198571955E-2</v>
      </c>
      <c r="G629">
        <v>0.50085232154761272</v>
      </c>
      <c r="H629">
        <v>-1.004716562299804</v>
      </c>
      <c r="J629">
        <v>2.9096004358449208</v>
      </c>
      <c r="K629">
        <v>-0.3550493154452008</v>
      </c>
      <c r="M629">
        <f t="shared" si="28"/>
        <v>1.8475986048515436</v>
      </c>
      <c r="N629">
        <f t="shared" si="29"/>
        <v>7</v>
      </c>
    </row>
    <row r="630" spans="1:14" x14ac:dyDescent="0.35">
      <c r="A630" t="str">
        <f t="shared" si="27"/>
        <v>18097351900_2027</v>
      </c>
      <c r="B630">
        <v>18097351900</v>
      </c>
      <c r="C630">
        <v>2027</v>
      </c>
      <c r="D630">
        <v>-1.244976136673752</v>
      </c>
      <c r="E630">
        <v>0.87123619951985842</v>
      </c>
      <c r="F630">
        <v>0.1184718451539534</v>
      </c>
      <c r="G630">
        <v>0.63264891048873129</v>
      </c>
      <c r="H630">
        <v>-0.45694657352805917</v>
      </c>
      <c r="J630">
        <v>2.8352077486778389</v>
      </c>
      <c r="K630">
        <v>-0.31803788904084013</v>
      </c>
      <c r="M630">
        <f t="shared" si="28"/>
        <v>2.4376041045977308</v>
      </c>
      <c r="N630">
        <f t="shared" si="29"/>
        <v>7</v>
      </c>
    </row>
    <row r="631" spans="1:14" x14ac:dyDescent="0.35">
      <c r="A631" t="str">
        <f t="shared" si="27"/>
        <v>18097351900_2028</v>
      </c>
      <c r="B631">
        <v>18097351900</v>
      </c>
      <c r="C631">
        <v>2028</v>
      </c>
      <c r="D631">
        <v>-1.428821949800464</v>
      </c>
      <c r="E631">
        <v>0.80413069483696942</v>
      </c>
      <c r="F631">
        <v>0.1792292730219788</v>
      </c>
      <c r="G631">
        <v>0.56733600960344965</v>
      </c>
      <c r="H631">
        <v>-0.63581014579135864</v>
      </c>
      <c r="J631">
        <v>2.793461502418003</v>
      </c>
      <c r="K631">
        <v>-0.31430314275624038</v>
      </c>
      <c r="M631">
        <f t="shared" si="28"/>
        <v>1.9652222415323379</v>
      </c>
      <c r="N631">
        <f t="shared" si="29"/>
        <v>7</v>
      </c>
    </row>
    <row r="632" spans="1:14" x14ac:dyDescent="0.35">
      <c r="A632" t="str">
        <f t="shared" si="27"/>
        <v>18097352100_2024</v>
      </c>
      <c r="B632">
        <v>18097352100</v>
      </c>
      <c r="C632">
        <v>2024</v>
      </c>
      <c r="D632">
        <v>-1.188840690410836</v>
      </c>
      <c r="E632">
        <v>-2.1259009017073431</v>
      </c>
      <c r="F632">
        <v>0.29254102403277232</v>
      </c>
      <c r="G632">
        <v>0.58073915759111716</v>
      </c>
      <c r="H632">
        <v>3.8793735026207789E-2</v>
      </c>
      <c r="I632">
        <v>1.934136467814128</v>
      </c>
      <c r="J632">
        <v>2.998461712561729</v>
      </c>
      <c r="K632">
        <v>5.3489160276695799E-2</v>
      </c>
      <c r="M632">
        <f t="shared" si="28"/>
        <v>2.5834196651844712</v>
      </c>
      <c r="N632">
        <f t="shared" si="29"/>
        <v>8</v>
      </c>
    </row>
    <row r="633" spans="1:14" x14ac:dyDescent="0.35">
      <c r="A633" t="str">
        <f t="shared" si="27"/>
        <v>18097352100_2025</v>
      </c>
      <c r="B633">
        <v>18097352100</v>
      </c>
      <c r="C633">
        <v>2025</v>
      </c>
      <c r="D633">
        <v>-0.84515975142890609</v>
      </c>
      <c r="E633">
        <v>0.79108008134159724</v>
      </c>
      <c r="F633">
        <v>-0.64716474019705084</v>
      </c>
      <c r="G633">
        <v>0.91884748687744355</v>
      </c>
      <c r="H633">
        <v>-0.40037084335444428</v>
      </c>
      <c r="I633">
        <v>1.1246002326548701</v>
      </c>
      <c r="J633">
        <v>3.0310279467695862</v>
      </c>
      <c r="K633">
        <v>-0.25681073367454071</v>
      </c>
      <c r="M633">
        <f t="shared" si="28"/>
        <v>3.7160496789885551</v>
      </c>
      <c r="N633">
        <f t="shared" si="29"/>
        <v>8</v>
      </c>
    </row>
    <row r="634" spans="1:14" x14ac:dyDescent="0.35">
      <c r="A634" t="str">
        <f t="shared" si="27"/>
        <v>18097352100_2026</v>
      </c>
      <c r="B634">
        <v>18097352100</v>
      </c>
      <c r="C634">
        <v>2026</v>
      </c>
      <c r="D634">
        <v>-1.3215660375323399</v>
      </c>
      <c r="E634">
        <v>-3.1787090660051871</v>
      </c>
      <c r="F634">
        <v>-0.37811001916896292</v>
      </c>
      <c r="G634">
        <v>0.60210754317408011</v>
      </c>
      <c r="H634">
        <v>-0.31542307102040379</v>
      </c>
      <c r="I634">
        <v>1.524010416234427</v>
      </c>
      <c r="J634">
        <v>2.9096004358449208</v>
      </c>
      <c r="K634">
        <v>-0.35504931542927548</v>
      </c>
      <c r="M634">
        <f t="shared" si="28"/>
        <v>-0.51313911390274147</v>
      </c>
      <c r="N634">
        <f t="shared" si="29"/>
        <v>8</v>
      </c>
    </row>
    <row r="635" spans="1:14" x14ac:dyDescent="0.35">
      <c r="A635" t="str">
        <f t="shared" si="27"/>
        <v>18097352100_2027</v>
      </c>
      <c r="B635">
        <v>18097352100</v>
      </c>
      <c r="C635">
        <v>2027</v>
      </c>
      <c r="D635">
        <v>-1.24497271626138</v>
      </c>
      <c r="E635">
        <v>-0.67523389670576783</v>
      </c>
      <c r="F635">
        <v>-0.55003540281123275</v>
      </c>
      <c r="G635">
        <v>0.66252528527596233</v>
      </c>
      <c r="H635">
        <v>-0.43107206422782918</v>
      </c>
      <c r="I635">
        <v>1.013627464417769</v>
      </c>
      <c r="J635">
        <v>2.8352077486778389</v>
      </c>
      <c r="K635">
        <v>-0.31803788901560232</v>
      </c>
      <c r="M635">
        <f t="shared" si="28"/>
        <v>1.2920085293497581</v>
      </c>
      <c r="N635">
        <f t="shared" si="29"/>
        <v>8</v>
      </c>
    </row>
    <row r="636" spans="1:14" x14ac:dyDescent="0.35">
      <c r="A636" t="str">
        <f t="shared" si="27"/>
        <v>18097352100_2028</v>
      </c>
      <c r="B636">
        <v>18097352100</v>
      </c>
      <c r="C636">
        <v>2028</v>
      </c>
      <c r="D636">
        <v>-1.428822291713131</v>
      </c>
      <c r="E636">
        <v>-2.4282534762986669</v>
      </c>
      <c r="F636">
        <v>-0.50730065437855254</v>
      </c>
      <c r="G636">
        <v>0.56900021123521893</v>
      </c>
      <c r="H636">
        <v>-0.43471069813844132</v>
      </c>
      <c r="I636">
        <v>0.85747955429067158</v>
      </c>
      <c r="J636">
        <v>2.793461502418003</v>
      </c>
      <c r="K636">
        <v>-0.31430314272476739</v>
      </c>
      <c r="M636">
        <f t="shared" si="28"/>
        <v>-0.89344899530966559</v>
      </c>
      <c r="N636">
        <f t="shared" si="29"/>
        <v>8</v>
      </c>
    </row>
    <row r="637" spans="1:14" x14ac:dyDescent="0.35">
      <c r="A637" t="str">
        <f t="shared" si="27"/>
        <v>18097352300_2024</v>
      </c>
      <c r="B637">
        <v>18097352300</v>
      </c>
      <c r="C637">
        <v>2024</v>
      </c>
      <c r="D637">
        <v>-1.1888408050044059</v>
      </c>
      <c r="E637">
        <v>0.54171816967340503</v>
      </c>
      <c r="F637">
        <v>2.60853379461706E-2</v>
      </c>
      <c r="G637">
        <v>-0.1004327187939164</v>
      </c>
      <c r="H637">
        <v>0.1764684281259182</v>
      </c>
      <c r="I637">
        <v>-2.67496627768561</v>
      </c>
      <c r="J637">
        <v>2.998461712561729</v>
      </c>
      <c r="K637">
        <v>5.3489160278906947E-2</v>
      </c>
      <c r="M637">
        <f t="shared" si="28"/>
        <v>-0.16801699289780236</v>
      </c>
      <c r="N637">
        <f t="shared" si="29"/>
        <v>8</v>
      </c>
    </row>
    <row r="638" spans="1:14" x14ac:dyDescent="0.35">
      <c r="A638" t="str">
        <f t="shared" si="27"/>
        <v>18097352300_2025</v>
      </c>
      <c r="B638">
        <v>18097352300</v>
      </c>
      <c r="C638">
        <v>2025</v>
      </c>
      <c r="D638">
        <v>-0.84516405232317093</v>
      </c>
      <c r="E638">
        <v>0.6763654227420014</v>
      </c>
      <c r="F638">
        <v>-0.1962674544367502</v>
      </c>
      <c r="G638">
        <v>-0.27118029752561801</v>
      </c>
      <c r="H638">
        <v>0.2045108882892501</v>
      </c>
      <c r="I638">
        <v>-2.6925603901256019</v>
      </c>
      <c r="J638">
        <v>3.0310279467695862</v>
      </c>
      <c r="K638">
        <v>-0.25681073367830232</v>
      </c>
      <c r="M638">
        <f t="shared" si="28"/>
        <v>-0.3500786702886054</v>
      </c>
      <c r="N638">
        <f t="shared" si="29"/>
        <v>8</v>
      </c>
    </row>
    <row r="639" spans="1:14" x14ac:dyDescent="0.35">
      <c r="A639" t="str">
        <f t="shared" si="27"/>
        <v>18097352300_2026</v>
      </c>
      <c r="B639">
        <v>18097352300</v>
      </c>
      <c r="C639">
        <v>2026</v>
      </c>
      <c r="D639">
        <v>-1.321564314328719</v>
      </c>
      <c r="E639">
        <v>0.72844458699527537</v>
      </c>
      <c r="F639">
        <v>-0.1781725998655577</v>
      </c>
      <c r="G639">
        <v>-0.26901775035910508</v>
      </c>
      <c r="H639">
        <v>0.21996268823547219</v>
      </c>
      <c r="I639">
        <v>-2.7990738608307359</v>
      </c>
      <c r="J639">
        <v>2.9096004358449208</v>
      </c>
      <c r="K639">
        <v>-0.3550493154452008</v>
      </c>
      <c r="M639">
        <f t="shared" si="28"/>
        <v>-1.06487012975365</v>
      </c>
      <c r="N639">
        <f t="shared" si="29"/>
        <v>8</v>
      </c>
    </row>
    <row r="640" spans="1:14" x14ac:dyDescent="0.35">
      <c r="A640" t="str">
        <f t="shared" si="27"/>
        <v>18097352300_2027</v>
      </c>
      <c r="B640">
        <v>18097352300</v>
      </c>
      <c r="C640">
        <v>2027</v>
      </c>
      <c r="D640">
        <v>-1.244977994512569</v>
      </c>
      <c r="E640">
        <v>0.67997695380976397</v>
      </c>
      <c r="F640">
        <v>-0.1993619868027369</v>
      </c>
      <c r="G640">
        <v>-0.27298778632762782</v>
      </c>
      <c r="H640">
        <v>5.1674010157888611E-2</v>
      </c>
      <c r="I640">
        <v>-2.7298930185403378</v>
      </c>
      <c r="J640">
        <v>2.8352077486778389</v>
      </c>
      <c r="K640">
        <v>-0.31803788904084013</v>
      </c>
      <c r="M640">
        <f t="shared" si="28"/>
        <v>-1.1983999625786204</v>
      </c>
      <c r="N640">
        <f t="shared" si="29"/>
        <v>8</v>
      </c>
    </row>
    <row r="641" spans="1:14" x14ac:dyDescent="0.35">
      <c r="A641" t="str">
        <f t="shared" si="27"/>
        <v>18097352300_2028</v>
      </c>
      <c r="B641">
        <v>18097352300</v>
      </c>
      <c r="C641">
        <v>2028</v>
      </c>
      <c r="D641">
        <v>-1.4288213165815551</v>
      </c>
      <c r="E641">
        <v>0.66759641010213233</v>
      </c>
      <c r="F641">
        <v>-0.16778931152729881</v>
      </c>
      <c r="G641">
        <v>-0.27253085547302142</v>
      </c>
      <c r="H641">
        <v>-6.2921524254939395E-2</v>
      </c>
      <c r="I641">
        <v>-2.7719969094596451</v>
      </c>
      <c r="J641">
        <v>2.793461502418003</v>
      </c>
      <c r="K641">
        <v>-0.31430314275624038</v>
      </c>
      <c r="M641">
        <f t="shared" si="28"/>
        <v>-1.5573051475325652</v>
      </c>
      <c r="N641">
        <f t="shared" si="29"/>
        <v>8</v>
      </c>
    </row>
    <row r="642" spans="1:14" x14ac:dyDescent="0.35">
      <c r="A642" t="str">
        <f t="shared" si="27"/>
        <v>18097352400_2024</v>
      </c>
      <c r="B642">
        <v>18097352400</v>
      </c>
      <c r="C642">
        <v>2024</v>
      </c>
      <c r="D642">
        <v>-1.1588655373289529</v>
      </c>
      <c r="E642">
        <v>0.67436695853440509</v>
      </c>
      <c r="F642">
        <v>0.43660313082835239</v>
      </c>
      <c r="G642">
        <v>-0.18969632488557489</v>
      </c>
      <c r="H642">
        <v>3.45565423597064E-3</v>
      </c>
      <c r="I642">
        <v>-1.6373620352948819</v>
      </c>
      <c r="J642">
        <v>2.8693563051192741</v>
      </c>
      <c r="M642">
        <f t="shared" si="28"/>
        <v>0.99785815120859245</v>
      </c>
      <c r="N642">
        <f t="shared" si="29"/>
        <v>7</v>
      </c>
    </row>
    <row r="643" spans="1:14" x14ac:dyDescent="0.35">
      <c r="A643" t="str">
        <f t="shared" ref="A643:A706" si="30">TEXT(B643,0)&amp;"_"&amp;TEXT(C643,0)</f>
        <v>18097352400_2025</v>
      </c>
      <c r="B643">
        <v>18097352400</v>
      </c>
      <c r="C643">
        <v>2025</v>
      </c>
      <c r="D643">
        <v>-0.85289742607084706</v>
      </c>
      <c r="E643">
        <v>-0.81931715811294825</v>
      </c>
      <c r="F643">
        <v>0.63165412388548392</v>
      </c>
      <c r="G643">
        <v>-0.29941774200696852</v>
      </c>
      <c r="H643">
        <v>-0.45545120724416233</v>
      </c>
      <c r="I643">
        <v>-1.5286112296672241</v>
      </c>
      <c r="J643">
        <v>2.986674846041903</v>
      </c>
      <c r="M643">
        <f t="shared" ref="M643:M706" si="31">SUM(D643:K643)</f>
        <v>-0.33736579317476334</v>
      </c>
      <c r="N643">
        <f t="shared" ref="N643:N706" si="32">IF(D643=0,0,1)+IF(E643=0,0,1)+IF(F643=0,0,1)+IF(G643=0,0,1)+IF(H643=0,0,1)+IF(I643=0,0,1)++IF(J643=0,0,1)++IF(K643=0,0,1)</f>
        <v>7</v>
      </c>
    </row>
    <row r="644" spans="1:14" x14ac:dyDescent="0.35">
      <c r="A644" t="str">
        <f t="shared" si="30"/>
        <v>18097352400_2026</v>
      </c>
      <c r="B644">
        <v>18097352400</v>
      </c>
      <c r="C644">
        <v>2026</v>
      </c>
      <c r="D644">
        <v>-1.2786604715493921</v>
      </c>
      <c r="E644">
        <v>0.52397814884801885</v>
      </c>
      <c r="F644">
        <v>-0.68569178261882624</v>
      </c>
      <c r="G644">
        <v>-0.33386643593350618</v>
      </c>
      <c r="H644">
        <v>-0.3774037678922661</v>
      </c>
      <c r="I644">
        <v>-1.825667832814988</v>
      </c>
      <c r="J644">
        <v>2.8691060846775849</v>
      </c>
      <c r="M644">
        <f t="shared" si="31"/>
        <v>-1.108206057283375</v>
      </c>
      <c r="N644">
        <f t="shared" si="32"/>
        <v>7</v>
      </c>
    </row>
    <row r="645" spans="1:14" x14ac:dyDescent="0.35">
      <c r="A645" t="str">
        <f t="shared" si="30"/>
        <v>18097352400_2027</v>
      </c>
      <c r="B645">
        <v>18097352400</v>
      </c>
      <c r="C645">
        <v>2027</v>
      </c>
      <c r="D645">
        <v>-1.243207468922003</v>
      </c>
      <c r="E645">
        <v>-0.35485074178244408</v>
      </c>
      <c r="F645">
        <v>0.4422361108316803</v>
      </c>
      <c r="G645">
        <v>-0.34011749179738909</v>
      </c>
      <c r="H645">
        <v>-0.47967327099451829</v>
      </c>
      <c r="I645">
        <v>-1.5942154672828259</v>
      </c>
      <c r="J645">
        <v>2.79535610163569</v>
      </c>
      <c r="M645">
        <f t="shared" si="31"/>
        <v>-0.77447222831180973</v>
      </c>
      <c r="N645">
        <f t="shared" si="32"/>
        <v>7</v>
      </c>
    </row>
    <row r="646" spans="1:14" x14ac:dyDescent="0.35">
      <c r="A646" t="str">
        <f t="shared" si="30"/>
        <v>18097352400_2028</v>
      </c>
      <c r="B646">
        <v>18097352400</v>
      </c>
      <c r="C646">
        <v>2028</v>
      </c>
      <c r="D646">
        <v>-1.391885265395248</v>
      </c>
      <c r="E646">
        <v>0.29129736764032998</v>
      </c>
      <c r="F646">
        <v>-0.53732153618667522</v>
      </c>
      <c r="G646">
        <v>-0.33641358353252582</v>
      </c>
      <c r="H646">
        <v>-0.46857287449524748</v>
      </c>
      <c r="I646">
        <v>-1.4097249332679409</v>
      </c>
      <c r="J646">
        <v>2.7539811422572842</v>
      </c>
      <c r="M646">
        <f t="shared" si="31"/>
        <v>-1.0986396829800231</v>
      </c>
      <c r="N646">
        <f t="shared" si="32"/>
        <v>7</v>
      </c>
    </row>
    <row r="647" spans="1:14" x14ac:dyDescent="0.35">
      <c r="A647" t="str">
        <f t="shared" si="30"/>
        <v>18097352500_2024</v>
      </c>
      <c r="B647">
        <v>18097352500</v>
      </c>
      <c r="C647">
        <v>2024</v>
      </c>
      <c r="D647">
        <v>-0.36223077903138151</v>
      </c>
      <c r="E647">
        <v>-1.2714350008732309E-2</v>
      </c>
      <c r="F647">
        <v>6.5195847957908157E-2</v>
      </c>
      <c r="G647">
        <v>-0.32544507771741837</v>
      </c>
      <c r="I647">
        <v>-0.2217187789320253</v>
      </c>
      <c r="J647">
        <v>-0.3783041240280447</v>
      </c>
      <c r="K647">
        <v>0.19031317499837611</v>
      </c>
      <c r="M647">
        <f t="shared" si="31"/>
        <v>-1.0449040867613177</v>
      </c>
      <c r="N647">
        <f t="shared" si="32"/>
        <v>7</v>
      </c>
    </row>
    <row r="648" spans="1:14" x14ac:dyDescent="0.35">
      <c r="A648" t="str">
        <f t="shared" si="30"/>
        <v>18097352500_2025</v>
      </c>
      <c r="B648">
        <v>18097352500</v>
      </c>
      <c r="C648">
        <v>2025</v>
      </c>
      <c r="D648">
        <v>-1.02260254878739</v>
      </c>
      <c r="E648">
        <v>-0.13603597531515441</v>
      </c>
      <c r="F648">
        <v>-7.2964532487832759E-2</v>
      </c>
      <c r="G648">
        <v>4.9550006444125078E-2</v>
      </c>
      <c r="I648">
        <v>-9.1835482177910793E-2</v>
      </c>
      <c r="J648">
        <v>0.45978224878391899</v>
      </c>
      <c r="K648">
        <v>0.14527046357225429</v>
      </c>
      <c r="M648">
        <f t="shared" si="31"/>
        <v>-0.66883581996798969</v>
      </c>
      <c r="N648">
        <f t="shared" si="32"/>
        <v>7</v>
      </c>
    </row>
    <row r="649" spans="1:14" x14ac:dyDescent="0.35">
      <c r="A649" t="str">
        <f t="shared" si="30"/>
        <v>18097352500_2026</v>
      </c>
      <c r="B649">
        <v>18097352500</v>
      </c>
      <c r="C649">
        <v>2026</v>
      </c>
      <c r="D649">
        <v>-0.13937774464816</v>
      </c>
      <c r="E649">
        <v>-7.4338219699186053E-2</v>
      </c>
      <c r="F649">
        <v>5.2630630588289692E-2</v>
      </c>
      <c r="G649">
        <v>-0.12177569751016661</v>
      </c>
      <c r="I649">
        <v>-4.982858372814615E-2</v>
      </c>
      <c r="J649">
        <v>0.93800139094410617</v>
      </c>
      <c r="K649">
        <v>2.5644167891196502E-3</v>
      </c>
      <c r="M649">
        <f t="shared" si="31"/>
        <v>0.60787619273585669</v>
      </c>
      <c r="N649">
        <f t="shared" si="32"/>
        <v>7</v>
      </c>
    </row>
    <row r="650" spans="1:14" x14ac:dyDescent="0.35">
      <c r="A650" t="str">
        <f t="shared" si="30"/>
        <v>18097352500_2027</v>
      </c>
      <c r="B650">
        <v>18097352500</v>
      </c>
      <c r="C650">
        <v>2027</v>
      </c>
      <c r="D650">
        <v>-1.1786247320576739</v>
      </c>
      <c r="E650">
        <v>-5.8414645575003699E-2</v>
      </c>
      <c r="F650">
        <v>2.243526177234664E-2</v>
      </c>
      <c r="G650">
        <v>-6.6999731860338488E-2</v>
      </c>
      <c r="I650">
        <v>3.253935965432575E-2</v>
      </c>
      <c r="J650">
        <v>1.171645476279908</v>
      </c>
      <c r="K650">
        <v>1.154953446010192E-2</v>
      </c>
      <c r="M650">
        <f t="shared" si="31"/>
        <v>-6.5869477326333817E-2</v>
      </c>
      <c r="N650">
        <f t="shared" si="32"/>
        <v>7</v>
      </c>
    </row>
    <row r="651" spans="1:14" x14ac:dyDescent="0.35">
      <c r="A651" t="str">
        <f t="shared" si="30"/>
        <v>18097352500_2028</v>
      </c>
      <c r="B651">
        <v>18097352500</v>
      </c>
      <c r="C651">
        <v>2028</v>
      </c>
      <c r="D651">
        <v>-0.39489466524183608</v>
      </c>
      <c r="E651">
        <v>3.0516151532222782E-2</v>
      </c>
      <c r="F651">
        <v>8.8154800390758931E-2</v>
      </c>
      <c r="G651">
        <v>-8.7018113630606436E-2</v>
      </c>
      <c r="I651">
        <v>9.1391469073648215E-2</v>
      </c>
      <c r="J651">
        <v>1.282372793769524</v>
      </c>
      <c r="K651">
        <v>-5.5053449031690904E-3</v>
      </c>
      <c r="M651">
        <f t="shared" si="31"/>
        <v>1.0050170909905423</v>
      </c>
      <c r="N651">
        <f t="shared" si="32"/>
        <v>7</v>
      </c>
    </row>
    <row r="652" spans="1:14" x14ac:dyDescent="0.35">
      <c r="A652" t="str">
        <f t="shared" si="30"/>
        <v>18097352600_2024</v>
      </c>
      <c r="B652">
        <v>18097352600</v>
      </c>
      <c r="C652">
        <v>2024</v>
      </c>
      <c r="D652">
        <v>-0.60768510387516905</v>
      </c>
      <c r="E652">
        <v>-0.87631565417981794</v>
      </c>
      <c r="F652">
        <v>0.58255866166144443</v>
      </c>
      <c r="G652">
        <v>-3.8306695206352641</v>
      </c>
      <c r="H652">
        <v>9.0785331014575199E-2</v>
      </c>
      <c r="I652">
        <v>-0.31345377916639222</v>
      </c>
      <c r="J652">
        <v>0.2472559649270013</v>
      </c>
      <c r="K652">
        <v>0.37529647184891718</v>
      </c>
      <c r="M652">
        <f t="shared" si="31"/>
        <v>-4.3322276284047048</v>
      </c>
      <c r="N652">
        <f t="shared" si="32"/>
        <v>8</v>
      </c>
    </row>
    <row r="653" spans="1:14" x14ac:dyDescent="0.35">
      <c r="A653" t="str">
        <f t="shared" si="30"/>
        <v>18097352600_2025</v>
      </c>
      <c r="B653">
        <v>18097352600</v>
      </c>
      <c r="C653">
        <v>2025</v>
      </c>
      <c r="D653">
        <v>-0.98779851290942222</v>
      </c>
      <c r="E653">
        <v>2.719301368595441</v>
      </c>
      <c r="F653">
        <v>-0.49833352616742288</v>
      </c>
      <c r="G653">
        <v>-0.49334293742637469</v>
      </c>
      <c r="H653">
        <v>0.25175732341399942</v>
      </c>
      <c r="I653">
        <v>-0.2236900989589489</v>
      </c>
      <c r="J653">
        <v>1.1916096515658321</v>
      </c>
      <c r="K653">
        <v>1.135650083649461</v>
      </c>
      <c r="M653">
        <f t="shared" si="31"/>
        <v>3.0951533517625647</v>
      </c>
      <c r="N653">
        <f t="shared" si="32"/>
        <v>8</v>
      </c>
    </row>
    <row r="654" spans="1:14" x14ac:dyDescent="0.35">
      <c r="A654" t="str">
        <f t="shared" si="30"/>
        <v>18097352600_2026</v>
      </c>
      <c r="B654">
        <v>18097352600</v>
      </c>
      <c r="C654">
        <v>2026</v>
      </c>
      <c r="D654">
        <v>-0.4756136624036042</v>
      </c>
      <c r="E654">
        <v>-0.85232288187260452</v>
      </c>
      <c r="F654">
        <v>0.26886179990321979</v>
      </c>
      <c r="G654">
        <v>-0.13063746641578269</v>
      </c>
      <c r="H654">
        <v>0.18914495005246559</v>
      </c>
      <c r="I654">
        <v>-0.1824109962812453</v>
      </c>
      <c r="J654">
        <v>1.569941019143658</v>
      </c>
      <c r="K654">
        <v>1.163834697107893</v>
      </c>
      <c r="M654">
        <f t="shared" si="31"/>
        <v>1.5507974592339997</v>
      </c>
      <c r="N654">
        <f t="shared" si="32"/>
        <v>8</v>
      </c>
    </row>
    <row r="655" spans="1:14" x14ac:dyDescent="0.35">
      <c r="A655" t="str">
        <f t="shared" si="30"/>
        <v>18097352600_2027</v>
      </c>
      <c r="B655">
        <v>18097352600</v>
      </c>
      <c r="C655">
        <v>2027</v>
      </c>
      <c r="D655">
        <v>-1.2199403673601199</v>
      </c>
      <c r="E655">
        <v>1.8698877618311109</v>
      </c>
      <c r="F655">
        <v>-0.1334917888781873</v>
      </c>
      <c r="G655">
        <v>-0.39399867805703692</v>
      </c>
      <c r="H655">
        <v>5.0649924214648839E-2</v>
      </c>
      <c r="I655">
        <v>-7.8377957887703714E-2</v>
      </c>
      <c r="J655">
        <v>1.7028453561995369</v>
      </c>
      <c r="K655">
        <v>1.2675512706297669</v>
      </c>
      <c r="M655">
        <f t="shared" si="31"/>
        <v>3.0651255206920158</v>
      </c>
      <c r="N655">
        <f t="shared" si="32"/>
        <v>8</v>
      </c>
    </row>
    <row r="656" spans="1:14" x14ac:dyDescent="0.35">
      <c r="A656" t="str">
        <f t="shared" si="30"/>
        <v>18097352600_2028</v>
      </c>
      <c r="B656">
        <v>18097352600</v>
      </c>
      <c r="C656">
        <v>2028</v>
      </c>
      <c r="D656">
        <v>-0.68841452986656959</v>
      </c>
      <c r="E656">
        <v>-0.1623341206891884</v>
      </c>
      <c r="F656">
        <v>0.1345629908207423</v>
      </c>
      <c r="G656">
        <v>-0.21463458075594341</v>
      </c>
      <c r="H656">
        <v>-6.9059197190016894E-2</v>
      </c>
      <c r="I656">
        <v>4.4820662397822997E-3</v>
      </c>
      <c r="J656">
        <v>1.7455389877076171</v>
      </c>
      <c r="K656">
        <v>1.2969217727503599</v>
      </c>
      <c r="M656">
        <f t="shared" si="31"/>
        <v>2.0470633890167833</v>
      </c>
      <c r="N656">
        <f t="shared" si="32"/>
        <v>8</v>
      </c>
    </row>
    <row r="657" spans="1:14" x14ac:dyDescent="0.35">
      <c r="A657" t="str">
        <f t="shared" si="30"/>
        <v>18097352700_2024</v>
      </c>
      <c r="B657">
        <v>18097352700</v>
      </c>
      <c r="C657">
        <v>2024</v>
      </c>
      <c r="D657">
        <v>-0.53741188268797646</v>
      </c>
      <c r="E657">
        <v>-1.8951818945985419</v>
      </c>
      <c r="F657">
        <v>-0.75540929546815727</v>
      </c>
      <c r="G657">
        <v>-0.97997768122406359</v>
      </c>
      <c r="H657">
        <v>9.9307587954077819E-2</v>
      </c>
      <c r="I657">
        <v>1.0515536028385239</v>
      </c>
      <c r="J657">
        <v>0.1025260257443751</v>
      </c>
      <c r="K657">
        <v>0.4050252550893606</v>
      </c>
      <c r="M657">
        <f t="shared" si="31"/>
        <v>-2.5095682823524013</v>
      </c>
      <c r="N657">
        <f t="shared" si="32"/>
        <v>8</v>
      </c>
    </row>
    <row r="658" spans="1:14" x14ac:dyDescent="0.35">
      <c r="A658" t="str">
        <f t="shared" si="30"/>
        <v>18097352700_2025</v>
      </c>
      <c r="B658">
        <v>18097352700</v>
      </c>
      <c r="C658">
        <v>2025</v>
      </c>
      <c r="D658">
        <v>-0.98464833246655958</v>
      </c>
      <c r="E658">
        <v>1.291624317034461</v>
      </c>
      <c r="F658">
        <v>-0.59607683306565074</v>
      </c>
      <c r="G658">
        <v>3.6978279419868509</v>
      </c>
      <c r="H658">
        <v>-0.1004983506257323</v>
      </c>
      <c r="I658">
        <v>0.99180811628780396</v>
      </c>
      <c r="J658">
        <v>1.008039849229919</v>
      </c>
      <c r="K658">
        <v>0.97356227708759557</v>
      </c>
      <c r="M658">
        <f t="shared" si="31"/>
        <v>6.281638985468688</v>
      </c>
      <c r="N658">
        <f t="shared" si="32"/>
        <v>8</v>
      </c>
    </row>
    <row r="659" spans="1:14" x14ac:dyDescent="0.35">
      <c r="A659" t="str">
        <f t="shared" si="30"/>
        <v>18097352700_2026</v>
      </c>
      <c r="B659">
        <v>18097352700</v>
      </c>
      <c r="C659">
        <v>2026</v>
      </c>
      <c r="D659">
        <v>-0.38027638813534043</v>
      </c>
      <c r="E659">
        <v>0.1928895264830324</v>
      </c>
      <c r="F659">
        <v>-0.53744229357442419</v>
      </c>
      <c r="G659">
        <v>-1.9479360045050631</v>
      </c>
      <c r="H659">
        <v>-5.1426009168082619E-2</v>
      </c>
      <c r="I659">
        <v>0.82148465349387079</v>
      </c>
      <c r="J659">
        <v>1.376552139524148</v>
      </c>
      <c r="K659">
        <v>0.84569715020805025</v>
      </c>
      <c r="M659">
        <f t="shared" si="31"/>
        <v>0.31954277432619127</v>
      </c>
      <c r="N659">
        <f t="shared" si="32"/>
        <v>8</v>
      </c>
    </row>
    <row r="660" spans="1:14" x14ac:dyDescent="0.35">
      <c r="A660" t="str">
        <f t="shared" si="30"/>
        <v>18097352700_2027</v>
      </c>
      <c r="B660">
        <v>18097352700</v>
      </c>
      <c r="C660">
        <v>2027</v>
      </c>
      <c r="D660">
        <v>-1.192606403381157</v>
      </c>
      <c r="E660">
        <v>1.089336015525461</v>
      </c>
      <c r="F660">
        <v>-0.57414691942062535</v>
      </c>
      <c r="G660">
        <v>3.6118890114646769</v>
      </c>
      <c r="H660">
        <v>-0.2023810269296589</v>
      </c>
      <c r="I660">
        <v>0.67394936203386624</v>
      </c>
      <c r="J660">
        <v>1.50719522026177</v>
      </c>
      <c r="K660">
        <v>0.86772749343192224</v>
      </c>
      <c r="M660">
        <f t="shared" si="31"/>
        <v>5.7809627529862553</v>
      </c>
      <c r="N660">
        <f t="shared" si="32"/>
        <v>8</v>
      </c>
    </row>
    <row r="661" spans="1:14" x14ac:dyDescent="0.35">
      <c r="A661" t="str">
        <f t="shared" si="30"/>
        <v>18097352700_2028</v>
      </c>
      <c r="B661">
        <v>18097352700</v>
      </c>
      <c r="C661">
        <v>2028</v>
      </c>
      <c r="D661">
        <v>-0.60303253863373074</v>
      </c>
      <c r="E661">
        <v>0.38401704850121982</v>
      </c>
      <c r="F661">
        <v>-0.56111002527777765</v>
      </c>
      <c r="G661">
        <v>-1.7282729260293701</v>
      </c>
      <c r="H661">
        <v>-0.26759722172982348</v>
      </c>
      <c r="I661">
        <v>0.54982683295092105</v>
      </c>
      <c r="J661">
        <v>1.5496534926486349</v>
      </c>
      <c r="K661">
        <v>0.85734736595438477</v>
      </c>
      <c r="M661">
        <f t="shared" si="31"/>
        <v>0.18083202838445878</v>
      </c>
      <c r="N661">
        <f t="shared" si="32"/>
        <v>8</v>
      </c>
    </row>
    <row r="662" spans="1:14" x14ac:dyDescent="0.35">
      <c r="A662" t="str">
        <f t="shared" si="30"/>
        <v>18097352800_2024</v>
      </c>
      <c r="B662">
        <v>18097352800</v>
      </c>
      <c r="C662">
        <v>2024</v>
      </c>
      <c r="D662">
        <v>-0.81662642014041287</v>
      </c>
      <c r="E662">
        <v>0.11913618783897451</v>
      </c>
      <c r="F662">
        <v>0.75927422124432231</v>
      </c>
      <c r="G662">
        <v>1.0382905700926111</v>
      </c>
      <c r="H662">
        <v>0.26078020767201748</v>
      </c>
      <c r="I662">
        <v>1.6343066013787551</v>
      </c>
      <c r="J662">
        <v>0.26311227346706562</v>
      </c>
      <c r="M662">
        <f t="shared" si="31"/>
        <v>3.2582736415533331</v>
      </c>
      <c r="N662">
        <f t="shared" si="32"/>
        <v>7</v>
      </c>
    </row>
    <row r="663" spans="1:14" x14ac:dyDescent="0.35">
      <c r="A663" t="str">
        <f t="shared" si="30"/>
        <v>18097352800_2025</v>
      </c>
      <c r="B663">
        <v>18097352800</v>
      </c>
      <c r="C663">
        <v>2025</v>
      </c>
      <c r="D663">
        <v>-0.44894916384372591</v>
      </c>
      <c r="E663">
        <v>0.73393411006505804</v>
      </c>
      <c r="F663">
        <v>1.24384817077216</v>
      </c>
      <c r="G663">
        <v>-2.104538601725602</v>
      </c>
      <c r="H663">
        <v>0.75251786765475537</v>
      </c>
      <c r="I663">
        <v>0.37980174131025118</v>
      </c>
      <c r="J663">
        <v>8.0080005192422754E-2</v>
      </c>
      <c r="M663">
        <f t="shared" si="31"/>
        <v>0.63669412942531933</v>
      </c>
      <c r="N663">
        <f t="shared" si="32"/>
        <v>7</v>
      </c>
    </row>
    <row r="664" spans="1:14" x14ac:dyDescent="0.35">
      <c r="A664" t="str">
        <f t="shared" si="30"/>
        <v>18097352800_2026</v>
      </c>
      <c r="B664">
        <v>18097352800</v>
      </c>
      <c r="C664">
        <v>2026</v>
      </c>
      <c r="D664">
        <v>-0.88510986737384911</v>
      </c>
      <c r="E664">
        <v>0.6072951825067765</v>
      </c>
      <c r="F664">
        <v>-1.126508361559216</v>
      </c>
      <c r="G664">
        <v>2.451136830890273</v>
      </c>
      <c r="H664">
        <v>0.86718401188994332</v>
      </c>
      <c r="I664">
        <v>1.372858247911247</v>
      </c>
      <c r="J664">
        <v>-1.429521571374198E-2</v>
      </c>
      <c r="M664">
        <f t="shared" si="31"/>
        <v>3.2725608285514327</v>
      </c>
      <c r="N664">
        <f t="shared" si="32"/>
        <v>7</v>
      </c>
    </row>
    <row r="665" spans="1:14" x14ac:dyDescent="0.35">
      <c r="A665" t="str">
        <f t="shared" si="30"/>
        <v>18097352800_2027</v>
      </c>
      <c r="B665">
        <v>18097352800</v>
      </c>
      <c r="C665">
        <v>2027</v>
      </c>
      <c r="D665">
        <v>-0.67564808081827321</v>
      </c>
      <c r="E665">
        <v>0.6370744630823808</v>
      </c>
      <c r="F665">
        <v>1.0755727460117319</v>
      </c>
      <c r="G665">
        <v>-2.1026179644803471</v>
      </c>
      <c r="H665">
        <v>0.77734213123186224</v>
      </c>
      <c r="I665">
        <v>0.58252000983896424</v>
      </c>
      <c r="J665">
        <v>-4.9372875852971447E-2</v>
      </c>
      <c r="M665">
        <f t="shared" si="31"/>
        <v>0.24487042901334743</v>
      </c>
      <c r="N665">
        <f t="shared" si="32"/>
        <v>7</v>
      </c>
    </row>
    <row r="666" spans="1:14" x14ac:dyDescent="0.35">
      <c r="A666" t="str">
        <f t="shared" si="30"/>
        <v>18097352800_2028</v>
      </c>
      <c r="B666">
        <v>18097352800</v>
      </c>
      <c r="C666">
        <v>2028</v>
      </c>
      <c r="D666">
        <v>-0.94501571384860283</v>
      </c>
      <c r="E666">
        <v>0.6197853704738413</v>
      </c>
      <c r="F666">
        <v>-1.0128273247047039</v>
      </c>
      <c r="G666">
        <v>2.3911540403454832</v>
      </c>
      <c r="H666">
        <v>0.67226148765013505</v>
      </c>
      <c r="I666">
        <v>0.76289330665231347</v>
      </c>
      <c r="J666">
        <v>-6.443431337929556E-2</v>
      </c>
      <c r="M666">
        <f t="shared" si="31"/>
        <v>2.4238168531891704</v>
      </c>
      <c r="N666">
        <f t="shared" si="32"/>
        <v>7</v>
      </c>
    </row>
    <row r="667" spans="1:14" x14ac:dyDescent="0.35">
      <c r="A667" t="str">
        <f t="shared" si="30"/>
        <v>18097353300_2024</v>
      </c>
      <c r="B667">
        <v>18097353300</v>
      </c>
      <c r="C667">
        <v>2024</v>
      </c>
      <c r="D667">
        <v>-0.3382234579999564</v>
      </c>
      <c r="E667">
        <v>0.28527497184309508</v>
      </c>
      <c r="F667">
        <v>1.2068124898809409</v>
      </c>
      <c r="G667">
        <v>0.21951189734396381</v>
      </c>
      <c r="H667">
        <v>-7.4966662620287949E-2</v>
      </c>
      <c r="I667">
        <v>0.43511591004743788</v>
      </c>
      <c r="J667">
        <v>-1.971898063218317</v>
      </c>
      <c r="K667">
        <v>-9.0194402159581744E-2</v>
      </c>
      <c r="M667">
        <f t="shared" si="31"/>
        <v>-0.32856731688270502</v>
      </c>
      <c r="N667">
        <f t="shared" si="32"/>
        <v>8</v>
      </c>
    </row>
    <row r="668" spans="1:14" x14ac:dyDescent="0.35">
      <c r="A668" t="str">
        <f t="shared" si="30"/>
        <v>18097353300_2025</v>
      </c>
      <c r="B668">
        <v>18097353300</v>
      </c>
      <c r="C668">
        <v>2025</v>
      </c>
      <c r="D668">
        <v>0.81518398505129475</v>
      </c>
      <c r="E668">
        <v>0.28422934436594238</v>
      </c>
      <c r="F668">
        <v>0.1085444741989935</v>
      </c>
      <c r="G668">
        <v>0.30790570999137568</v>
      </c>
      <c r="H668">
        <v>-0.8765213533152364</v>
      </c>
      <c r="I668">
        <v>0.58591552020219639</v>
      </c>
      <c r="J668">
        <v>-1.4907644242578919</v>
      </c>
      <c r="K668">
        <v>-0.68338089223008136</v>
      </c>
      <c r="M668">
        <f t="shared" si="31"/>
        <v>-0.94888763599340675</v>
      </c>
      <c r="N668">
        <f t="shared" si="32"/>
        <v>8</v>
      </c>
    </row>
    <row r="669" spans="1:14" x14ac:dyDescent="0.35">
      <c r="A669" t="str">
        <f t="shared" si="30"/>
        <v>18097353300_2026</v>
      </c>
      <c r="B669">
        <v>18097353300</v>
      </c>
      <c r="C669">
        <v>2026</v>
      </c>
      <c r="D669">
        <v>-9.8884481338240057E-2</v>
      </c>
      <c r="E669">
        <v>0.37346852813042908</v>
      </c>
      <c r="F669">
        <v>0.1380626750554409</v>
      </c>
      <c r="G669">
        <v>0.50797097008340653</v>
      </c>
      <c r="H669">
        <v>-0.6780432330972771</v>
      </c>
      <c r="I669">
        <v>0.58070634924251507</v>
      </c>
      <c r="J669">
        <v>-1.166931985739678</v>
      </c>
      <c r="K669">
        <v>-0.75133623217762369</v>
      </c>
      <c r="M669">
        <f t="shared" si="31"/>
        <v>-1.0949874098410273</v>
      </c>
      <c r="N669">
        <f t="shared" si="32"/>
        <v>8</v>
      </c>
    </row>
    <row r="670" spans="1:14" x14ac:dyDescent="0.35">
      <c r="A670" t="str">
        <f t="shared" si="30"/>
        <v>18097353300_2027</v>
      </c>
      <c r="B670">
        <v>18097353300</v>
      </c>
      <c r="C670">
        <v>2027</v>
      </c>
      <c r="D670">
        <v>0.65590990189855358</v>
      </c>
      <c r="E670">
        <v>0.36626973005003832</v>
      </c>
      <c r="F670">
        <v>0.16320514598236369</v>
      </c>
      <c r="G670">
        <v>0.4662906501693424</v>
      </c>
      <c r="H670">
        <v>-0.70950473618277587</v>
      </c>
      <c r="I670">
        <v>0.52959810842136823</v>
      </c>
      <c r="J670">
        <v>-1.0157142339591749</v>
      </c>
      <c r="K670">
        <v>-0.70058871305673776</v>
      </c>
      <c r="M670">
        <f t="shared" si="31"/>
        <v>-0.24453414667702222</v>
      </c>
      <c r="N670">
        <f t="shared" si="32"/>
        <v>8</v>
      </c>
    </row>
    <row r="671" spans="1:14" x14ac:dyDescent="0.35">
      <c r="A671" t="str">
        <f t="shared" si="30"/>
        <v>18097353300_2028</v>
      </c>
      <c r="B671">
        <v>18097353300</v>
      </c>
      <c r="C671">
        <v>2028</v>
      </c>
      <c r="D671">
        <v>0.21047608982611821</v>
      </c>
      <c r="E671">
        <v>0.40522118509702509</v>
      </c>
      <c r="F671">
        <v>0.22878286539213891</v>
      </c>
      <c r="G671">
        <v>0.507100752901672</v>
      </c>
      <c r="H671">
        <v>-0.61723372936617682</v>
      </c>
      <c r="I671">
        <v>0.45984222207111308</v>
      </c>
      <c r="J671">
        <v>-0.94997989694326235</v>
      </c>
      <c r="K671">
        <v>-0.68806065495143687</v>
      </c>
      <c r="M671">
        <f t="shared" si="31"/>
        <v>-0.44385116597280883</v>
      </c>
      <c r="N671">
        <f t="shared" si="32"/>
        <v>8</v>
      </c>
    </row>
    <row r="672" spans="1:14" x14ac:dyDescent="0.35">
      <c r="A672" t="str">
        <f t="shared" si="30"/>
        <v>18097353500_2024</v>
      </c>
      <c r="B672">
        <v>18097353500</v>
      </c>
      <c r="C672">
        <v>2024</v>
      </c>
      <c r="D672">
        <v>-0.33822203862328248</v>
      </c>
      <c r="E672">
        <v>1.1420844035248461</v>
      </c>
      <c r="F672">
        <v>1.799242779807553</v>
      </c>
      <c r="G672">
        <v>0.52664128771751395</v>
      </c>
      <c r="H672">
        <v>0.6216917169431001</v>
      </c>
      <c r="I672">
        <v>1.4581618065374651</v>
      </c>
      <c r="J672">
        <v>-1.971898063218317</v>
      </c>
      <c r="K672">
        <v>-9.0194402159581744E-2</v>
      </c>
      <c r="M672">
        <f t="shared" si="31"/>
        <v>3.1475074905292972</v>
      </c>
      <c r="N672">
        <f t="shared" si="32"/>
        <v>8</v>
      </c>
    </row>
    <row r="673" spans="1:14" x14ac:dyDescent="0.35">
      <c r="A673" t="str">
        <f t="shared" si="30"/>
        <v>18097353500_2025</v>
      </c>
      <c r="B673">
        <v>18097353500</v>
      </c>
      <c r="C673">
        <v>2025</v>
      </c>
      <c r="D673">
        <v>0.81518154374854146</v>
      </c>
      <c r="E673">
        <v>-0.38177682251642941</v>
      </c>
      <c r="F673">
        <v>0.43147010478978459</v>
      </c>
      <c r="G673">
        <v>1.903700650395294</v>
      </c>
      <c r="H673">
        <v>3.8963506881496599</v>
      </c>
      <c r="I673">
        <v>0.31078343538435349</v>
      </c>
      <c r="J673">
        <v>-1.4907644242578919</v>
      </c>
      <c r="K673">
        <v>-0.68338089223008136</v>
      </c>
      <c r="M673">
        <f t="shared" si="31"/>
        <v>4.8015642834632306</v>
      </c>
      <c r="N673">
        <f t="shared" si="32"/>
        <v>8</v>
      </c>
    </row>
    <row r="674" spans="1:14" x14ac:dyDescent="0.35">
      <c r="A674" t="str">
        <f t="shared" si="30"/>
        <v>18097353500_2026</v>
      </c>
      <c r="B674">
        <v>18097353500</v>
      </c>
      <c r="C674">
        <v>2026</v>
      </c>
      <c r="D674">
        <v>-9.8884202080307154E-2</v>
      </c>
      <c r="E674">
        <v>1.067388610996314</v>
      </c>
      <c r="F674">
        <v>0.47061447053306349</v>
      </c>
      <c r="G674">
        <v>1.8207448393661789</v>
      </c>
      <c r="H674">
        <v>-1.597084421344438</v>
      </c>
      <c r="I674">
        <v>0.96538400322929441</v>
      </c>
      <c r="J674">
        <v>-1.166931985739678</v>
      </c>
      <c r="K674">
        <v>-0.75133623217762369</v>
      </c>
      <c r="M674">
        <f t="shared" si="31"/>
        <v>0.70989508278280378</v>
      </c>
      <c r="N674">
        <f t="shared" si="32"/>
        <v>8</v>
      </c>
    </row>
    <row r="675" spans="1:14" x14ac:dyDescent="0.35">
      <c r="A675" t="str">
        <f t="shared" si="30"/>
        <v>18097353500_2027</v>
      </c>
      <c r="B675">
        <v>18097353500</v>
      </c>
      <c r="C675">
        <v>2027</v>
      </c>
      <c r="D675">
        <v>0.6559086554584822</v>
      </c>
      <c r="E675">
        <v>0.18052627742387881</v>
      </c>
      <c r="F675">
        <v>0.54514981906141291</v>
      </c>
      <c r="G675">
        <v>2.1746855134524941</v>
      </c>
      <c r="H675">
        <v>-2.8753493156401189</v>
      </c>
      <c r="I675">
        <v>0.57391684169240864</v>
      </c>
      <c r="J675">
        <v>-1.0157142339591749</v>
      </c>
      <c r="K675">
        <v>-0.70058871305673776</v>
      </c>
      <c r="M675">
        <f t="shared" si="31"/>
        <v>-0.46146515556735468</v>
      </c>
      <c r="N675">
        <f t="shared" si="32"/>
        <v>8</v>
      </c>
    </row>
    <row r="676" spans="1:14" x14ac:dyDescent="0.35">
      <c r="A676" t="str">
        <f t="shared" si="30"/>
        <v>18097353500_2028</v>
      </c>
      <c r="B676">
        <v>18097353500</v>
      </c>
      <c r="C676">
        <v>2028</v>
      </c>
      <c r="D676">
        <v>0.21047533994545969</v>
      </c>
      <c r="E676">
        <v>0.69420178473498961</v>
      </c>
      <c r="F676">
        <v>0.64534410422363886</v>
      </c>
      <c r="G676">
        <v>2.0001780325898362</v>
      </c>
      <c r="H676">
        <v>1.2306055265594531</v>
      </c>
      <c r="I676">
        <v>0.5770416821312031</v>
      </c>
      <c r="J676">
        <v>-0.94997989694326235</v>
      </c>
      <c r="K676">
        <v>-0.68806065495143687</v>
      </c>
      <c r="M676">
        <f t="shared" si="31"/>
        <v>3.7198059182898811</v>
      </c>
      <c r="N676">
        <f t="shared" si="32"/>
        <v>8</v>
      </c>
    </row>
    <row r="677" spans="1:14" x14ac:dyDescent="0.35">
      <c r="A677" t="str">
        <f t="shared" si="30"/>
        <v>18097353600_2024</v>
      </c>
      <c r="B677">
        <v>18097353600</v>
      </c>
      <c r="C677">
        <v>2024</v>
      </c>
      <c r="D677">
        <v>-0.56200569682380985</v>
      </c>
      <c r="E677">
        <v>0.71746353986735589</v>
      </c>
      <c r="F677">
        <v>0.98727526699851242</v>
      </c>
      <c r="G677">
        <v>0.34179935614287771</v>
      </c>
      <c r="H677">
        <v>4.0106842097830088E-2</v>
      </c>
      <c r="I677">
        <v>0.65196830406933715</v>
      </c>
      <c r="J677">
        <v>-1.3710369535195741</v>
      </c>
      <c r="M677">
        <f t="shared" si="31"/>
        <v>0.80557065883252932</v>
      </c>
      <c r="N677">
        <f t="shared" si="32"/>
        <v>7</v>
      </c>
    </row>
    <row r="678" spans="1:14" x14ac:dyDescent="0.35">
      <c r="A678" t="str">
        <f t="shared" si="30"/>
        <v>18097353600_2025</v>
      </c>
      <c r="B678">
        <v>18097353600</v>
      </c>
      <c r="C678">
        <v>2025</v>
      </c>
      <c r="D678">
        <v>0.51042230243814957</v>
      </c>
      <c r="E678">
        <v>0.95706387522471004</v>
      </c>
      <c r="F678">
        <v>0.47827186092058638</v>
      </c>
      <c r="G678">
        <v>0.924517008906656</v>
      </c>
      <c r="H678">
        <v>-0.37883116099104652</v>
      </c>
      <c r="I678">
        <v>0.42909822459672847</v>
      </c>
      <c r="J678">
        <v>-0.92733607970304299</v>
      </c>
      <c r="M678">
        <f t="shared" si="31"/>
        <v>1.9932060313927409</v>
      </c>
      <c r="N678">
        <f t="shared" si="32"/>
        <v>7</v>
      </c>
    </row>
    <row r="679" spans="1:14" x14ac:dyDescent="0.35">
      <c r="A679" t="str">
        <f t="shared" si="30"/>
        <v>18097353600_2026</v>
      </c>
      <c r="B679">
        <v>18097353600</v>
      </c>
      <c r="C679">
        <v>2026</v>
      </c>
      <c r="D679">
        <v>-0.4535328249395803</v>
      </c>
      <c r="E679">
        <v>1.024722531565236</v>
      </c>
      <c r="F679">
        <v>0.4583706611645883</v>
      </c>
      <c r="G679">
        <v>0.87149809350092067</v>
      </c>
      <c r="H679">
        <v>-0.29659574792570698</v>
      </c>
      <c r="I679">
        <v>0.51917827144314066</v>
      </c>
      <c r="J679">
        <v>-0.74376798820251655</v>
      </c>
      <c r="M679">
        <f t="shared" si="31"/>
        <v>1.3798729966060816</v>
      </c>
      <c r="N679">
        <f t="shared" si="32"/>
        <v>7</v>
      </c>
    </row>
    <row r="680" spans="1:14" x14ac:dyDescent="0.35">
      <c r="A680" t="str">
        <f t="shared" si="30"/>
        <v>18097353600_2027</v>
      </c>
      <c r="B680">
        <v>18097353600</v>
      </c>
      <c r="C680">
        <v>2027</v>
      </c>
      <c r="D680">
        <v>0.29505737655938002</v>
      </c>
      <c r="E680">
        <v>0.94768716863514924</v>
      </c>
      <c r="F680">
        <v>0.4839136126060124</v>
      </c>
      <c r="G680">
        <v>1.059407110578773</v>
      </c>
      <c r="H680">
        <v>-0.41537920988564442</v>
      </c>
      <c r="I680">
        <v>0.46934400313251068</v>
      </c>
      <c r="J680">
        <v>-0.68507156787845269</v>
      </c>
      <c r="M680">
        <f t="shared" si="31"/>
        <v>2.1549584937477277</v>
      </c>
      <c r="N680">
        <f t="shared" si="32"/>
        <v>7</v>
      </c>
    </row>
    <row r="681" spans="1:14" x14ac:dyDescent="0.35">
      <c r="A681" t="str">
        <f t="shared" si="30"/>
        <v>18097353600_2028</v>
      </c>
      <c r="B681">
        <v>18097353600</v>
      </c>
      <c r="C681">
        <v>2028</v>
      </c>
      <c r="D681">
        <v>-0.21064784618564319</v>
      </c>
      <c r="E681">
        <v>0.88855877906106095</v>
      </c>
      <c r="F681">
        <v>0.55125679835147201</v>
      </c>
      <c r="G681">
        <v>0.964568453003804</v>
      </c>
      <c r="H681">
        <v>-0.42372295900461598</v>
      </c>
      <c r="I681">
        <v>0.41906442914480158</v>
      </c>
      <c r="J681">
        <v>-0.66816950516530205</v>
      </c>
      <c r="M681">
        <f t="shared" si="31"/>
        <v>1.5209081492055774</v>
      </c>
      <c r="N681">
        <f t="shared" si="32"/>
        <v>7</v>
      </c>
    </row>
    <row r="682" spans="1:14" x14ac:dyDescent="0.35">
      <c r="A682" t="str">
        <f t="shared" si="30"/>
        <v>18097354201_2024</v>
      </c>
      <c r="B682">
        <v>18097354201</v>
      </c>
      <c r="C682">
        <v>2024</v>
      </c>
      <c r="D682">
        <v>0.41212605223665272</v>
      </c>
      <c r="E682">
        <v>0.80018080982244566</v>
      </c>
      <c r="F682">
        <v>0.9861044770856312</v>
      </c>
      <c r="G682">
        <v>0.59773942792469048</v>
      </c>
      <c r="I682">
        <v>0.61679658554570393</v>
      </c>
      <c r="J682">
        <v>-2.9259754909690439</v>
      </c>
      <c r="M682">
        <f t="shared" si="31"/>
        <v>0.48697186164608031</v>
      </c>
      <c r="N682">
        <f t="shared" si="32"/>
        <v>6</v>
      </c>
    </row>
    <row r="683" spans="1:14" x14ac:dyDescent="0.35">
      <c r="A683" t="str">
        <f t="shared" si="30"/>
        <v>18097354201_2025</v>
      </c>
      <c r="B683">
        <v>18097354201</v>
      </c>
      <c r="C683">
        <v>2025</v>
      </c>
      <c r="D683">
        <v>3.3874723823622341</v>
      </c>
      <c r="E683">
        <v>-0.39857314417004852</v>
      </c>
      <c r="F683">
        <v>0.29872262885358891</v>
      </c>
      <c r="G683">
        <v>-0.93790429670775877</v>
      </c>
      <c r="I683">
        <v>8.2786399463464194E-2</v>
      </c>
      <c r="J683">
        <v>-2.7388771615684431</v>
      </c>
      <c r="M683">
        <f t="shared" si="31"/>
        <v>-0.30637319176696343</v>
      </c>
      <c r="N683">
        <f t="shared" si="32"/>
        <v>6</v>
      </c>
    </row>
    <row r="684" spans="1:14" x14ac:dyDescent="0.35">
      <c r="A684" t="str">
        <f t="shared" si="30"/>
        <v>18097354201_2026</v>
      </c>
      <c r="B684">
        <v>18097354201</v>
      </c>
      <c r="C684">
        <v>2026</v>
      </c>
      <c r="D684">
        <v>2.6278614522543569</v>
      </c>
      <c r="E684">
        <v>1.23611788628907</v>
      </c>
      <c r="F684">
        <v>0.34688098872117029</v>
      </c>
      <c r="G684">
        <v>1.525057754940216</v>
      </c>
      <c r="I684">
        <v>0.78168727649305336</v>
      </c>
      <c r="J684">
        <v>-2.5210821152773528</v>
      </c>
      <c r="M684">
        <f t="shared" si="31"/>
        <v>3.9965232434205138</v>
      </c>
      <c r="N684">
        <f t="shared" si="32"/>
        <v>6</v>
      </c>
    </row>
    <row r="685" spans="1:14" x14ac:dyDescent="0.35">
      <c r="A685" t="str">
        <f t="shared" si="30"/>
        <v>18097354201_2027</v>
      </c>
      <c r="B685">
        <v>18097354201</v>
      </c>
      <c r="C685">
        <v>2027</v>
      </c>
      <c r="D685">
        <v>3.3881951749171102</v>
      </c>
      <c r="E685">
        <v>-0.21097038534983789</v>
      </c>
      <c r="F685">
        <v>0.39124258463391531</v>
      </c>
      <c r="G685">
        <v>-0.93832435180144425</v>
      </c>
      <c r="I685">
        <v>0.18178602761130461</v>
      </c>
      <c r="J685">
        <v>-2.4113118544998819</v>
      </c>
      <c r="M685">
        <f t="shared" si="31"/>
        <v>0.40061719551116592</v>
      </c>
      <c r="N685">
        <f t="shared" si="32"/>
        <v>6</v>
      </c>
    </row>
    <row r="686" spans="1:14" x14ac:dyDescent="0.35">
      <c r="A686" t="str">
        <f t="shared" si="30"/>
        <v>18097354201_2028</v>
      </c>
      <c r="B686">
        <v>18097354201</v>
      </c>
      <c r="C686">
        <v>2028</v>
      </c>
      <c r="D686">
        <v>3.4681365782585218</v>
      </c>
      <c r="E686">
        <v>1.0296498006796131</v>
      </c>
      <c r="F686">
        <v>0.48565959382346352</v>
      </c>
      <c r="G686">
        <v>1.558008620836989</v>
      </c>
      <c r="I686">
        <v>0.56832760394669457</v>
      </c>
      <c r="J686">
        <v>-2.361726743851241</v>
      </c>
      <c r="M686">
        <f t="shared" si="31"/>
        <v>4.7480554536940405</v>
      </c>
      <c r="N686">
        <f t="shared" si="32"/>
        <v>6</v>
      </c>
    </row>
    <row r="687" spans="1:14" x14ac:dyDescent="0.35">
      <c r="A687" t="str">
        <f t="shared" si="30"/>
        <v>18097354202_2024</v>
      </c>
      <c r="B687">
        <v>18097354202</v>
      </c>
      <c r="C687">
        <v>2024</v>
      </c>
      <c r="D687">
        <v>-0.34705786866502403</v>
      </c>
      <c r="E687">
        <v>-0.22842262160946569</v>
      </c>
      <c r="F687">
        <v>0.92999076754581278</v>
      </c>
      <c r="I687">
        <v>0.62207810842066724</v>
      </c>
      <c r="J687">
        <v>-2.6206473768395639</v>
      </c>
      <c r="K687">
        <v>1.7128417489461061</v>
      </c>
      <c r="M687">
        <f t="shared" si="31"/>
        <v>6.878275779853249E-2</v>
      </c>
      <c r="N687">
        <f t="shared" si="32"/>
        <v>6</v>
      </c>
    </row>
    <row r="688" spans="1:14" x14ac:dyDescent="0.35">
      <c r="A688" t="str">
        <f t="shared" si="30"/>
        <v>18097354202_2025</v>
      </c>
      <c r="B688">
        <v>18097354202</v>
      </c>
      <c r="C688">
        <v>2025</v>
      </c>
      <c r="D688">
        <v>1.9680332708489019</v>
      </c>
      <c r="E688">
        <v>-0.60860307484139231</v>
      </c>
      <c r="F688">
        <v>-0.62586923800691252</v>
      </c>
      <c r="I688">
        <v>0.65060820026870914</v>
      </c>
      <c r="J688">
        <v>-2.3307637054505679</v>
      </c>
      <c r="K688">
        <v>4.2989132042362117</v>
      </c>
      <c r="M688">
        <f t="shared" si="31"/>
        <v>3.3523186570549499</v>
      </c>
      <c r="N688">
        <f t="shared" si="32"/>
        <v>6</v>
      </c>
    </row>
    <row r="689" spans="1:14" x14ac:dyDescent="0.35">
      <c r="A689" t="str">
        <f t="shared" si="30"/>
        <v>18097354202_2026</v>
      </c>
      <c r="B689">
        <v>18097354202</v>
      </c>
      <c r="C689">
        <v>2026</v>
      </c>
      <c r="D689">
        <v>0.85572795992097372</v>
      </c>
      <c r="E689">
        <v>-0.57912969928901314</v>
      </c>
      <c r="F689">
        <v>-0.49134363245966722</v>
      </c>
      <c r="I689">
        <v>0.68042226254333948</v>
      </c>
      <c r="J689">
        <v>-2.0618697968119641</v>
      </c>
      <c r="K689">
        <v>4.1039646996473289</v>
      </c>
      <c r="M689">
        <f t="shared" si="31"/>
        <v>2.5077717935509973</v>
      </c>
      <c r="N689">
        <f t="shared" si="32"/>
        <v>6</v>
      </c>
    </row>
    <row r="690" spans="1:14" x14ac:dyDescent="0.35">
      <c r="A690" t="str">
        <f t="shared" si="30"/>
        <v>18097354202_2027</v>
      </c>
      <c r="B690">
        <v>18097354202</v>
      </c>
      <c r="C690">
        <v>2027</v>
      </c>
      <c r="D690">
        <v>1.717113287839908</v>
      </c>
      <c r="E690">
        <v>-0.57274390990844115</v>
      </c>
      <c r="F690">
        <v>-0.65325937282198376</v>
      </c>
      <c r="I690">
        <v>0.59436911358757183</v>
      </c>
      <c r="J690">
        <v>-1.9268580383458349</v>
      </c>
      <c r="K690">
        <v>4.0551358747438133</v>
      </c>
      <c r="M690">
        <f t="shared" si="31"/>
        <v>3.2137569550950333</v>
      </c>
      <c r="N690">
        <f t="shared" si="32"/>
        <v>6</v>
      </c>
    </row>
    <row r="691" spans="1:14" x14ac:dyDescent="0.35">
      <c r="A691" t="str">
        <f t="shared" si="30"/>
        <v>18097354202_2028</v>
      </c>
      <c r="B691">
        <v>18097354202</v>
      </c>
      <c r="C691">
        <v>2028</v>
      </c>
      <c r="D691">
        <v>1.4366240068852489</v>
      </c>
      <c r="E691">
        <v>-0.44693792471064908</v>
      </c>
      <c r="F691">
        <v>-0.61555427666562168</v>
      </c>
      <c r="I691">
        <v>0.50773288816992956</v>
      </c>
      <c r="J691">
        <v>-1.865378314600094</v>
      </c>
      <c r="K691">
        <v>3.998852235484839</v>
      </c>
      <c r="M691">
        <f t="shared" si="31"/>
        <v>3.0153386145636527</v>
      </c>
      <c r="N691">
        <f t="shared" si="32"/>
        <v>6</v>
      </c>
    </row>
    <row r="692" spans="1:14" x14ac:dyDescent="0.35">
      <c r="A692" t="str">
        <f t="shared" si="30"/>
        <v>18097354400_2024</v>
      </c>
      <c r="B692">
        <v>18097354400</v>
      </c>
      <c r="C692">
        <v>2024</v>
      </c>
      <c r="D692">
        <v>-0.32996274069867848</v>
      </c>
      <c r="E692">
        <v>0.2254271944504804</v>
      </c>
      <c r="F692">
        <v>-0.97530623704894881</v>
      </c>
      <c r="G692">
        <v>-0.2332994166475586</v>
      </c>
      <c r="H692">
        <v>0.14369889786262061</v>
      </c>
      <c r="I692">
        <v>0.40962586427702152</v>
      </c>
      <c r="J692">
        <v>-1.317693209163814</v>
      </c>
      <c r="M692">
        <f t="shared" si="31"/>
        <v>-2.0775096469688776</v>
      </c>
      <c r="N692">
        <f t="shared" si="32"/>
        <v>7</v>
      </c>
    </row>
    <row r="693" spans="1:14" x14ac:dyDescent="0.35">
      <c r="A693" t="str">
        <f t="shared" si="30"/>
        <v>18097354400_2025</v>
      </c>
      <c r="B693">
        <v>18097354400</v>
      </c>
      <c r="C693">
        <v>2025</v>
      </c>
      <c r="D693">
        <v>-2.9338648685057749E-2</v>
      </c>
      <c r="E693">
        <v>2.5967395402343219E-2</v>
      </c>
      <c r="F693">
        <v>-1.0409855555762959</v>
      </c>
      <c r="G693">
        <v>-0.31355370035424007</v>
      </c>
      <c r="H693">
        <v>-0.64915220792719552</v>
      </c>
      <c r="I693">
        <v>0.77334189189563296</v>
      </c>
      <c r="J693">
        <v>-0.83481116698266589</v>
      </c>
      <c r="M693">
        <f t="shared" si="31"/>
        <v>-2.068531992227479</v>
      </c>
      <c r="N693">
        <f t="shared" si="32"/>
        <v>7</v>
      </c>
    </row>
    <row r="694" spans="1:14" x14ac:dyDescent="0.35">
      <c r="A694" t="str">
        <f t="shared" si="30"/>
        <v>18097354400_2026</v>
      </c>
      <c r="B694">
        <v>18097354400</v>
      </c>
      <c r="C694">
        <v>2026</v>
      </c>
      <c r="D694">
        <v>-0.31116852476032281</v>
      </c>
      <c r="E694">
        <v>0.14399280614257129</v>
      </c>
      <c r="F694">
        <v>-1.008073946508806</v>
      </c>
      <c r="G694">
        <v>-0.37510746677183832</v>
      </c>
      <c r="H694">
        <v>-0.1405970277208918</v>
      </c>
      <c r="I694">
        <v>0.67319774050893522</v>
      </c>
      <c r="J694">
        <v>-0.63281700139661468</v>
      </c>
      <c r="M694">
        <f t="shared" si="31"/>
        <v>-1.6505734205069671</v>
      </c>
      <c r="N694">
        <f t="shared" si="32"/>
        <v>7</v>
      </c>
    </row>
    <row r="695" spans="1:14" x14ac:dyDescent="0.35">
      <c r="A695" t="str">
        <f t="shared" si="30"/>
        <v>18097354400_2027</v>
      </c>
      <c r="B695">
        <v>18097354400</v>
      </c>
      <c r="C695">
        <v>2027</v>
      </c>
      <c r="D695">
        <v>-6.4983814769182607E-2</v>
      </c>
      <c r="E695">
        <v>0.1444951308903914</v>
      </c>
      <c r="F695">
        <v>-1.108079070427072</v>
      </c>
      <c r="G695">
        <v>-0.37894730299092949</v>
      </c>
      <c r="H695">
        <v>-0.46622812990065698</v>
      </c>
      <c r="I695">
        <v>0.62049295068309362</v>
      </c>
      <c r="J695">
        <v>-0.56698997142822904</v>
      </c>
      <c r="M695">
        <f t="shared" si="31"/>
        <v>-1.820240207942585</v>
      </c>
      <c r="N695">
        <f t="shared" si="32"/>
        <v>7</v>
      </c>
    </row>
    <row r="696" spans="1:14" x14ac:dyDescent="0.35">
      <c r="A696" t="str">
        <f t="shared" si="30"/>
        <v>18097354400_2028</v>
      </c>
      <c r="B696">
        <v>18097354400</v>
      </c>
      <c r="C696">
        <v>2028</v>
      </c>
      <c r="D696">
        <v>-0.30903672633570739</v>
      </c>
      <c r="E696">
        <v>0.21298397921951051</v>
      </c>
      <c r="F696">
        <v>-1.141064502467807</v>
      </c>
      <c r="G696">
        <v>-0.37494875728694471</v>
      </c>
      <c r="H696">
        <v>-0.38604298967765521</v>
      </c>
      <c r="I696">
        <v>0.51782992409943773</v>
      </c>
      <c r="J696">
        <v>-0.54765992150880993</v>
      </c>
      <c r="M696">
        <f t="shared" si="31"/>
        <v>-2.0279389939579762</v>
      </c>
      <c r="N696">
        <f t="shared" si="32"/>
        <v>7</v>
      </c>
    </row>
    <row r="697" spans="1:14" x14ac:dyDescent="0.35">
      <c r="A697" t="str">
        <f t="shared" si="30"/>
        <v>18097354500_2024</v>
      </c>
      <c r="B697">
        <v>18097354500</v>
      </c>
      <c r="C697">
        <v>2024</v>
      </c>
      <c r="D697">
        <v>-0.37884594888337592</v>
      </c>
      <c r="E697">
        <v>0.1975672214366006</v>
      </c>
      <c r="F697">
        <v>0.162483286727898</v>
      </c>
      <c r="G697">
        <v>-1.714462625302696</v>
      </c>
      <c r="H697">
        <v>4.8152190925401267E-2</v>
      </c>
      <c r="I697">
        <v>-0.16882477311902211</v>
      </c>
      <c r="J697">
        <v>-0.38314076182732287</v>
      </c>
      <c r="K697">
        <v>0.18895768933447191</v>
      </c>
      <c r="M697">
        <f t="shared" si="31"/>
        <v>-2.0481137207080451</v>
      </c>
      <c r="N697">
        <f t="shared" si="32"/>
        <v>8</v>
      </c>
    </row>
    <row r="698" spans="1:14" x14ac:dyDescent="0.35">
      <c r="A698" t="str">
        <f t="shared" si="30"/>
        <v>18097354500_2025</v>
      </c>
      <c r="B698">
        <v>18097354500</v>
      </c>
      <c r="C698">
        <v>2025</v>
      </c>
      <c r="D698">
        <v>-1.0172249413830381</v>
      </c>
      <c r="E698">
        <v>0.19011138330373409</v>
      </c>
      <c r="F698">
        <v>-0.46618408809017797</v>
      </c>
      <c r="G698">
        <v>0.15345258495924041</v>
      </c>
      <c r="H698">
        <v>-0.4018803832238379</v>
      </c>
      <c r="I698">
        <v>0.23016158476743301</v>
      </c>
      <c r="J698">
        <v>0.47023671160462382</v>
      </c>
      <c r="K698">
        <v>0.1153575334483101</v>
      </c>
      <c r="M698">
        <f t="shared" si="31"/>
        <v>-0.72596961461371246</v>
      </c>
      <c r="N698">
        <f t="shared" si="32"/>
        <v>8</v>
      </c>
    </row>
    <row r="699" spans="1:14" x14ac:dyDescent="0.35">
      <c r="A699" t="str">
        <f t="shared" si="30"/>
        <v>18097354500_2026</v>
      </c>
      <c r="B699">
        <v>18097354500</v>
      </c>
      <c r="C699">
        <v>2026</v>
      </c>
      <c r="D699">
        <v>-0.15161500430048599</v>
      </c>
      <c r="E699">
        <v>0.27543248800244069</v>
      </c>
      <c r="F699">
        <v>-0.48563050178348111</v>
      </c>
      <c r="G699">
        <v>9.3493226813771965E-2</v>
      </c>
      <c r="H699">
        <v>-0.31401245694150159</v>
      </c>
      <c r="I699">
        <v>0.19467460683530649</v>
      </c>
      <c r="J699">
        <v>0.96025619156052422</v>
      </c>
      <c r="K699">
        <v>-4.9531851549655538E-2</v>
      </c>
      <c r="M699">
        <f t="shared" si="31"/>
        <v>0.52306669863691901</v>
      </c>
      <c r="N699">
        <f t="shared" si="32"/>
        <v>8</v>
      </c>
    </row>
    <row r="700" spans="1:14" x14ac:dyDescent="0.35">
      <c r="A700" t="str">
        <f t="shared" si="30"/>
        <v>18097354500_2027</v>
      </c>
      <c r="B700">
        <v>18097354500</v>
      </c>
      <c r="C700">
        <v>2027</v>
      </c>
      <c r="D700">
        <v>-1.1818279929941919</v>
      </c>
      <c r="E700">
        <v>0.27496899473741637</v>
      </c>
      <c r="F700">
        <v>-0.55426876982964646</v>
      </c>
      <c r="G700">
        <v>0.15599926296381569</v>
      </c>
      <c r="H700">
        <v>-0.42998123855746417</v>
      </c>
      <c r="I700">
        <v>0.23804891224935909</v>
      </c>
      <c r="J700">
        <v>1.201387001407157</v>
      </c>
      <c r="K700">
        <v>-6.0474271710634089E-2</v>
      </c>
      <c r="M700">
        <f t="shared" si="31"/>
        <v>-0.3561481017341887</v>
      </c>
      <c r="N700">
        <f t="shared" si="32"/>
        <v>8</v>
      </c>
    </row>
    <row r="701" spans="1:14" x14ac:dyDescent="0.35">
      <c r="A701" t="str">
        <f t="shared" si="30"/>
        <v>18097354500_2028</v>
      </c>
      <c r="B701">
        <v>18097354500</v>
      </c>
      <c r="C701">
        <v>2028</v>
      </c>
      <c r="D701">
        <v>-0.4011866669647477</v>
      </c>
      <c r="E701">
        <v>0.32629875510156808</v>
      </c>
      <c r="F701">
        <v>-0.55594917094394847</v>
      </c>
      <c r="G701">
        <v>0.1242954568187518</v>
      </c>
      <c r="H701">
        <v>-0.43394318391373993</v>
      </c>
      <c r="I701">
        <v>0.24672656417037139</v>
      </c>
      <c r="J701">
        <v>1.3165939809916609</v>
      </c>
      <c r="K701">
        <v>-9.4570731701321159E-2</v>
      </c>
      <c r="M701">
        <f t="shared" si="31"/>
        <v>0.52826500355859485</v>
      </c>
      <c r="N701">
        <f t="shared" si="32"/>
        <v>8</v>
      </c>
    </row>
    <row r="702" spans="1:14" x14ac:dyDescent="0.35">
      <c r="A702" t="str">
        <f t="shared" si="30"/>
        <v>18097354700_2024</v>
      </c>
      <c r="B702">
        <v>18097354700</v>
      </c>
      <c r="C702">
        <v>2024</v>
      </c>
      <c r="D702">
        <v>-0.3788446944173105</v>
      </c>
      <c r="E702">
        <v>0.94970318111066321</v>
      </c>
      <c r="F702">
        <v>0.28026594726447268</v>
      </c>
      <c r="G702">
        <v>7.3009776320067088</v>
      </c>
      <c r="H702">
        <v>0.1785370071400792</v>
      </c>
      <c r="I702">
        <v>0.13331482724301841</v>
      </c>
      <c r="J702">
        <v>-0.38314076182732287</v>
      </c>
      <c r="K702">
        <v>0.18895768923890929</v>
      </c>
      <c r="M702">
        <f t="shared" si="31"/>
        <v>8.2697708277592188</v>
      </c>
      <c r="N702">
        <f t="shared" si="32"/>
        <v>8</v>
      </c>
    </row>
    <row r="703" spans="1:14" x14ac:dyDescent="0.35">
      <c r="A703" t="str">
        <f t="shared" si="30"/>
        <v>18097354700_2025</v>
      </c>
      <c r="B703">
        <v>18097354700</v>
      </c>
      <c r="C703">
        <v>2025</v>
      </c>
      <c r="D703">
        <v>-1.017229236895927</v>
      </c>
      <c r="E703">
        <v>1.0501013049231449</v>
      </c>
      <c r="F703">
        <v>-0.6531058103407934</v>
      </c>
      <c r="G703">
        <v>0.90606678054838841</v>
      </c>
      <c r="H703">
        <v>-1.454594725025308E-2</v>
      </c>
      <c r="I703">
        <v>0.33829590390687653</v>
      </c>
      <c r="J703">
        <v>0.47023671160462382</v>
      </c>
      <c r="K703">
        <v>0.1153575329933528</v>
      </c>
      <c r="M703">
        <f t="shared" si="31"/>
        <v>1.1951772394894129</v>
      </c>
      <c r="N703">
        <f t="shared" si="32"/>
        <v>8</v>
      </c>
    </row>
    <row r="704" spans="1:14" x14ac:dyDescent="0.35">
      <c r="A704" t="str">
        <f t="shared" si="30"/>
        <v>18097354700_2026</v>
      </c>
      <c r="B704">
        <v>18097354700</v>
      </c>
      <c r="C704">
        <v>2026</v>
      </c>
      <c r="D704">
        <v>-0.15161010668099001</v>
      </c>
      <c r="E704">
        <v>1.0305234554020559</v>
      </c>
      <c r="F704">
        <v>-0.65356773185044847</v>
      </c>
      <c r="G704">
        <v>0.77197733903264598</v>
      </c>
      <c r="H704">
        <v>0.13708785658496039</v>
      </c>
      <c r="I704">
        <v>0.34827794079448421</v>
      </c>
      <c r="J704">
        <v>0.96025619156052422</v>
      </c>
      <c r="K704">
        <v>-4.9531852034213862E-2</v>
      </c>
      <c r="M704">
        <f t="shared" si="31"/>
        <v>2.3934130928090185</v>
      </c>
      <c r="N704">
        <f t="shared" si="32"/>
        <v>8</v>
      </c>
    </row>
    <row r="705" spans="1:14" x14ac:dyDescent="0.35">
      <c r="A705" t="str">
        <f t="shared" si="30"/>
        <v>18097354700_2027</v>
      </c>
      <c r="B705">
        <v>18097354700</v>
      </c>
      <c r="C705">
        <v>2027</v>
      </c>
      <c r="D705">
        <v>-1.1818336964834599</v>
      </c>
      <c r="E705">
        <v>0.93663697108772159</v>
      </c>
      <c r="F705">
        <v>-0.73816473137275362</v>
      </c>
      <c r="G705">
        <v>0.99305600906880898</v>
      </c>
      <c r="H705">
        <v>-5.688161853909271E-2</v>
      </c>
      <c r="I705">
        <v>0.3518442907983127</v>
      </c>
      <c r="J705">
        <v>1.201387001407157</v>
      </c>
      <c r="K705">
        <v>-6.0474272174996728E-2</v>
      </c>
      <c r="M705">
        <f t="shared" si="31"/>
        <v>1.4455699537916973</v>
      </c>
      <c r="N705">
        <f t="shared" si="32"/>
        <v>8</v>
      </c>
    </row>
    <row r="706" spans="1:14" x14ac:dyDescent="0.35">
      <c r="A706" t="str">
        <f t="shared" si="30"/>
        <v>18097354700_2028</v>
      </c>
      <c r="B706">
        <v>18097354700</v>
      </c>
      <c r="C706">
        <v>2028</v>
      </c>
      <c r="D706">
        <v>-0.40118198229798169</v>
      </c>
      <c r="E706">
        <v>0.8765358224940043</v>
      </c>
      <c r="F706">
        <v>-0.75494490571473849</v>
      </c>
      <c r="G706">
        <v>0.87372174356221366</v>
      </c>
      <c r="H706">
        <v>-0.14542383294455061</v>
      </c>
      <c r="I706">
        <v>0.33176642506381032</v>
      </c>
      <c r="J706">
        <v>1.3165939809916609</v>
      </c>
      <c r="K706">
        <v>-9.4570732113438721E-2</v>
      </c>
      <c r="M706">
        <f t="shared" si="31"/>
        <v>2.0024965190409794</v>
      </c>
      <c r="N706">
        <f t="shared" si="32"/>
        <v>8</v>
      </c>
    </row>
    <row r="707" spans="1:14" x14ac:dyDescent="0.35">
      <c r="A707" t="str">
        <f t="shared" ref="A707:A770" si="33">TEXT(B707,0)&amp;"_"&amp;TEXT(C707,0)</f>
        <v>18097354800_2024</v>
      </c>
      <c r="B707">
        <v>18097354800</v>
      </c>
      <c r="C707">
        <v>2024</v>
      </c>
      <c r="D707">
        <v>-0.37884514193963531</v>
      </c>
      <c r="E707">
        <v>0.43158470772631119</v>
      </c>
      <c r="F707">
        <v>-0.85507367194626782</v>
      </c>
      <c r="G707">
        <v>1.18724474405813</v>
      </c>
      <c r="H707">
        <v>0.15056615273878421</v>
      </c>
      <c r="I707">
        <v>-0.6763794182459224</v>
      </c>
      <c r="J707">
        <v>-0.38314076182732287</v>
      </c>
      <c r="K707">
        <v>0.18895768923890929</v>
      </c>
      <c r="M707">
        <f t="shared" ref="M707:M770" si="34">SUM(D707:K707)</f>
        <v>-0.33508570019701356</v>
      </c>
      <c r="N707">
        <f t="shared" ref="N707:N770" si="35">IF(D707=0,0,1)+IF(E707=0,0,1)+IF(F707=0,0,1)+IF(G707=0,0,1)+IF(H707=0,0,1)+IF(I707=0,0,1)++IF(J707=0,0,1)++IF(K707=0,0,1)</f>
        <v>8</v>
      </c>
    </row>
    <row r="708" spans="1:14" x14ac:dyDescent="0.35">
      <c r="A708" t="str">
        <f t="shared" si="33"/>
        <v>18097354800_2025</v>
      </c>
      <c r="B708">
        <v>18097354800</v>
      </c>
      <c r="C708">
        <v>2025</v>
      </c>
      <c r="D708">
        <v>-1.017227799532578</v>
      </c>
      <c r="E708">
        <v>0.57506382519121857</v>
      </c>
      <c r="F708">
        <v>-0.94506352531443016</v>
      </c>
      <c r="G708">
        <v>2.5061282928336062</v>
      </c>
      <c r="H708">
        <v>-9.168612504596596E-2</v>
      </c>
      <c r="I708">
        <v>0.56349937389952498</v>
      </c>
      <c r="J708">
        <v>0.47023671160462382</v>
      </c>
      <c r="K708">
        <v>0.1153575329933528</v>
      </c>
      <c r="M708">
        <f t="shared" si="34"/>
        <v>2.1763082866293524</v>
      </c>
      <c r="N708">
        <f t="shared" si="35"/>
        <v>8</v>
      </c>
    </row>
    <row r="709" spans="1:14" x14ac:dyDescent="0.35">
      <c r="A709" t="str">
        <f t="shared" si="33"/>
        <v>18097354800_2026</v>
      </c>
      <c r="B709">
        <v>18097354800</v>
      </c>
      <c r="C709">
        <v>2026</v>
      </c>
      <c r="D709">
        <v>-0.1516117939273956</v>
      </c>
      <c r="E709">
        <v>0.65921697381291955</v>
      </c>
      <c r="F709">
        <v>-1.001916314944423</v>
      </c>
      <c r="G709">
        <v>2.546642808896689</v>
      </c>
      <c r="H709">
        <v>-8.3624143430539838E-2</v>
      </c>
      <c r="I709">
        <v>-0.21542235554665071</v>
      </c>
      <c r="J709">
        <v>0.96025619156052422</v>
      </c>
      <c r="K709">
        <v>-4.9531852034213862E-2</v>
      </c>
      <c r="M709">
        <f t="shared" si="34"/>
        <v>2.6640095143869096</v>
      </c>
      <c r="N709">
        <f t="shared" si="35"/>
        <v>8</v>
      </c>
    </row>
    <row r="710" spans="1:14" x14ac:dyDescent="0.35">
      <c r="A710" t="str">
        <f t="shared" si="33"/>
        <v>18097354800_2027</v>
      </c>
      <c r="B710">
        <v>18097354800</v>
      </c>
      <c r="C710">
        <v>2027</v>
      </c>
      <c r="D710">
        <v>-1.181831793139811</v>
      </c>
      <c r="E710">
        <v>0.62685179561189819</v>
      </c>
      <c r="F710">
        <v>-1.1463912035300241</v>
      </c>
      <c r="G710">
        <v>2.9673683196940202</v>
      </c>
      <c r="H710">
        <v>-0.2369984753589974</v>
      </c>
      <c r="I710">
        <v>0.28902271682118252</v>
      </c>
      <c r="J710">
        <v>1.201387001407157</v>
      </c>
      <c r="K710">
        <v>-6.0474272174996728E-2</v>
      </c>
      <c r="M710">
        <f t="shared" si="34"/>
        <v>2.4589340893304286</v>
      </c>
      <c r="N710">
        <f t="shared" si="35"/>
        <v>8</v>
      </c>
    </row>
    <row r="711" spans="1:14" x14ac:dyDescent="0.35">
      <c r="A711" t="str">
        <f t="shared" si="33"/>
        <v>18097354800_2028</v>
      </c>
      <c r="B711">
        <v>18097354800</v>
      </c>
      <c r="C711">
        <v>2028</v>
      </c>
      <c r="D711">
        <v>-0.40118359666711528</v>
      </c>
      <c r="E711">
        <v>0.6258682640412494</v>
      </c>
      <c r="F711">
        <v>-1.2033163596591441</v>
      </c>
      <c r="G711">
        <v>2.7471538836597609</v>
      </c>
      <c r="H711">
        <v>-0.2945554702908571</v>
      </c>
      <c r="I711">
        <v>0.1020770978843229</v>
      </c>
      <c r="J711">
        <v>1.3165939809916609</v>
      </c>
      <c r="K711">
        <v>-9.4570732113438721E-2</v>
      </c>
      <c r="M711">
        <f t="shared" si="34"/>
        <v>2.7980670678464388</v>
      </c>
      <c r="N711">
        <f t="shared" si="35"/>
        <v>8</v>
      </c>
    </row>
    <row r="712" spans="1:14" x14ac:dyDescent="0.35">
      <c r="A712" t="str">
        <f t="shared" si="33"/>
        <v>18097354900_2024</v>
      </c>
      <c r="B712">
        <v>18097354900</v>
      </c>
      <c r="C712">
        <v>2024</v>
      </c>
      <c r="D712">
        <v>-0.37884615174536529</v>
      </c>
      <c r="E712">
        <v>1.0239927361841541</v>
      </c>
      <c r="F712">
        <v>0.85489510542456826</v>
      </c>
      <c r="G712">
        <v>1.1890167212180631E-2</v>
      </c>
      <c r="H712">
        <v>0.32570614565122419</v>
      </c>
      <c r="I712">
        <v>1.7849978774699592E-2</v>
      </c>
      <c r="J712">
        <v>-0.38314076182732287</v>
      </c>
      <c r="K712">
        <v>0.18895768923890929</v>
      </c>
      <c r="M712">
        <f t="shared" si="34"/>
        <v>1.6613049089130481</v>
      </c>
      <c r="N712">
        <f t="shared" si="35"/>
        <v>8</v>
      </c>
    </row>
    <row r="713" spans="1:14" x14ac:dyDescent="0.35">
      <c r="A713" t="str">
        <f t="shared" si="33"/>
        <v>18097354900_2025</v>
      </c>
      <c r="B713">
        <v>18097354900</v>
      </c>
      <c r="C713">
        <v>2025</v>
      </c>
      <c r="D713">
        <v>-1.0172244601758511</v>
      </c>
      <c r="E713">
        <v>1.152967595307437</v>
      </c>
      <c r="F713">
        <v>-0.1212577222651802</v>
      </c>
      <c r="G713">
        <v>0.22523832672896771</v>
      </c>
      <c r="H713">
        <v>0.94597889878113062</v>
      </c>
      <c r="I713">
        <v>9.89424462329868E-2</v>
      </c>
      <c r="J713">
        <v>0.47023671160462382</v>
      </c>
      <c r="K713">
        <v>0.1153575329933528</v>
      </c>
      <c r="M713">
        <f t="shared" si="34"/>
        <v>1.8702393292074673</v>
      </c>
      <c r="N713">
        <f t="shared" si="35"/>
        <v>8</v>
      </c>
    </row>
    <row r="714" spans="1:14" x14ac:dyDescent="0.35">
      <c r="A714" t="str">
        <f t="shared" si="33"/>
        <v>18097354900_2026</v>
      </c>
      <c r="B714">
        <v>18097354900</v>
      </c>
      <c r="C714">
        <v>2026</v>
      </c>
      <c r="D714">
        <v>-0.15161566166701029</v>
      </c>
      <c r="E714">
        <v>1.024264310439496</v>
      </c>
      <c r="F714">
        <v>-2.589346296331331E-2</v>
      </c>
      <c r="G714">
        <v>0.17212206222595339</v>
      </c>
      <c r="H714">
        <v>1.2726165663611659</v>
      </c>
      <c r="I714">
        <v>0.1263023740569752</v>
      </c>
      <c r="J714">
        <v>0.96025619156052422</v>
      </c>
      <c r="K714">
        <v>-4.9531852034213862E-2</v>
      </c>
      <c r="M714">
        <f t="shared" si="34"/>
        <v>3.3285205279795771</v>
      </c>
      <c r="N714">
        <f t="shared" si="35"/>
        <v>8</v>
      </c>
    </row>
    <row r="715" spans="1:14" x14ac:dyDescent="0.35">
      <c r="A715" t="str">
        <f t="shared" si="33"/>
        <v>18097354900_2027</v>
      </c>
      <c r="B715">
        <v>18097354900</v>
      </c>
      <c r="C715">
        <v>2027</v>
      </c>
      <c r="D715">
        <v>-1.1818273656432521</v>
      </c>
      <c r="E715">
        <v>0.86329108965598733</v>
      </c>
      <c r="F715">
        <v>-7.6440034123355316E-2</v>
      </c>
      <c r="G715">
        <v>0.24935230571465761</v>
      </c>
      <c r="H715">
        <v>1.2436385631188369</v>
      </c>
      <c r="I715">
        <v>0.1756476459090098</v>
      </c>
      <c r="J715">
        <v>1.201387001407157</v>
      </c>
      <c r="K715">
        <v>-6.0474272174996728E-2</v>
      </c>
      <c r="M715">
        <f t="shared" si="34"/>
        <v>2.4145749338640443</v>
      </c>
      <c r="N715">
        <f t="shared" si="35"/>
        <v>8</v>
      </c>
    </row>
    <row r="716" spans="1:14" x14ac:dyDescent="0.35">
      <c r="A716" t="str">
        <f t="shared" si="33"/>
        <v>18097354900_2028</v>
      </c>
      <c r="B716">
        <v>18097354900</v>
      </c>
      <c r="C716">
        <v>2028</v>
      </c>
      <c r="D716">
        <v>-0.40118729683305099</v>
      </c>
      <c r="E716">
        <v>0.78309636949775907</v>
      </c>
      <c r="F716">
        <v>-7.4340447126071798E-3</v>
      </c>
      <c r="G716">
        <v>0.21126145288750289</v>
      </c>
      <c r="H716">
        <v>1.3547614125294101</v>
      </c>
      <c r="I716">
        <v>0.20083762243179559</v>
      </c>
      <c r="J716">
        <v>1.3165939809916609</v>
      </c>
      <c r="K716">
        <v>-9.4570732113438721E-2</v>
      </c>
      <c r="M716">
        <f t="shared" si="34"/>
        <v>3.3633587646790319</v>
      </c>
      <c r="N716">
        <f t="shared" si="35"/>
        <v>8</v>
      </c>
    </row>
    <row r="717" spans="1:14" x14ac:dyDescent="0.35">
      <c r="A717" t="str">
        <f t="shared" si="33"/>
        <v>18097355000_2024</v>
      </c>
      <c r="B717">
        <v>18097355000</v>
      </c>
      <c r="C717">
        <v>2024</v>
      </c>
      <c r="D717">
        <v>-0.37884576904956968</v>
      </c>
      <c r="E717">
        <v>0.35459471768020268</v>
      </c>
      <c r="F717">
        <v>-0.4811897425131817</v>
      </c>
      <c r="G717">
        <v>-0.71257642430280832</v>
      </c>
      <c r="H717">
        <v>4.2170302349672839E-2</v>
      </c>
      <c r="I717">
        <v>0.92686821265770103</v>
      </c>
      <c r="J717">
        <v>-0.38314076182732287</v>
      </c>
      <c r="K717">
        <v>0.18895768933447191</v>
      </c>
      <c r="M717">
        <f t="shared" si="34"/>
        <v>-0.44316177567083403</v>
      </c>
      <c r="N717">
        <f t="shared" si="35"/>
        <v>8</v>
      </c>
    </row>
    <row r="718" spans="1:14" x14ac:dyDescent="0.35">
      <c r="A718" t="str">
        <f t="shared" si="33"/>
        <v>18097355000_2025</v>
      </c>
      <c r="B718">
        <v>18097355000</v>
      </c>
      <c r="C718">
        <v>2025</v>
      </c>
      <c r="D718">
        <v>-1.017225446235297</v>
      </c>
      <c r="E718">
        <v>0.5544586116230702</v>
      </c>
      <c r="F718">
        <v>-1.004198198429644</v>
      </c>
      <c r="G718">
        <v>2.966785009331891</v>
      </c>
      <c r="H718">
        <v>-0.15764485223118141</v>
      </c>
      <c r="I718">
        <v>-0.53378352856551059</v>
      </c>
      <c r="J718">
        <v>0.47023671160462382</v>
      </c>
      <c r="K718">
        <v>0.1153575334483101</v>
      </c>
      <c r="M718">
        <f t="shared" si="34"/>
        <v>1.3939858405462622</v>
      </c>
      <c r="N718">
        <f t="shared" si="35"/>
        <v>8</v>
      </c>
    </row>
    <row r="719" spans="1:14" x14ac:dyDescent="0.35">
      <c r="A719" t="str">
        <f t="shared" si="33"/>
        <v>18097355000_2026</v>
      </c>
      <c r="B719">
        <v>18097355000</v>
      </c>
      <c r="C719">
        <v>2026</v>
      </c>
      <c r="D719">
        <v>-0.1516143721812265</v>
      </c>
      <c r="E719">
        <v>0.64554646699681195</v>
      </c>
      <c r="F719">
        <v>-1.043418393955184</v>
      </c>
      <c r="G719">
        <v>-0.81686432041964752</v>
      </c>
      <c r="H719">
        <v>-0.14436116039102609</v>
      </c>
      <c r="I719">
        <v>0.67522094331771132</v>
      </c>
      <c r="J719">
        <v>0.96025619156052422</v>
      </c>
      <c r="K719">
        <v>-4.9531851549655538E-2</v>
      </c>
      <c r="M719">
        <f t="shared" si="34"/>
        <v>7.5233503378307948E-2</v>
      </c>
      <c r="N719">
        <f t="shared" si="35"/>
        <v>8</v>
      </c>
    </row>
    <row r="720" spans="1:14" x14ac:dyDescent="0.35">
      <c r="A720" t="str">
        <f t="shared" si="33"/>
        <v>18097355000_2027</v>
      </c>
      <c r="B720">
        <v>18097355000</v>
      </c>
      <c r="C720">
        <v>2027</v>
      </c>
      <c r="D720">
        <v>-1.1818286573042041</v>
      </c>
      <c r="E720">
        <v>0.6149486185608114</v>
      </c>
      <c r="F720">
        <v>-1.191444792678712</v>
      </c>
      <c r="G720">
        <v>2.3957921905265649</v>
      </c>
      <c r="H720">
        <v>-0.27755782818593999</v>
      </c>
      <c r="I720">
        <v>-4.2709040103561878E-2</v>
      </c>
      <c r="J720">
        <v>1.201387001407157</v>
      </c>
      <c r="K720">
        <v>-6.0474271710634089E-2</v>
      </c>
      <c r="M720">
        <f t="shared" si="34"/>
        <v>1.4581132205114815</v>
      </c>
      <c r="N720">
        <f t="shared" si="35"/>
        <v>8</v>
      </c>
    </row>
    <row r="721" spans="1:14" x14ac:dyDescent="0.35">
      <c r="A721" t="str">
        <f t="shared" si="33"/>
        <v>18097355000_2028</v>
      </c>
      <c r="B721">
        <v>18097355000</v>
      </c>
      <c r="C721">
        <v>2028</v>
      </c>
      <c r="D721">
        <v>-0.4011860617672055</v>
      </c>
      <c r="E721">
        <v>0.61595383016164684</v>
      </c>
      <c r="F721">
        <v>-1.252266329456351</v>
      </c>
      <c r="G721">
        <v>-0.26663792877492831</v>
      </c>
      <c r="H721">
        <v>-0.32540702392415238</v>
      </c>
      <c r="I721">
        <v>0.38197785002356521</v>
      </c>
      <c r="J721">
        <v>1.3165939809916609</v>
      </c>
      <c r="K721">
        <v>-9.4570731701321159E-2</v>
      </c>
      <c r="M721">
        <f t="shared" si="34"/>
        <v>-2.5542414447085521E-2</v>
      </c>
      <c r="N721">
        <f t="shared" si="35"/>
        <v>8</v>
      </c>
    </row>
    <row r="722" spans="1:14" x14ac:dyDescent="0.35">
      <c r="A722" t="str">
        <f t="shared" si="33"/>
        <v>18097355100_2024</v>
      </c>
      <c r="B722">
        <v>18097355100</v>
      </c>
      <c r="C722">
        <v>2024</v>
      </c>
      <c r="D722">
        <v>-0.37884543037113888</v>
      </c>
      <c r="E722">
        <v>-3.2320822981722328</v>
      </c>
      <c r="F722">
        <v>1.2679414982200301</v>
      </c>
      <c r="G722">
        <v>3.5438642937714109</v>
      </c>
      <c r="H722">
        <v>0.19080499537817991</v>
      </c>
      <c r="I722">
        <v>0.65092729101550484</v>
      </c>
      <c r="J722">
        <v>-0.38314076182732287</v>
      </c>
      <c r="K722">
        <v>0.18895768923890929</v>
      </c>
      <c r="M722">
        <f t="shared" si="34"/>
        <v>1.8484272772533406</v>
      </c>
      <c r="N722">
        <f t="shared" si="35"/>
        <v>8</v>
      </c>
    </row>
    <row r="723" spans="1:14" x14ac:dyDescent="0.35">
      <c r="A723" t="str">
        <f t="shared" si="33"/>
        <v>18097355100_2025</v>
      </c>
      <c r="B723">
        <v>18097355100</v>
      </c>
      <c r="C723">
        <v>2025</v>
      </c>
      <c r="D723">
        <v>-1.017226622113095</v>
      </c>
      <c r="E723">
        <v>0.3406388079845723</v>
      </c>
      <c r="F723">
        <v>0.33289520891405511</v>
      </c>
      <c r="G723">
        <v>-0.48420149553265301</v>
      </c>
      <c r="H723">
        <v>0.38120191453436258</v>
      </c>
      <c r="I723">
        <v>0.52040979598557546</v>
      </c>
      <c r="J723">
        <v>0.47023671160462382</v>
      </c>
      <c r="K723">
        <v>0.1153575329933528</v>
      </c>
      <c r="M723">
        <f t="shared" si="34"/>
        <v>0.6593118543707942</v>
      </c>
      <c r="N723">
        <f t="shared" si="35"/>
        <v>8</v>
      </c>
    </row>
    <row r="724" spans="1:14" x14ac:dyDescent="0.35">
      <c r="A724" t="str">
        <f t="shared" si="33"/>
        <v>18097355100_2026</v>
      </c>
      <c r="B724">
        <v>18097355100</v>
      </c>
      <c r="C724">
        <v>2026</v>
      </c>
      <c r="D724">
        <v>-0.1516130397234666</v>
      </c>
      <c r="E724">
        <v>0.45868668422034797</v>
      </c>
      <c r="F724">
        <v>0.42799199936991689</v>
      </c>
      <c r="G724">
        <v>-0.51210399749262003</v>
      </c>
      <c r="H724">
        <v>0.41197852847836353</v>
      </c>
      <c r="I724">
        <v>0.35289292197332589</v>
      </c>
      <c r="J724">
        <v>0.96025619156052422</v>
      </c>
      <c r="K724">
        <v>-4.9531852034213862E-2</v>
      </c>
      <c r="M724">
        <f t="shared" si="34"/>
        <v>1.8985574363521778</v>
      </c>
      <c r="N724">
        <f t="shared" si="35"/>
        <v>8</v>
      </c>
    </row>
    <row r="725" spans="1:14" x14ac:dyDescent="0.35">
      <c r="A725" t="str">
        <f t="shared" si="33"/>
        <v>18097355100_2027</v>
      </c>
      <c r="B725">
        <v>18097355100</v>
      </c>
      <c r="C725">
        <v>2027</v>
      </c>
      <c r="D725">
        <v>-1.1818302194866559</v>
      </c>
      <c r="E725">
        <v>0.45198369219808793</v>
      </c>
      <c r="F725">
        <v>0.47750996873379059</v>
      </c>
      <c r="G725">
        <v>-0.54768667612467969</v>
      </c>
      <c r="H725">
        <v>0.24983819718494299</v>
      </c>
      <c r="I725">
        <v>0.284864349839759</v>
      </c>
      <c r="J725">
        <v>1.201387001407157</v>
      </c>
      <c r="K725">
        <v>-6.0474272174996728E-2</v>
      </c>
      <c r="M725">
        <f t="shared" si="34"/>
        <v>0.87559204157740522</v>
      </c>
      <c r="N725">
        <f t="shared" si="35"/>
        <v>8</v>
      </c>
    </row>
    <row r="726" spans="1:14" x14ac:dyDescent="0.35">
      <c r="A726" t="str">
        <f t="shared" si="33"/>
        <v>18097355100_2028</v>
      </c>
      <c r="B726">
        <v>18097355100</v>
      </c>
      <c r="C726">
        <v>2028</v>
      </c>
      <c r="D726">
        <v>-0.40118478732945301</v>
      </c>
      <c r="E726">
        <v>0.48003487980740239</v>
      </c>
      <c r="F726">
        <v>0.57667209071988257</v>
      </c>
      <c r="G726">
        <v>-0.5293078029310625</v>
      </c>
      <c r="H726">
        <v>0.1133683404247148</v>
      </c>
      <c r="I726">
        <v>0.25401888519450339</v>
      </c>
      <c r="J726">
        <v>1.3165939809916609</v>
      </c>
      <c r="K726">
        <v>-9.4570732113438721E-2</v>
      </c>
      <c r="M726">
        <f t="shared" si="34"/>
        <v>1.7156248547642097</v>
      </c>
      <c r="N726">
        <f t="shared" si="35"/>
        <v>8</v>
      </c>
    </row>
    <row r="727" spans="1:14" x14ac:dyDescent="0.35">
      <c r="A727" t="str">
        <f t="shared" si="33"/>
        <v>18097355300_2024</v>
      </c>
      <c r="B727">
        <v>18097355300</v>
      </c>
      <c r="C727">
        <v>2024</v>
      </c>
      <c r="D727">
        <v>-0.35416510557196201</v>
      </c>
      <c r="E727">
        <v>0.35176366411034621</v>
      </c>
      <c r="F727">
        <v>0.15220714513503181</v>
      </c>
      <c r="G727">
        <v>-0.2158567286001368</v>
      </c>
      <c r="H727">
        <v>0.22772752962218379</v>
      </c>
      <c r="I727">
        <v>-0.18946443860857409</v>
      </c>
      <c r="J727">
        <v>-0.3752378762231669</v>
      </c>
      <c r="K727">
        <v>0.18997193500396151</v>
      </c>
      <c r="M727">
        <f t="shared" si="34"/>
        <v>-0.21305387513231652</v>
      </c>
      <c r="N727">
        <f t="shared" si="35"/>
        <v>8</v>
      </c>
    </row>
    <row r="728" spans="1:14" x14ac:dyDescent="0.35">
      <c r="A728" t="str">
        <f t="shared" si="33"/>
        <v>18097355300_2025</v>
      </c>
      <c r="B728">
        <v>18097355300</v>
      </c>
      <c r="C728">
        <v>2025</v>
      </c>
      <c r="D728">
        <v>-1.0251285160401771</v>
      </c>
      <c r="E728">
        <v>0.44687882348115998</v>
      </c>
      <c r="F728">
        <v>-0.75894869129113351</v>
      </c>
      <c r="G728">
        <v>-0.44871397378967742</v>
      </c>
      <c r="H728">
        <v>0.93791525541259779</v>
      </c>
      <c r="I728">
        <v>-7.5622045493977203E-3</v>
      </c>
      <c r="J728">
        <v>0.4557014959149765</v>
      </c>
      <c r="K728">
        <v>0.15689197277182709</v>
      </c>
      <c r="M728">
        <f t="shared" si="34"/>
        <v>-0.24296583808982447</v>
      </c>
      <c r="N728">
        <f t="shared" si="35"/>
        <v>8</v>
      </c>
    </row>
    <row r="729" spans="1:14" x14ac:dyDescent="0.35">
      <c r="A729" t="str">
        <f t="shared" si="33"/>
        <v>18097355300_2026</v>
      </c>
      <c r="B729">
        <v>18097355300</v>
      </c>
      <c r="C729">
        <v>2026</v>
      </c>
      <c r="D729">
        <v>-0.1335496738373407</v>
      </c>
      <c r="E729">
        <v>0.53341200325685068</v>
      </c>
      <c r="F729">
        <v>-0.63485287928708145</v>
      </c>
      <c r="G729">
        <v>-0.49168374399086401</v>
      </c>
      <c r="H729">
        <v>1.106553305293509</v>
      </c>
      <c r="I729">
        <v>1.339598295873729E-2</v>
      </c>
      <c r="J729">
        <v>0.92817838789731899</v>
      </c>
      <c r="K729">
        <v>2.612557437846362E-2</v>
      </c>
      <c r="M729">
        <f t="shared" si="34"/>
        <v>1.3475789566695935</v>
      </c>
      <c r="N729">
        <f t="shared" si="35"/>
        <v>8</v>
      </c>
    </row>
    <row r="730" spans="1:14" x14ac:dyDescent="0.35">
      <c r="A730" t="str">
        <f t="shared" si="33"/>
        <v>18097355300_2027</v>
      </c>
      <c r="B730">
        <v>18097355300</v>
      </c>
      <c r="C730">
        <v>2027</v>
      </c>
      <c r="D730">
        <v>-1.1769470559031141</v>
      </c>
      <c r="E730">
        <v>0.51320615589258112</v>
      </c>
      <c r="F730">
        <v>-0.60086412239335107</v>
      </c>
      <c r="G730">
        <v>-0.52777953148058943</v>
      </c>
      <c r="H730">
        <v>1.106579855429725</v>
      </c>
      <c r="I730">
        <v>8.4577510881777868E-2</v>
      </c>
      <c r="J730">
        <v>1.1581279988519551</v>
      </c>
      <c r="K730">
        <v>4.5568320768746659E-2</v>
      </c>
      <c r="M730">
        <f t="shared" si="34"/>
        <v>0.602469132047731</v>
      </c>
      <c r="N730">
        <f t="shared" si="35"/>
        <v>8</v>
      </c>
    </row>
    <row r="731" spans="1:14" x14ac:dyDescent="0.35">
      <c r="A731" t="str">
        <f t="shared" si="33"/>
        <v>18097355300_2028</v>
      </c>
      <c r="B731">
        <v>18097355300</v>
      </c>
      <c r="C731">
        <v>2028</v>
      </c>
      <c r="D731">
        <v>-0.39194731631999058</v>
      </c>
      <c r="E731">
        <v>0.53046043660354247</v>
      </c>
      <c r="F731">
        <v>-0.51868665393581703</v>
      </c>
      <c r="G731">
        <v>-0.51129837574318948</v>
      </c>
      <c r="H731">
        <v>1.1041355816083831</v>
      </c>
      <c r="I731">
        <v>0.13145218659193139</v>
      </c>
      <c r="J731">
        <v>1.2666324290334281</v>
      </c>
      <c r="K731">
        <v>3.6964096492973698E-2</v>
      </c>
      <c r="M731">
        <f t="shared" si="34"/>
        <v>1.6477123843312615</v>
      </c>
      <c r="N731">
        <f t="shared" si="35"/>
        <v>8</v>
      </c>
    </row>
    <row r="732" spans="1:14" x14ac:dyDescent="0.35">
      <c r="A732" t="str">
        <f t="shared" si="33"/>
        <v>18097355400_2024</v>
      </c>
      <c r="B732">
        <v>18097355400</v>
      </c>
      <c r="C732">
        <v>2024</v>
      </c>
      <c r="D732">
        <v>-0.36702216054399212</v>
      </c>
      <c r="E732">
        <v>0.21438731296895311</v>
      </c>
      <c r="F732">
        <v>0.25227270687747572</v>
      </c>
      <c r="G732">
        <v>6.9305907739963632E-2</v>
      </c>
      <c r="H732">
        <v>-2.277385417925815E-2</v>
      </c>
      <c r="I732">
        <v>-0.66452493702377902</v>
      </c>
      <c r="J732">
        <v>-0.37990985914405201</v>
      </c>
      <c r="K732">
        <v>0.19053315160678069</v>
      </c>
      <c r="M732">
        <f t="shared" si="34"/>
        <v>-0.70773173169790815</v>
      </c>
      <c r="N732">
        <f t="shared" si="35"/>
        <v>8</v>
      </c>
    </row>
    <row r="733" spans="1:14" x14ac:dyDescent="0.35">
      <c r="A733" t="str">
        <f t="shared" si="33"/>
        <v>18097355400_2025</v>
      </c>
      <c r="B733">
        <v>18097355400</v>
      </c>
      <c r="C733">
        <v>2025</v>
      </c>
      <c r="D733">
        <v>-1.021077953552066</v>
      </c>
      <c r="E733">
        <v>0.27791634421589628</v>
      </c>
      <c r="F733">
        <v>-0.46948128778299231</v>
      </c>
      <c r="G733">
        <v>0.28965014994619892</v>
      </c>
      <c r="H733">
        <v>-0.65153091178501488</v>
      </c>
      <c r="I733">
        <v>-0.41645435512348539</v>
      </c>
      <c r="J733">
        <v>0.46250274284544668</v>
      </c>
      <c r="K733">
        <v>0.13908995171440261</v>
      </c>
      <c r="M733">
        <f t="shared" si="34"/>
        <v>-1.3893853195216141</v>
      </c>
      <c r="N733">
        <f t="shared" si="35"/>
        <v>8</v>
      </c>
    </row>
    <row r="734" spans="1:14" x14ac:dyDescent="0.35">
      <c r="A734" t="str">
        <f t="shared" si="33"/>
        <v>18097355400_2026</v>
      </c>
      <c r="B734">
        <v>18097355400</v>
      </c>
      <c r="C734">
        <v>2026</v>
      </c>
      <c r="D734">
        <v>-0.1428726976576056</v>
      </c>
      <c r="E734">
        <v>0.34095335416613493</v>
      </c>
      <c r="F734">
        <v>-0.51286126726895842</v>
      </c>
      <c r="G734">
        <v>0.27769121543312197</v>
      </c>
      <c r="H734">
        <v>-0.51920614892055661</v>
      </c>
      <c r="I734">
        <v>-0.16927734676067421</v>
      </c>
      <c r="J734">
        <v>0.94412688402155076</v>
      </c>
      <c r="K734">
        <v>-1.030127640740419E-2</v>
      </c>
      <c r="M734">
        <f t="shared" si="34"/>
        <v>0.20825271660560873</v>
      </c>
      <c r="N734">
        <f t="shared" si="35"/>
        <v>8</v>
      </c>
    </row>
    <row r="735" spans="1:14" x14ac:dyDescent="0.35">
      <c r="A735" t="str">
        <f t="shared" si="33"/>
        <v>18097355400_2027</v>
      </c>
      <c r="B735">
        <v>18097355400</v>
      </c>
      <c r="C735">
        <v>2027</v>
      </c>
      <c r="D735">
        <v>-1.179586604594574</v>
      </c>
      <c r="E735">
        <v>0.34452507791832221</v>
      </c>
      <c r="F735">
        <v>-0.59328538718047397</v>
      </c>
      <c r="G735">
        <v>0.34526729603046041</v>
      </c>
      <c r="H735">
        <v>-0.59458315876910994</v>
      </c>
      <c r="I735">
        <v>4.2239007415700719E-2</v>
      </c>
      <c r="J735">
        <v>1.1799465541560881</v>
      </c>
      <c r="K735">
        <v>-7.5341996534829198E-3</v>
      </c>
      <c r="M735">
        <f t="shared" si="34"/>
        <v>-0.46301141467706952</v>
      </c>
      <c r="N735">
        <f t="shared" si="35"/>
        <v>8</v>
      </c>
    </row>
    <row r="736" spans="1:14" x14ac:dyDescent="0.35">
      <c r="A736" t="str">
        <f t="shared" si="33"/>
        <v>18097355400_2028</v>
      </c>
      <c r="B736">
        <v>18097355400</v>
      </c>
      <c r="C736">
        <v>2028</v>
      </c>
      <c r="D736">
        <v>-0.39667648167228747</v>
      </c>
      <c r="E736">
        <v>0.38379625901104308</v>
      </c>
      <c r="F736">
        <v>-0.60128357428409551</v>
      </c>
      <c r="G736">
        <v>0.31382440825767072</v>
      </c>
      <c r="H736">
        <v>-0.54526402501183258</v>
      </c>
      <c r="I736">
        <v>0.15135147399182469</v>
      </c>
      <c r="J736">
        <v>1.291979455935413</v>
      </c>
      <c r="K736">
        <v>-2.9991384523817239E-2</v>
      </c>
      <c r="M736">
        <f t="shared" si="34"/>
        <v>0.56773613170391857</v>
      </c>
      <c r="N736">
        <f t="shared" si="35"/>
        <v>8</v>
      </c>
    </row>
    <row r="737" spans="1:14" x14ac:dyDescent="0.35">
      <c r="A737" t="str">
        <f t="shared" si="33"/>
        <v>18097355500_2024</v>
      </c>
      <c r="B737">
        <v>18097355500</v>
      </c>
      <c r="C737">
        <v>2024</v>
      </c>
      <c r="D737">
        <v>-0.30477451244450421</v>
      </c>
      <c r="E737">
        <v>-1.849029803654717</v>
      </c>
      <c r="F737">
        <v>-0.8163679454642917</v>
      </c>
      <c r="G737">
        <v>0.87929933778734393</v>
      </c>
      <c r="H737">
        <v>-0.18995966449513449</v>
      </c>
      <c r="I737">
        <v>0.75695072594718138</v>
      </c>
      <c r="J737">
        <v>-0.1571978169659396</v>
      </c>
      <c r="K737">
        <v>0.1374479646123016</v>
      </c>
      <c r="M737">
        <f t="shared" si="34"/>
        <v>-1.5436317146777601</v>
      </c>
      <c r="N737">
        <f t="shared" si="35"/>
        <v>8</v>
      </c>
    </row>
    <row r="738" spans="1:14" x14ac:dyDescent="0.35">
      <c r="A738" t="str">
        <f t="shared" si="33"/>
        <v>18097355500_2025</v>
      </c>
      <c r="B738">
        <v>18097355500</v>
      </c>
      <c r="C738">
        <v>2025</v>
      </c>
      <c r="D738">
        <v>-1.2493505013991739</v>
      </c>
      <c r="E738">
        <v>0.91183903162939284</v>
      </c>
      <c r="F738">
        <v>-0.33417403498483489</v>
      </c>
      <c r="G738">
        <v>-1.8334594586064581</v>
      </c>
      <c r="H738">
        <v>1.312066067071586</v>
      </c>
      <c r="I738">
        <v>0.70881467083877969</v>
      </c>
      <c r="J738">
        <v>0.63858768060636717</v>
      </c>
      <c r="K738">
        <v>1.7100429297450911E-2</v>
      </c>
      <c r="M738">
        <f t="shared" si="34"/>
        <v>0.17142388445310974</v>
      </c>
      <c r="N738">
        <f t="shared" si="35"/>
        <v>8</v>
      </c>
    </row>
    <row r="739" spans="1:14" x14ac:dyDescent="0.35">
      <c r="A739" t="str">
        <f t="shared" si="33"/>
        <v>18097355500_2026</v>
      </c>
      <c r="B739">
        <v>18097355500</v>
      </c>
      <c r="C739">
        <v>2026</v>
      </c>
      <c r="D739">
        <v>-2.268682711353311E-2</v>
      </c>
      <c r="E739">
        <v>0.98710940343350961</v>
      </c>
      <c r="F739">
        <v>-0.69032830313218096</v>
      </c>
      <c r="G739">
        <v>1.6085192004163951</v>
      </c>
      <c r="H739">
        <v>-0.88936543383924294</v>
      </c>
      <c r="I739">
        <v>0.60785676265271149</v>
      </c>
      <c r="J739">
        <v>1.023690653879253</v>
      </c>
      <c r="K739">
        <v>-9.0066121400620772E-2</v>
      </c>
      <c r="M739">
        <f t="shared" si="34"/>
        <v>2.5347293348962912</v>
      </c>
      <c r="N739">
        <f t="shared" si="35"/>
        <v>8</v>
      </c>
    </row>
    <row r="740" spans="1:14" x14ac:dyDescent="0.35">
      <c r="A740" t="str">
        <f t="shared" si="33"/>
        <v>18097355500_2027</v>
      </c>
      <c r="B740">
        <v>18097355500</v>
      </c>
      <c r="C740">
        <v>2027</v>
      </c>
      <c r="D740">
        <v>-1.436834088394827</v>
      </c>
      <c r="E740">
        <v>0.91721254299350519</v>
      </c>
      <c r="F740">
        <v>-0.65908307475130568</v>
      </c>
      <c r="G740">
        <v>-1.300611072291999</v>
      </c>
      <c r="H740">
        <v>0.68663523513062463</v>
      </c>
      <c r="I740">
        <v>0.53080988513329719</v>
      </c>
      <c r="J740">
        <v>1.1851862629694081</v>
      </c>
      <c r="K740">
        <v>-5.6980821244219187E-2</v>
      </c>
      <c r="M740">
        <f t="shared" si="34"/>
        <v>-0.13366513045551595</v>
      </c>
      <c r="N740">
        <f t="shared" si="35"/>
        <v>8</v>
      </c>
    </row>
    <row r="741" spans="1:14" x14ac:dyDescent="0.35">
      <c r="A741" t="str">
        <f t="shared" si="33"/>
        <v>18097355500_2028</v>
      </c>
      <c r="B741">
        <v>18097355500</v>
      </c>
      <c r="C741">
        <v>2028</v>
      </c>
      <c r="D741">
        <v>-0.3154801614280317</v>
      </c>
      <c r="E741">
        <v>0.86446191386085425</v>
      </c>
      <c r="F741">
        <v>-0.71794591265795937</v>
      </c>
      <c r="G741">
        <v>1.0033675301555529</v>
      </c>
      <c r="H741">
        <v>-0.58924945185868216</v>
      </c>
      <c r="I741">
        <v>0.45570661019247249</v>
      </c>
      <c r="J741">
        <v>1.249856668358921</v>
      </c>
      <c r="K741">
        <v>-5.6714004712404183E-2</v>
      </c>
      <c r="M741">
        <f t="shared" si="34"/>
        <v>1.8940031919107232</v>
      </c>
      <c r="N741">
        <f t="shared" si="35"/>
        <v>8</v>
      </c>
    </row>
    <row r="742" spans="1:14" x14ac:dyDescent="0.35">
      <c r="A742" t="str">
        <f t="shared" si="33"/>
        <v>18097355600_2024</v>
      </c>
      <c r="B742">
        <v>18097355600</v>
      </c>
      <c r="C742">
        <v>2024</v>
      </c>
      <c r="D742">
        <v>-0.36229526422050817</v>
      </c>
      <c r="E742">
        <v>0.62464971365797339</v>
      </c>
      <c r="F742">
        <v>0.39818177622438</v>
      </c>
      <c r="G742">
        <v>-0.3726793260715669</v>
      </c>
      <c r="H742">
        <v>0.1061990366761776</v>
      </c>
      <c r="I742">
        <v>-0.99635276643646042</v>
      </c>
      <c r="J742">
        <v>-0.3323567838521696</v>
      </c>
      <c r="K742">
        <v>0.1674146569927904</v>
      </c>
      <c r="M742">
        <f t="shared" si="34"/>
        <v>-0.76723895702938361</v>
      </c>
      <c r="N742">
        <f t="shared" si="35"/>
        <v>8</v>
      </c>
    </row>
    <row r="743" spans="1:14" x14ac:dyDescent="0.35">
      <c r="A743" t="str">
        <f t="shared" si="33"/>
        <v>18097355600_2025</v>
      </c>
      <c r="B743">
        <v>18097355600</v>
      </c>
      <c r="C743">
        <v>2025</v>
      </c>
      <c r="D743">
        <v>-1.0867097287475791</v>
      </c>
      <c r="E743">
        <v>0.93185637195344762</v>
      </c>
      <c r="F743">
        <v>5.5090915467459929E-2</v>
      </c>
      <c r="G743">
        <v>0.3439454191561806</v>
      </c>
      <c r="H743">
        <v>0.38678021464556539</v>
      </c>
      <c r="I743">
        <v>-0.28077850643495111</v>
      </c>
      <c r="J743">
        <v>0.50951251091305472</v>
      </c>
      <c r="K743">
        <v>5.1398190653924258E-2</v>
      </c>
      <c r="M743">
        <f t="shared" si="34"/>
        <v>0.9110953876071024</v>
      </c>
      <c r="N743">
        <f t="shared" si="35"/>
        <v>8</v>
      </c>
    </row>
    <row r="744" spans="1:14" x14ac:dyDescent="0.35">
      <c r="A744" t="str">
        <f t="shared" si="33"/>
        <v>18097355600_2026</v>
      </c>
      <c r="B744">
        <v>18097355600</v>
      </c>
      <c r="C744">
        <v>2026</v>
      </c>
      <c r="D744">
        <v>-0.115491425000666</v>
      </c>
      <c r="E744">
        <v>1.0182862649790829</v>
      </c>
      <c r="F744">
        <v>2.5306479502088031E-2</v>
      </c>
      <c r="G744">
        <v>-0.2323607313911964</v>
      </c>
      <c r="H744">
        <v>0.62264448605422462</v>
      </c>
      <c r="I744">
        <v>-0.82160120772658929</v>
      </c>
      <c r="J744">
        <v>0.97667787893378599</v>
      </c>
      <c r="K744">
        <v>-0.1044588375915117</v>
      </c>
      <c r="M744">
        <f t="shared" si="34"/>
        <v>1.3690029077592183</v>
      </c>
      <c r="N744">
        <f t="shared" si="35"/>
        <v>8</v>
      </c>
    </row>
    <row r="745" spans="1:14" x14ac:dyDescent="0.35">
      <c r="A745" t="str">
        <f t="shared" si="33"/>
        <v>18097355600_2027</v>
      </c>
      <c r="B745">
        <v>18097355600</v>
      </c>
      <c r="C745">
        <v>2027</v>
      </c>
      <c r="D745">
        <v>-1.261392792217461</v>
      </c>
      <c r="E745">
        <v>0.95239541388222559</v>
      </c>
      <c r="F745">
        <v>4.2671121105267218E-2</v>
      </c>
      <c r="G745">
        <v>6.1344466547141492E-2</v>
      </c>
      <c r="H745">
        <v>0.57355364389605501</v>
      </c>
      <c r="I745">
        <v>-0.33393102920806927</v>
      </c>
      <c r="J745">
        <v>1.199589924499443</v>
      </c>
      <c r="K745">
        <v>-0.1074690684779409</v>
      </c>
      <c r="M745">
        <f t="shared" si="34"/>
        <v>1.1267616800266611</v>
      </c>
      <c r="N745">
        <f t="shared" si="35"/>
        <v>8</v>
      </c>
    </row>
    <row r="746" spans="1:14" x14ac:dyDescent="0.35">
      <c r="A746" t="str">
        <f t="shared" si="33"/>
        <v>18097355600_2028</v>
      </c>
      <c r="B746">
        <v>18097355600</v>
      </c>
      <c r="C746">
        <v>2028</v>
      </c>
      <c r="D746">
        <v>-0.3765665653237189</v>
      </c>
      <c r="E746">
        <v>0.89720567112757743</v>
      </c>
      <c r="F746">
        <v>9.4400894172218336E-2</v>
      </c>
      <c r="G746">
        <v>-8.8119158937230865E-2</v>
      </c>
      <c r="H746">
        <v>0.47425644728418492</v>
      </c>
      <c r="I746">
        <v>-0.35554254873582269</v>
      </c>
      <c r="J746">
        <v>1.3026840049619191</v>
      </c>
      <c r="K746">
        <v>-0.13407532586642959</v>
      </c>
      <c r="M746">
        <f t="shared" si="34"/>
        <v>1.8142434186826977</v>
      </c>
      <c r="N746">
        <f t="shared" si="35"/>
        <v>8</v>
      </c>
    </row>
    <row r="747" spans="1:14" x14ac:dyDescent="0.35">
      <c r="A747" t="str">
        <f t="shared" si="33"/>
        <v>18097355700_2024</v>
      </c>
      <c r="B747">
        <v>18097355700</v>
      </c>
      <c r="C747">
        <v>2024</v>
      </c>
      <c r="D747">
        <v>-0.3330312647024693</v>
      </c>
      <c r="E747">
        <v>-4.1073452551456837</v>
      </c>
      <c r="F747">
        <v>-0.19812394364631719</v>
      </c>
      <c r="G747">
        <v>-0.1585521019631064</v>
      </c>
      <c r="H747">
        <v>0.1217468519564123</v>
      </c>
      <c r="I747">
        <v>0.3083186338179511</v>
      </c>
      <c r="J747">
        <v>0.1177566844275446</v>
      </c>
      <c r="K747">
        <v>0.45925250545316232</v>
      </c>
      <c r="M747">
        <f t="shared" si="34"/>
        <v>-3.7899778898025067</v>
      </c>
      <c r="N747">
        <f t="shared" si="35"/>
        <v>8</v>
      </c>
    </row>
    <row r="748" spans="1:14" x14ac:dyDescent="0.35">
      <c r="A748" t="str">
        <f t="shared" si="33"/>
        <v>18097355700_2025</v>
      </c>
      <c r="B748">
        <v>18097355700</v>
      </c>
      <c r="C748">
        <v>2025</v>
      </c>
      <c r="D748">
        <v>-0.98797546747376075</v>
      </c>
      <c r="E748">
        <v>-0.67866290728906953</v>
      </c>
      <c r="F748">
        <v>-0.22712143947833771</v>
      </c>
      <c r="G748">
        <v>-0.24908065622554901</v>
      </c>
      <c r="H748">
        <v>-8.4226834243345705E-2</v>
      </c>
      <c r="I748">
        <v>0.53066803412535823</v>
      </c>
      <c r="J748">
        <v>0.71408456386824426</v>
      </c>
      <c r="K748">
        <v>0.7236532075521438</v>
      </c>
      <c r="M748">
        <f t="shared" si="34"/>
        <v>-0.25866149916431658</v>
      </c>
      <c r="N748">
        <f t="shared" si="35"/>
        <v>8</v>
      </c>
    </row>
    <row r="749" spans="1:14" x14ac:dyDescent="0.35">
      <c r="A749" t="str">
        <f t="shared" si="33"/>
        <v>18097355700_2026</v>
      </c>
      <c r="B749">
        <v>18097355700</v>
      </c>
      <c r="C749">
        <v>2026</v>
      </c>
      <c r="D749">
        <v>-0.1290999907615816</v>
      </c>
      <c r="E749">
        <v>-0.15585924361455269</v>
      </c>
      <c r="F749">
        <v>-0.22958642449407271</v>
      </c>
      <c r="G749">
        <v>-0.28799318750763653</v>
      </c>
      <c r="H749">
        <v>-2.6173703615652341E-2</v>
      </c>
      <c r="I749">
        <v>0.50308213179692485</v>
      </c>
      <c r="J749">
        <v>0.83334291900438195</v>
      </c>
      <c r="K749">
        <v>0.7012191798798334</v>
      </c>
      <c r="M749">
        <f t="shared" si="34"/>
        <v>1.2089316806876442</v>
      </c>
      <c r="N749">
        <f t="shared" si="35"/>
        <v>8</v>
      </c>
    </row>
    <row r="750" spans="1:14" x14ac:dyDescent="0.35">
      <c r="A750" t="str">
        <f t="shared" si="33"/>
        <v>18097355700_2027</v>
      </c>
      <c r="B750">
        <v>18097355700</v>
      </c>
      <c r="C750">
        <v>2027</v>
      </c>
      <c r="D750">
        <v>-1.1187867892103101</v>
      </c>
      <c r="E750">
        <v>-0.39981292228285892</v>
      </c>
      <c r="F750">
        <v>-0.26032640541834079</v>
      </c>
      <c r="G750">
        <v>-0.28743224832838321</v>
      </c>
      <c r="H750">
        <v>-0.18011620638480369</v>
      </c>
      <c r="I750">
        <v>0.47804253507617139</v>
      </c>
      <c r="J750">
        <v>0.84143960340483714</v>
      </c>
      <c r="K750">
        <v>0.69186149490939541</v>
      </c>
      <c r="M750">
        <f t="shared" si="34"/>
        <v>-0.23513093823429254</v>
      </c>
      <c r="N750">
        <f t="shared" si="35"/>
        <v>8</v>
      </c>
    </row>
    <row r="751" spans="1:14" x14ac:dyDescent="0.35">
      <c r="A751" t="str">
        <f t="shared" si="33"/>
        <v>18097355700_2028</v>
      </c>
      <c r="B751">
        <v>18097355700</v>
      </c>
      <c r="C751">
        <v>2028</v>
      </c>
      <c r="D751">
        <v>-0.38890132934065019</v>
      </c>
      <c r="E751">
        <v>-0.15981914746287901</v>
      </c>
      <c r="F751">
        <v>-0.23464131498936541</v>
      </c>
      <c r="G751">
        <v>-0.2874501784323395</v>
      </c>
      <c r="H751">
        <v>-0.25043340504287798</v>
      </c>
      <c r="I751">
        <v>0.42125788182585677</v>
      </c>
      <c r="J751">
        <v>0.83165086147379508</v>
      </c>
      <c r="K751">
        <v>0.69443239349831876</v>
      </c>
      <c r="M751">
        <f t="shared" si="34"/>
        <v>0.62609576152985846</v>
      </c>
      <c r="N751">
        <f t="shared" si="35"/>
        <v>8</v>
      </c>
    </row>
    <row r="752" spans="1:14" x14ac:dyDescent="0.35">
      <c r="A752" t="str">
        <f t="shared" si="33"/>
        <v>18097355900_2024</v>
      </c>
      <c r="B752">
        <v>18097355900</v>
      </c>
      <c r="C752">
        <v>2024</v>
      </c>
      <c r="D752">
        <v>-0.26227718219653468</v>
      </c>
      <c r="E752">
        <v>0.39447212916596958</v>
      </c>
      <c r="F752">
        <v>-0.27267224802591777</v>
      </c>
      <c r="G752">
        <v>1.271854740054672</v>
      </c>
      <c r="H752">
        <v>0.3743568127956507</v>
      </c>
      <c r="I752">
        <v>0.91122724415136425</v>
      </c>
      <c r="J752">
        <v>0.1624064624177444</v>
      </c>
      <c r="K752">
        <v>9.7860952126230999E-2</v>
      </c>
      <c r="M752">
        <f t="shared" si="34"/>
        <v>2.6772289104891795</v>
      </c>
      <c r="N752">
        <f t="shared" si="35"/>
        <v>8</v>
      </c>
    </row>
    <row r="753" spans="1:14" x14ac:dyDescent="0.35">
      <c r="A753" t="str">
        <f t="shared" si="33"/>
        <v>18097355900_2025</v>
      </c>
      <c r="B753">
        <v>18097355900</v>
      </c>
      <c r="C753">
        <v>2025</v>
      </c>
      <c r="D753">
        <v>-1.5155252557224039</v>
      </c>
      <c r="E753">
        <v>0.60603386692440431</v>
      </c>
      <c r="F753">
        <v>-0.25076748221729472</v>
      </c>
      <c r="G753">
        <v>2.193956022165044</v>
      </c>
      <c r="H753">
        <v>1.216421797175963</v>
      </c>
      <c r="I753">
        <v>-5.0908504693195189E-2</v>
      </c>
      <c r="J753">
        <v>0.83714975037780603</v>
      </c>
      <c r="K753">
        <v>-7.7731410330872469E-2</v>
      </c>
      <c r="M753">
        <f t="shared" si="34"/>
        <v>2.9586287836794511</v>
      </c>
      <c r="N753">
        <f t="shared" si="35"/>
        <v>8</v>
      </c>
    </row>
    <row r="754" spans="1:14" x14ac:dyDescent="0.35">
      <c r="A754" t="str">
        <f t="shared" si="33"/>
        <v>18097355900_2026</v>
      </c>
      <c r="B754">
        <v>18097355900</v>
      </c>
      <c r="C754">
        <v>2026</v>
      </c>
      <c r="D754">
        <v>5.4767868722250902E-2</v>
      </c>
      <c r="E754">
        <v>0.69463074644849609</v>
      </c>
      <c r="F754">
        <v>-0.25506251605202368</v>
      </c>
      <c r="G754">
        <v>2.771817716421161</v>
      </c>
      <c r="H754">
        <v>1.1667597874602511</v>
      </c>
      <c r="I754">
        <v>0.74834305078323349</v>
      </c>
      <c r="J754">
        <v>1.0604226719297589</v>
      </c>
      <c r="K754">
        <v>-0.16917681417573049</v>
      </c>
      <c r="M754">
        <f t="shared" si="34"/>
        <v>6.0725025115373983</v>
      </c>
      <c r="N754">
        <f t="shared" si="35"/>
        <v>8</v>
      </c>
    </row>
    <row r="755" spans="1:14" x14ac:dyDescent="0.35">
      <c r="A755" t="str">
        <f t="shared" si="33"/>
        <v>18097355900_2027</v>
      </c>
      <c r="B755">
        <v>18097355900</v>
      </c>
      <c r="C755">
        <v>2027</v>
      </c>
      <c r="D755">
        <v>-1.743552315215315</v>
      </c>
      <c r="E755">
        <v>0.65883951795878204</v>
      </c>
      <c r="F755">
        <v>-0.28955470513230069</v>
      </c>
      <c r="G755">
        <v>2.816325347033704</v>
      </c>
      <c r="H755">
        <v>1.042935391095013</v>
      </c>
      <c r="I755">
        <v>0.25748550961292171</v>
      </c>
      <c r="J755">
        <v>1.120466949983248</v>
      </c>
      <c r="K755">
        <v>-0.12906201921531471</v>
      </c>
      <c r="M755">
        <f t="shared" si="34"/>
        <v>3.7338836761207381</v>
      </c>
      <c r="N755">
        <f t="shared" si="35"/>
        <v>8</v>
      </c>
    </row>
    <row r="756" spans="1:14" x14ac:dyDescent="0.35">
      <c r="A756" t="str">
        <f t="shared" si="33"/>
        <v>18097355900_2028</v>
      </c>
      <c r="B756">
        <v>18097355900</v>
      </c>
      <c r="C756">
        <v>2028</v>
      </c>
      <c r="D756">
        <v>-0.27757395866778078</v>
      </c>
      <c r="E756">
        <v>0.65251190710624607</v>
      </c>
      <c r="F756">
        <v>-0.26659462249962301</v>
      </c>
      <c r="G756">
        <v>2.8359583254648211</v>
      </c>
      <c r="H756">
        <v>0.94548816159873239</v>
      </c>
      <c r="I756">
        <v>0.46297705282101859</v>
      </c>
      <c r="J756">
        <v>1.1314508205915521</v>
      </c>
      <c r="K756">
        <v>-0.1248923207198154</v>
      </c>
      <c r="M756">
        <f t="shared" si="34"/>
        <v>5.3593253656951507</v>
      </c>
      <c r="N756">
        <f t="shared" si="35"/>
        <v>8</v>
      </c>
    </row>
    <row r="757" spans="1:14" x14ac:dyDescent="0.35">
      <c r="A757" t="str">
        <f t="shared" si="33"/>
        <v>18097356200_2024</v>
      </c>
      <c r="B757">
        <v>18097356200</v>
      </c>
      <c r="C757">
        <v>2024</v>
      </c>
      <c r="D757">
        <v>-0.69429824659345829</v>
      </c>
      <c r="E757">
        <v>0.2180594646223645</v>
      </c>
      <c r="F757">
        <v>0.92859790697179756</v>
      </c>
      <c r="G757">
        <v>-4.1333048742811233E-2</v>
      </c>
      <c r="H757">
        <v>7.3904892870959291E-2</v>
      </c>
      <c r="I757">
        <v>0.29017335972013503</v>
      </c>
      <c r="J757">
        <v>-2.3972349870338978</v>
      </c>
      <c r="K757">
        <v>2.465518754639739</v>
      </c>
      <c r="M757">
        <f t="shared" si="34"/>
        <v>0.84338809645482815</v>
      </c>
      <c r="N757">
        <f t="shared" si="35"/>
        <v>8</v>
      </c>
    </row>
    <row r="758" spans="1:14" x14ac:dyDescent="0.35">
      <c r="A758" t="str">
        <f t="shared" si="33"/>
        <v>18097356200_2025</v>
      </c>
      <c r="B758">
        <v>18097356200</v>
      </c>
      <c r="C758">
        <v>2025</v>
      </c>
      <c r="D758">
        <v>0.69649066982847285</v>
      </c>
      <c r="E758">
        <v>-0.1758873044557763</v>
      </c>
      <c r="F758">
        <v>-0.27667054875404201</v>
      </c>
      <c r="G758">
        <v>2.6631772640906329E-5</v>
      </c>
      <c r="H758">
        <v>-0.7220297738842032</v>
      </c>
      <c r="I758">
        <v>0.197020442777807</v>
      </c>
      <c r="J758">
        <v>-2.1179501216648871</v>
      </c>
      <c r="K758">
        <v>5.0276129086301076</v>
      </c>
      <c r="M758">
        <f t="shared" si="34"/>
        <v>2.6286129042501196</v>
      </c>
      <c r="N758">
        <f t="shared" si="35"/>
        <v>8</v>
      </c>
    </row>
    <row r="759" spans="1:14" x14ac:dyDescent="0.35">
      <c r="A759" t="str">
        <f t="shared" si="33"/>
        <v>18097356200_2026</v>
      </c>
      <c r="B759">
        <v>18097356200</v>
      </c>
      <c r="C759">
        <v>2026</v>
      </c>
      <c r="D759">
        <v>-0.31487795752246178</v>
      </c>
      <c r="E759">
        <v>1.6168475502228712E-2</v>
      </c>
      <c r="F759">
        <v>-0.37115898248616869</v>
      </c>
      <c r="G759">
        <v>-1.408225826340119E-2</v>
      </c>
      <c r="H759">
        <v>-0.39957452865481041</v>
      </c>
      <c r="I759">
        <v>0.31302842093269068</v>
      </c>
      <c r="J759">
        <v>-1.8790740271226141</v>
      </c>
      <c r="K759">
        <v>5.3105206276699306</v>
      </c>
      <c r="M759">
        <f t="shared" si="34"/>
        <v>2.6609497700553941</v>
      </c>
      <c r="N759">
        <f t="shared" si="35"/>
        <v>8</v>
      </c>
    </row>
    <row r="760" spans="1:14" x14ac:dyDescent="0.35">
      <c r="A760" t="str">
        <f t="shared" si="33"/>
        <v>18097356200_2027</v>
      </c>
      <c r="B760">
        <v>18097356200</v>
      </c>
      <c r="C760">
        <v>2027</v>
      </c>
      <c r="D760">
        <v>0.43254934396484079</v>
      </c>
      <c r="E760">
        <v>-6.7386352672876796E-3</v>
      </c>
      <c r="F760">
        <v>-0.39429569592174563</v>
      </c>
      <c r="G760">
        <v>1.8975107048152279E-2</v>
      </c>
      <c r="H760">
        <v>-0.56226461615210932</v>
      </c>
      <c r="I760">
        <v>0.29356238808823498</v>
      </c>
      <c r="J760">
        <v>-1.7642375064893649</v>
      </c>
      <c r="K760">
        <v>5.0961111555898357</v>
      </c>
      <c r="M760">
        <f t="shared" si="34"/>
        <v>3.1136615408605564</v>
      </c>
      <c r="N760">
        <f t="shared" si="35"/>
        <v>8</v>
      </c>
    </row>
    <row r="761" spans="1:14" x14ac:dyDescent="0.35">
      <c r="A761" t="str">
        <f t="shared" si="33"/>
        <v>18097356200_2028</v>
      </c>
      <c r="B761">
        <v>18097356200</v>
      </c>
      <c r="C761">
        <v>2028</v>
      </c>
      <c r="D761">
        <v>-3.3744648044912548E-2</v>
      </c>
      <c r="E761">
        <v>8.6430570412709296E-2</v>
      </c>
      <c r="F761">
        <v>-0.38987920819503591</v>
      </c>
      <c r="G761">
        <v>1.8796232185670199E-3</v>
      </c>
      <c r="H761">
        <v>-0.50560111739819735</v>
      </c>
      <c r="I761">
        <v>0.29828859979433398</v>
      </c>
      <c r="J761">
        <v>-1.7139945622265169</v>
      </c>
      <c r="K761">
        <v>5.0625767226094727</v>
      </c>
      <c r="M761">
        <f t="shared" si="34"/>
        <v>2.8059559801704204</v>
      </c>
      <c r="N761">
        <f t="shared" si="35"/>
        <v>8</v>
      </c>
    </row>
    <row r="762" spans="1:14" x14ac:dyDescent="0.35">
      <c r="A762" t="str">
        <f t="shared" si="33"/>
        <v>18097356400_2024</v>
      </c>
      <c r="B762">
        <v>18097356400</v>
      </c>
      <c r="C762">
        <v>2024</v>
      </c>
      <c r="D762">
        <v>-0.64532568969744919</v>
      </c>
      <c r="E762">
        <v>0.88881917816784406</v>
      </c>
      <c r="F762">
        <v>1.061254184928782</v>
      </c>
      <c r="G762">
        <v>-0.73547328628136688</v>
      </c>
      <c r="H762">
        <v>0.13753748095726689</v>
      </c>
      <c r="I762">
        <v>-0.80016070407611872</v>
      </c>
      <c r="J762">
        <v>0.9948517024387652</v>
      </c>
      <c r="K762">
        <v>0.35319339527166582</v>
      </c>
      <c r="M762">
        <f t="shared" si="34"/>
        <v>1.2546962617093891</v>
      </c>
      <c r="N762">
        <f t="shared" si="35"/>
        <v>8</v>
      </c>
    </row>
    <row r="763" spans="1:14" x14ac:dyDescent="0.35">
      <c r="A763" t="str">
        <f t="shared" si="33"/>
        <v>18097356400_2025</v>
      </c>
      <c r="B763">
        <v>18097356400</v>
      </c>
      <c r="C763">
        <v>2025</v>
      </c>
      <c r="D763">
        <v>-0.34168315142403127</v>
      </c>
      <c r="E763">
        <v>1.016656811122064</v>
      </c>
      <c r="F763">
        <v>0.16626619005622961</v>
      </c>
      <c r="G763">
        <v>1.4520666424624431</v>
      </c>
      <c r="H763">
        <v>0.15553470528342231</v>
      </c>
      <c r="I763">
        <v>-0.77197695387075504</v>
      </c>
      <c r="J763">
        <v>1.1048045022647179</v>
      </c>
      <c r="K763">
        <v>1.322934823989133</v>
      </c>
      <c r="M763">
        <f t="shared" si="34"/>
        <v>4.1046035698832233</v>
      </c>
      <c r="N763">
        <f t="shared" si="35"/>
        <v>8</v>
      </c>
    </row>
    <row r="764" spans="1:14" x14ac:dyDescent="0.35">
      <c r="A764" t="str">
        <f t="shared" si="33"/>
        <v>18097356400_2026</v>
      </c>
      <c r="B764">
        <v>18097356400</v>
      </c>
      <c r="C764">
        <v>2026</v>
      </c>
      <c r="D764">
        <v>-0.86910451896112417</v>
      </c>
      <c r="E764">
        <v>0.96717928313902479</v>
      </c>
      <c r="F764">
        <v>0.18985976089276749</v>
      </c>
      <c r="G764">
        <v>-0.55887795796699247</v>
      </c>
      <c r="H764">
        <v>0.1982619811758681</v>
      </c>
      <c r="I764">
        <v>-0.72465525954224119</v>
      </c>
      <c r="J764">
        <v>1.0317421228937109</v>
      </c>
      <c r="K764">
        <v>1.5215611596309839</v>
      </c>
      <c r="M764">
        <f t="shared" si="34"/>
        <v>1.7559665712619974</v>
      </c>
      <c r="N764">
        <f t="shared" si="35"/>
        <v>8</v>
      </c>
    </row>
    <row r="765" spans="1:14" x14ac:dyDescent="0.35">
      <c r="A765" t="str">
        <f t="shared" si="33"/>
        <v>18097356400_2027</v>
      </c>
      <c r="B765">
        <v>18097356400</v>
      </c>
      <c r="C765">
        <v>2027</v>
      </c>
      <c r="D765">
        <v>-0.48994978775655013</v>
      </c>
      <c r="E765">
        <v>0.85896681736338321</v>
      </c>
      <c r="F765">
        <v>0.22299251662972511</v>
      </c>
      <c r="G765">
        <v>0.72034660452496069</v>
      </c>
      <c r="H765">
        <v>3.4278046250150747E-2</v>
      </c>
      <c r="I765">
        <v>-0.55000636033446582</v>
      </c>
      <c r="J765">
        <v>0.9857930627958218</v>
      </c>
      <c r="K765">
        <v>1.7386192265368079</v>
      </c>
      <c r="M765">
        <f t="shared" si="34"/>
        <v>3.5210401260098338</v>
      </c>
      <c r="N765">
        <f t="shared" si="35"/>
        <v>8</v>
      </c>
    </row>
    <row r="766" spans="1:14" x14ac:dyDescent="0.35">
      <c r="A766" t="str">
        <f t="shared" si="33"/>
        <v>18097356400_2028</v>
      </c>
      <c r="B766">
        <v>18097356400</v>
      </c>
      <c r="C766">
        <v>2028</v>
      </c>
      <c r="D766">
        <v>-0.89962041742121956</v>
      </c>
      <c r="E766">
        <v>0.80386983827519642</v>
      </c>
      <c r="F766">
        <v>0.29244788368739422</v>
      </c>
      <c r="G766">
        <v>-0.1038314284874443</v>
      </c>
      <c r="H766">
        <v>-7.7160429258135044E-2</v>
      </c>
      <c r="I766">
        <v>-0.3854629723533603</v>
      </c>
      <c r="J766">
        <v>0.96147912096433363</v>
      </c>
      <c r="K766">
        <v>1.8395429619004871</v>
      </c>
      <c r="M766">
        <f t="shared" si="34"/>
        <v>2.431264557307252</v>
      </c>
      <c r="N766">
        <f t="shared" si="35"/>
        <v>8</v>
      </c>
    </row>
    <row r="767" spans="1:14" x14ac:dyDescent="0.35">
      <c r="A767" t="str">
        <f t="shared" si="33"/>
        <v>18097356900_2024</v>
      </c>
      <c r="B767">
        <v>18097356900</v>
      </c>
      <c r="C767">
        <v>2024</v>
      </c>
      <c r="D767">
        <v>8.7800954600385936E-2</v>
      </c>
      <c r="E767">
        <v>0.64874137965269696</v>
      </c>
      <c r="F767">
        <v>-0.91730494555612196</v>
      </c>
      <c r="G767">
        <v>9.0572164211060124E-2</v>
      </c>
      <c r="H767">
        <v>9.2717067059821981E-2</v>
      </c>
      <c r="I767">
        <v>0.20722035665695021</v>
      </c>
      <c r="J767">
        <v>-1.1480010706399231</v>
      </c>
      <c r="M767">
        <f t="shared" si="34"/>
        <v>-0.93825409401512982</v>
      </c>
      <c r="N767">
        <f t="shared" si="35"/>
        <v>7</v>
      </c>
    </row>
    <row r="768" spans="1:14" x14ac:dyDescent="0.35">
      <c r="A768" t="str">
        <f t="shared" si="33"/>
        <v>18097356900_2025</v>
      </c>
      <c r="B768">
        <v>18097356900</v>
      </c>
      <c r="C768">
        <v>2025</v>
      </c>
      <c r="D768">
        <v>-0.84055643729591223</v>
      </c>
      <c r="E768">
        <v>1.087360569084824</v>
      </c>
      <c r="F768">
        <v>-1.634014955133849</v>
      </c>
      <c r="G768">
        <v>0.22888014337072479</v>
      </c>
      <c r="H768">
        <v>-0.41187793426974079</v>
      </c>
      <c r="I768">
        <v>0.1007284496918114</v>
      </c>
      <c r="J768">
        <v>-0.50257831663724883</v>
      </c>
      <c r="M768">
        <f t="shared" si="34"/>
        <v>-1.9720584811893904</v>
      </c>
      <c r="N768">
        <f t="shared" si="35"/>
        <v>7</v>
      </c>
    </row>
    <row r="769" spans="1:14" x14ac:dyDescent="0.35">
      <c r="A769" t="str">
        <f t="shared" si="33"/>
        <v>18097356900_2026</v>
      </c>
      <c r="B769">
        <v>18097356900</v>
      </c>
      <c r="C769">
        <v>2026</v>
      </c>
      <c r="D769">
        <v>0.39238015699567419</v>
      </c>
      <c r="E769">
        <v>1.165905341928787</v>
      </c>
      <c r="F769">
        <v>-1.45306989917188</v>
      </c>
      <c r="G769">
        <v>0.20346356869529639</v>
      </c>
      <c r="H769">
        <v>-0.38269749662718189</v>
      </c>
      <c r="I769">
        <v>0.2972159817238656</v>
      </c>
      <c r="J769">
        <v>6.8485431339107464E-2</v>
      </c>
      <c r="M769">
        <f t="shared" si="34"/>
        <v>0.29168308488366873</v>
      </c>
      <c r="N769">
        <f t="shared" si="35"/>
        <v>7</v>
      </c>
    </row>
    <row r="770" spans="1:14" x14ac:dyDescent="0.35">
      <c r="A770" t="str">
        <f t="shared" si="33"/>
        <v>18097356900_2027</v>
      </c>
      <c r="B770">
        <v>18097356900</v>
      </c>
      <c r="C770">
        <v>2027</v>
      </c>
      <c r="D770">
        <v>-0.798036109416148</v>
      </c>
      <c r="E770">
        <v>1.0717120184890221</v>
      </c>
      <c r="F770">
        <v>-1.4602858086821651</v>
      </c>
      <c r="G770">
        <v>0.28119551529502929</v>
      </c>
      <c r="H770">
        <v>-0.49741323478334548</v>
      </c>
      <c r="I770">
        <v>0.21222319858646399</v>
      </c>
      <c r="J770">
        <v>0.44734848599266158</v>
      </c>
      <c r="M770">
        <f t="shared" si="34"/>
        <v>-0.74325593451848149</v>
      </c>
      <c r="N770">
        <f t="shared" si="35"/>
        <v>7</v>
      </c>
    </row>
    <row r="771" spans="1:14" x14ac:dyDescent="0.35">
      <c r="A771" t="str">
        <f t="shared" ref="A771:A834" si="36">TEXT(B771,0)&amp;"_"&amp;TEXT(C771,0)</f>
        <v>18097356900_2028</v>
      </c>
      <c r="B771">
        <v>18097356900</v>
      </c>
      <c r="C771">
        <v>2028</v>
      </c>
      <c r="D771">
        <v>9.0502162893297641E-2</v>
      </c>
      <c r="E771">
        <v>0.9880294006219148</v>
      </c>
      <c r="F771">
        <v>-1.410994584892233</v>
      </c>
      <c r="G771">
        <v>0.24147121228148849</v>
      </c>
      <c r="H771">
        <v>-0.48222534879647427</v>
      </c>
      <c r="I771">
        <v>0.2836068477327775</v>
      </c>
      <c r="J771">
        <v>0.68775248133649824</v>
      </c>
      <c r="M771">
        <f t="shared" ref="M771:M834" si="37">SUM(D771:K771)</f>
        <v>0.39814217117726941</v>
      </c>
      <c r="N771">
        <f t="shared" ref="N771:N834" si="38">IF(D771=0,0,1)+IF(E771=0,0,1)+IF(F771=0,0,1)+IF(G771=0,0,1)+IF(H771=0,0,1)+IF(I771=0,0,1)++IF(J771=0,0,1)++IF(K771=0,0,1)</f>
        <v>7</v>
      </c>
    </row>
    <row r="772" spans="1:14" x14ac:dyDescent="0.35">
      <c r="A772" t="str">
        <f t="shared" si="36"/>
        <v>18097357000_2024</v>
      </c>
      <c r="B772">
        <v>18097357000</v>
      </c>
      <c r="C772">
        <v>2024</v>
      </c>
      <c r="D772">
        <v>-0.221438663079151</v>
      </c>
      <c r="E772">
        <v>0.76246352928366978</v>
      </c>
      <c r="F772">
        <v>-0.49128204526766839</v>
      </c>
      <c r="G772">
        <v>0.4281814302514193</v>
      </c>
      <c r="I772">
        <v>0.46797376321465661</v>
      </c>
      <c r="J772">
        <v>-0.56990252249557605</v>
      </c>
      <c r="K772">
        <v>8.0582167818886039E-2</v>
      </c>
      <c r="M772">
        <f t="shared" si="37"/>
        <v>0.45657765972623632</v>
      </c>
      <c r="N772">
        <f t="shared" si="38"/>
        <v>7</v>
      </c>
    </row>
    <row r="773" spans="1:14" x14ac:dyDescent="0.35">
      <c r="A773" t="str">
        <f t="shared" si="36"/>
        <v>18097357000_2025</v>
      </c>
      <c r="B773">
        <v>18097357000</v>
      </c>
      <c r="C773">
        <v>2025</v>
      </c>
      <c r="D773">
        <v>-1.494441564863032</v>
      </c>
      <c r="E773">
        <v>1.060469740273088</v>
      </c>
      <c r="F773">
        <v>-1.2495397800965831</v>
      </c>
      <c r="G773">
        <v>2.268024072465185</v>
      </c>
      <c r="I773">
        <v>0.5367192781701875</v>
      </c>
      <c r="J773">
        <v>0.1252833016498256</v>
      </c>
      <c r="K773">
        <v>-0.1336873636226141</v>
      </c>
      <c r="M773">
        <f t="shared" si="37"/>
        <v>1.1128276839760569</v>
      </c>
      <c r="N773">
        <f t="shared" si="38"/>
        <v>7</v>
      </c>
    </row>
    <row r="774" spans="1:14" x14ac:dyDescent="0.35">
      <c r="A774" t="str">
        <f t="shared" si="36"/>
        <v>18097357000_2026</v>
      </c>
      <c r="B774">
        <v>18097357000</v>
      </c>
      <c r="C774">
        <v>2026</v>
      </c>
      <c r="D774">
        <v>0.11709945523259981</v>
      </c>
      <c r="E774">
        <v>1.11258566012325</v>
      </c>
      <c r="F774">
        <v>-0.41773051896945618</v>
      </c>
      <c r="G774">
        <v>1.9601709183441269</v>
      </c>
      <c r="I774">
        <v>0.55645724363240356</v>
      </c>
      <c r="J774">
        <v>0.56449815676161641</v>
      </c>
      <c r="K774">
        <v>-0.22109324656649759</v>
      </c>
      <c r="M774">
        <f t="shared" si="37"/>
        <v>3.6719876685580428</v>
      </c>
      <c r="N774">
        <f t="shared" si="38"/>
        <v>7</v>
      </c>
    </row>
    <row r="775" spans="1:14" x14ac:dyDescent="0.35">
      <c r="A775" t="str">
        <f t="shared" si="36"/>
        <v>18097357000_2027</v>
      </c>
      <c r="B775">
        <v>18097357000</v>
      </c>
      <c r="C775">
        <v>2027</v>
      </c>
      <c r="D775">
        <v>-1.708556596591821</v>
      </c>
      <c r="E775">
        <v>1.0225543383314759</v>
      </c>
      <c r="F775">
        <v>-1.051250440999997</v>
      </c>
      <c r="G775">
        <v>2.373076356665424</v>
      </c>
      <c r="I775">
        <v>0.5073588823786106</v>
      </c>
      <c r="J775">
        <v>0.79339720287260196</v>
      </c>
      <c r="K775">
        <v>-0.17919717046934699</v>
      </c>
      <c r="M775">
        <f t="shared" si="37"/>
        <v>1.7573825721869476</v>
      </c>
      <c r="N775">
        <f t="shared" si="38"/>
        <v>7</v>
      </c>
    </row>
    <row r="776" spans="1:14" x14ac:dyDescent="0.35">
      <c r="A776" t="str">
        <f t="shared" si="36"/>
        <v>18097357000_2028</v>
      </c>
      <c r="B776">
        <v>18097357000</v>
      </c>
      <c r="C776">
        <v>2028</v>
      </c>
      <c r="D776">
        <v>-0.21639408210767849</v>
      </c>
      <c r="E776">
        <v>0.94845146213910336</v>
      </c>
      <c r="F776">
        <v>-0.7673359322258978</v>
      </c>
      <c r="G776">
        <v>2.1770850411112379</v>
      </c>
      <c r="I776">
        <v>0.44476045674383669</v>
      </c>
      <c r="J776">
        <v>0.90834364958632396</v>
      </c>
      <c r="K776">
        <v>-0.17399326379486621</v>
      </c>
      <c r="M776">
        <f t="shared" si="37"/>
        <v>3.3209173314520593</v>
      </c>
      <c r="N776">
        <f t="shared" si="38"/>
        <v>7</v>
      </c>
    </row>
    <row r="777" spans="1:14" x14ac:dyDescent="0.35">
      <c r="A777" t="str">
        <f t="shared" si="36"/>
        <v>18097357100_2024</v>
      </c>
      <c r="B777">
        <v>18097357100</v>
      </c>
      <c r="C777">
        <v>2024</v>
      </c>
      <c r="D777">
        <v>-0.26007252030393602</v>
      </c>
      <c r="E777">
        <v>0.64413681523150623</v>
      </c>
      <c r="F777">
        <v>1.0407686466060759</v>
      </c>
      <c r="G777">
        <v>0.6706580858329394</v>
      </c>
      <c r="H777">
        <v>0.1136201547639399</v>
      </c>
      <c r="I777">
        <v>0.640009035819189</v>
      </c>
      <c r="J777">
        <v>0.17375710936423849</v>
      </c>
      <c r="K777">
        <v>8.0582228420722768E-2</v>
      </c>
      <c r="M777">
        <f t="shared" si="37"/>
        <v>3.103459555734676</v>
      </c>
      <c r="N777">
        <f t="shared" si="38"/>
        <v>8</v>
      </c>
    </row>
    <row r="778" spans="1:14" x14ac:dyDescent="0.35">
      <c r="A778" t="str">
        <f t="shared" si="36"/>
        <v>18097357100_2025</v>
      </c>
      <c r="B778">
        <v>18097357100</v>
      </c>
      <c r="C778">
        <v>2025</v>
      </c>
      <c r="D778">
        <v>-1.5343906961956379</v>
      </c>
      <c r="E778">
        <v>0.83880586538030288</v>
      </c>
      <c r="F778">
        <v>2.522471100666531</v>
      </c>
      <c r="G778">
        <v>1.8941456707435</v>
      </c>
      <c r="H778">
        <v>-0.28212000884491989</v>
      </c>
      <c r="I778">
        <v>0.44957905668295212</v>
      </c>
      <c r="J778">
        <v>0.84839850735241162</v>
      </c>
      <c r="K778">
        <v>-0.13368722421508619</v>
      </c>
      <c r="M778">
        <f t="shared" si="37"/>
        <v>4.603202271570054</v>
      </c>
      <c r="N778">
        <f t="shared" si="38"/>
        <v>8</v>
      </c>
    </row>
    <row r="779" spans="1:14" x14ac:dyDescent="0.35">
      <c r="A779" t="str">
        <f t="shared" si="36"/>
        <v>18097357100_2026</v>
      </c>
      <c r="B779">
        <v>18097357100</v>
      </c>
      <c r="C779">
        <v>2026</v>
      </c>
      <c r="D779">
        <v>5.8714630437209217E-2</v>
      </c>
      <c r="E779">
        <v>0.918133397736556</v>
      </c>
      <c r="F779">
        <v>1.8347686421871889</v>
      </c>
      <c r="G779">
        <v>1.779996370438534</v>
      </c>
      <c r="H779">
        <v>-0.32817420094880911</v>
      </c>
      <c r="I779">
        <v>0.56851629063415288</v>
      </c>
      <c r="J779">
        <v>1.07359439533558</v>
      </c>
      <c r="K779">
        <v>-0.22109316534838719</v>
      </c>
      <c r="M779">
        <f t="shared" si="37"/>
        <v>5.6844563604720246</v>
      </c>
      <c r="N779">
        <f t="shared" si="38"/>
        <v>8</v>
      </c>
    </row>
    <row r="780" spans="1:14" x14ac:dyDescent="0.35">
      <c r="A780" t="str">
        <f t="shared" si="36"/>
        <v>18097357100_2027</v>
      </c>
      <c r="B780">
        <v>18097357100</v>
      </c>
      <c r="C780">
        <v>2027</v>
      </c>
      <c r="D780">
        <v>-1.765525855033359</v>
      </c>
      <c r="E780">
        <v>0.85511524078646461</v>
      </c>
      <c r="F780">
        <v>1.4664866288340279</v>
      </c>
      <c r="G780">
        <v>2.1233850582363551</v>
      </c>
      <c r="H780">
        <v>-0.4878980042418285</v>
      </c>
      <c r="I780">
        <v>0.492350280221315</v>
      </c>
      <c r="J780">
        <v>1.13495760856878</v>
      </c>
      <c r="K780">
        <v>-0.17919711858646861</v>
      </c>
      <c r="M780">
        <f t="shared" si="37"/>
        <v>3.6396738387852863</v>
      </c>
      <c r="N780">
        <f t="shared" si="38"/>
        <v>8</v>
      </c>
    </row>
    <row r="781" spans="1:14" x14ac:dyDescent="0.35">
      <c r="A781" t="str">
        <f t="shared" si="36"/>
        <v>18097357100_2028</v>
      </c>
      <c r="B781">
        <v>18097357100</v>
      </c>
      <c r="C781">
        <v>2028</v>
      </c>
      <c r="D781">
        <v>-0.27623060766117302</v>
      </c>
      <c r="E781">
        <v>0.81377960973355457</v>
      </c>
      <c r="F781">
        <v>1.2023194850529551</v>
      </c>
      <c r="G781">
        <v>1.952170571120782</v>
      </c>
      <c r="H781">
        <v>-0.48951064519475918</v>
      </c>
      <c r="I781">
        <v>0.4399907508524144</v>
      </c>
      <c r="J781">
        <v>1.146586814712063</v>
      </c>
      <c r="K781">
        <v>-0.1739932250741997</v>
      </c>
      <c r="M781">
        <f t="shared" si="37"/>
        <v>4.615112753541637</v>
      </c>
      <c r="N781">
        <f t="shared" si="38"/>
        <v>8</v>
      </c>
    </row>
    <row r="782" spans="1:14" x14ac:dyDescent="0.35">
      <c r="A782" t="str">
        <f t="shared" si="36"/>
        <v>18097357200_2024</v>
      </c>
      <c r="B782">
        <v>18097357200</v>
      </c>
      <c r="C782">
        <v>2024</v>
      </c>
      <c r="D782">
        <v>-0.26007296665891277</v>
      </c>
      <c r="E782">
        <v>1.103393459418113</v>
      </c>
      <c r="F782">
        <v>-0.76367876126899736</v>
      </c>
      <c r="G782">
        <v>0.50929813101094845</v>
      </c>
      <c r="H782">
        <v>-6.9013771678607158E-2</v>
      </c>
      <c r="I782">
        <v>0.56368513919072782</v>
      </c>
      <c r="J782">
        <v>0.17375710936423849</v>
      </c>
      <c r="K782">
        <v>8.0582228420722768E-2</v>
      </c>
      <c r="M782">
        <f t="shared" si="37"/>
        <v>1.3379505677982331</v>
      </c>
      <c r="N782">
        <f t="shared" si="38"/>
        <v>8</v>
      </c>
    </row>
    <row r="783" spans="1:14" x14ac:dyDescent="0.35">
      <c r="A783" t="str">
        <f t="shared" si="36"/>
        <v>18097357200_2025</v>
      </c>
      <c r="B783">
        <v>18097357200</v>
      </c>
      <c r="C783">
        <v>2025</v>
      </c>
      <c r="D783">
        <v>-1.53438928806312</v>
      </c>
      <c r="E783">
        <v>1.3700985085159141</v>
      </c>
      <c r="F783">
        <v>-0.66686820490752441</v>
      </c>
      <c r="G783">
        <v>1.1566455920099581</v>
      </c>
      <c r="H783">
        <v>0.73994467987679069</v>
      </c>
      <c r="I783">
        <v>0.53230739495544177</v>
      </c>
      <c r="J783">
        <v>0.84839850735241162</v>
      </c>
      <c r="K783">
        <v>-0.13368722421508619</v>
      </c>
      <c r="M783">
        <f t="shared" si="37"/>
        <v>2.3124499655247859</v>
      </c>
      <c r="N783">
        <f t="shared" si="38"/>
        <v>8</v>
      </c>
    </row>
    <row r="784" spans="1:14" x14ac:dyDescent="0.35">
      <c r="A784" t="str">
        <f t="shared" si="36"/>
        <v>18097357200_2026</v>
      </c>
      <c r="B784">
        <v>18097357200</v>
      </c>
      <c r="C784">
        <v>2026</v>
      </c>
      <c r="D784">
        <v>5.8712693439591623E-2</v>
      </c>
      <c r="E784">
        <v>1.2542071406669271</v>
      </c>
      <c r="F784">
        <v>-1.582397512460219</v>
      </c>
      <c r="G784">
        <v>0.94364042236031442</v>
      </c>
      <c r="H784">
        <v>-1.7267898531213931E-2</v>
      </c>
      <c r="I784">
        <v>0.43964245144924757</v>
      </c>
      <c r="J784">
        <v>1.07359439533558</v>
      </c>
      <c r="K784">
        <v>-0.22109316534838719</v>
      </c>
      <c r="M784">
        <f t="shared" si="37"/>
        <v>1.9490385269118407</v>
      </c>
      <c r="N784">
        <f t="shared" si="38"/>
        <v>8</v>
      </c>
    </row>
    <row r="785" spans="1:14" x14ac:dyDescent="0.35">
      <c r="A785" t="str">
        <f t="shared" si="36"/>
        <v>18097357200_2027</v>
      </c>
      <c r="B785">
        <v>18097357200</v>
      </c>
      <c r="C785">
        <v>2027</v>
      </c>
      <c r="D785">
        <v>-1.7655237429469099</v>
      </c>
      <c r="E785">
        <v>1.066677762552094</v>
      </c>
      <c r="F785">
        <v>-1.172012248356352</v>
      </c>
      <c r="G785">
        <v>1.09643187538919</v>
      </c>
      <c r="H785">
        <v>0.20858369313666639</v>
      </c>
      <c r="I785">
        <v>0.39226684482610569</v>
      </c>
      <c r="J785">
        <v>1.13495760856878</v>
      </c>
      <c r="K785">
        <v>-0.17919711858646861</v>
      </c>
      <c r="M785">
        <f t="shared" si="37"/>
        <v>0.78218467458310548</v>
      </c>
      <c r="N785">
        <f t="shared" si="38"/>
        <v>8</v>
      </c>
    </row>
    <row r="786" spans="1:14" x14ac:dyDescent="0.35">
      <c r="A786" t="str">
        <f t="shared" si="36"/>
        <v>18097357200_2028</v>
      </c>
      <c r="B786">
        <v>18097357200</v>
      </c>
      <c r="C786">
        <v>2028</v>
      </c>
      <c r="D786">
        <v>-0.27623277485560421</v>
      </c>
      <c r="E786">
        <v>0.94539148019578922</v>
      </c>
      <c r="F786">
        <v>-1.6908305988310359</v>
      </c>
      <c r="G786">
        <v>0.98081573937933164</v>
      </c>
      <c r="H786">
        <v>-8.0636691840498848E-2</v>
      </c>
      <c r="I786">
        <v>0.35141665755105089</v>
      </c>
      <c r="J786">
        <v>1.146586814712063</v>
      </c>
      <c r="K786">
        <v>-0.1739932250741997</v>
      </c>
      <c r="M786">
        <f t="shared" si="37"/>
        <v>1.202517401236896</v>
      </c>
      <c r="N786">
        <f t="shared" si="38"/>
        <v>8</v>
      </c>
    </row>
    <row r="787" spans="1:14" x14ac:dyDescent="0.35">
      <c r="A787" t="str">
        <f t="shared" si="36"/>
        <v>18097357300_2024</v>
      </c>
      <c r="B787">
        <v>18097357300</v>
      </c>
      <c r="C787">
        <v>2024</v>
      </c>
      <c r="D787">
        <v>-0.26007277045845811</v>
      </c>
      <c r="E787">
        <v>4.9966245945880674</v>
      </c>
      <c r="F787">
        <v>0.69771338414953588</v>
      </c>
      <c r="G787">
        <v>-3.7401003242988691</v>
      </c>
      <c r="H787">
        <v>-9.4637750226692508E-3</v>
      </c>
      <c r="I787">
        <v>0.26442150892449762</v>
      </c>
      <c r="J787">
        <v>0.17375710936423849</v>
      </c>
      <c r="K787">
        <v>8.0582228420722768E-2</v>
      </c>
      <c r="M787">
        <f t="shared" si="37"/>
        <v>2.2034619556670658</v>
      </c>
      <c r="N787">
        <f t="shared" si="38"/>
        <v>8</v>
      </c>
    </row>
    <row r="788" spans="1:14" x14ac:dyDescent="0.35">
      <c r="A788" t="str">
        <f t="shared" si="36"/>
        <v>18097357300_2025</v>
      </c>
      <c r="B788">
        <v>18097357300</v>
      </c>
      <c r="C788">
        <v>2025</v>
      </c>
      <c r="D788">
        <v>-1.534389912899794</v>
      </c>
      <c r="E788">
        <v>-2.640955923754468</v>
      </c>
      <c r="F788">
        <v>-0.7395379067222817</v>
      </c>
      <c r="G788">
        <v>-0.13150017716664381</v>
      </c>
      <c r="H788">
        <v>-0.71021633161597408</v>
      </c>
      <c r="I788">
        <v>-0.5507327181983499</v>
      </c>
      <c r="J788">
        <v>0.84839850735241162</v>
      </c>
      <c r="K788">
        <v>-0.13368722421508619</v>
      </c>
      <c r="M788">
        <f t="shared" si="37"/>
        <v>-5.5926216872201868</v>
      </c>
      <c r="N788">
        <f t="shared" si="38"/>
        <v>8</v>
      </c>
    </row>
    <row r="789" spans="1:14" x14ac:dyDescent="0.35">
      <c r="A789" t="str">
        <f t="shared" si="36"/>
        <v>18097357300_2026</v>
      </c>
      <c r="B789">
        <v>18097357300</v>
      </c>
      <c r="C789">
        <v>2026</v>
      </c>
      <c r="D789">
        <v>5.8713549613843508E-2</v>
      </c>
      <c r="E789">
        <v>4.2301252249407622</v>
      </c>
      <c r="F789">
        <v>-1.7893527686272288E-2</v>
      </c>
      <c r="G789">
        <v>-0.14018801571712641</v>
      </c>
      <c r="H789">
        <v>-0.58069729654621183</v>
      </c>
      <c r="I789">
        <v>-0.2443551881835731</v>
      </c>
      <c r="J789">
        <v>1.07359439533558</v>
      </c>
      <c r="K789">
        <v>-0.22109316534838719</v>
      </c>
      <c r="M789">
        <f t="shared" si="37"/>
        <v>4.1582059764086141</v>
      </c>
      <c r="N789">
        <f t="shared" si="38"/>
        <v>8</v>
      </c>
    </row>
    <row r="790" spans="1:14" x14ac:dyDescent="0.35">
      <c r="A790" t="str">
        <f t="shared" si="36"/>
        <v>18097357300_2027</v>
      </c>
      <c r="B790">
        <v>18097357300</v>
      </c>
      <c r="C790">
        <v>2027</v>
      </c>
      <c r="D790">
        <v>-1.76552468039251</v>
      </c>
      <c r="E790">
        <v>-0.90977576305888597</v>
      </c>
      <c r="F790">
        <v>-0.35729486260827381</v>
      </c>
      <c r="G790">
        <v>-0.12578822946242271</v>
      </c>
      <c r="H790">
        <v>-0.6443071845326257</v>
      </c>
      <c r="I790">
        <v>-0.1977967698655391</v>
      </c>
      <c r="J790">
        <v>1.13495760856878</v>
      </c>
      <c r="K790">
        <v>-0.17919711858646861</v>
      </c>
      <c r="M790">
        <f t="shared" si="37"/>
        <v>-3.0447269999379452</v>
      </c>
      <c r="N790">
        <f t="shared" si="38"/>
        <v>8</v>
      </c>
    </row>
    <row r="791" spans="1:14" x14ac:dyDescent="0.35">
      <c r="A791" t="str">
        <f t="shared" si="36"/>
        <v>18097357300_2028</v>
      </c>
      <c r="B791">
        <v>18097357300</v>
      </c>
      <c r="C791">
        <v>2028</v>
      </c>
      <c r="D791">
        <v>-0.27623181653421031</v>
      </c>
      <c r="E791">
        <v>2.0970405707648272</v>
      </c>
      <c r="F791">
        <v>-0.2018879683020034</v>
      </c>
      <c r="G791">
        <v>-0.134067502701185</v>
      </c>
      <c r="H791">
        <v>-0.57786287328287167</v>
      </c>
      <c r="I791">
        <v>-7.6053333189284728E-2</v>
      </c>
      <c r="J791">
        <v>1.146586814712063</v>
      </c>
      <c r="K791">
        <v>-0.1739932250741997</v>
      </c>
      <c r="M791">
        <f t="shared" si="37"/>
        <v>1.8035306663931352</v>
      </c>
      <c r="N791">
        <f t="shared" si="38"/>
        <v>8</v>
      </c>
    </row>
    <row r="792" spans="1:14" x14ac:dyDescent="0.35">
      <c r="A792" t="str">
        <f t="shared" si="36"/>
        <v>18097357400_2024</v>
      </c>
      <c r="B792">
        <v>18097357400</v>
      </c>
      <c r="C792">
        <v>2024</v>
      </c>
      <c r="D792">
        <v>-0.26007323958470963</v>
      </c>
      <c r="E792">
        <v>-9.1803477590576679E-2</v>
      </c>
      <c r="F792">
        <v>-0.15373740518393611</v>
      </c>
      <c r="G792">
        <v>-0.21263235601063249</v>
      </c>
      <c r="H792">
        <v>0.11984507404756289</v>
      </c>
      <c r="I792">
        <v>-0.7527911962329582</v>
      </c>
      <c r="J792">
        <v>0.17375709933667591</v>
      </c>
      <c r="K792">
        <v>8.0582228421497648E-2</v>
      </c>
      <c r="M792">
        <f t="shared" si="37"/>
        <v>-1.0968532727970766</v>
      </c>
      <c r="N792">
        <f t="shared" si="38"/>
        <v>8</v>
      </c>
    </row>
    <row r="793" spans="1:14" x14ac:dyDescent="0.35">
      <c r="A793" t="str">
        <f t="shared" si="36"/>
        <v>18097357400_2025</v>
      </c>
      <c r="B793">
        <v>18097357400</v>
      </c>
      <c r="C793">
        <v>2025</v>
      </c>
      <c r="D793">
        <v>-1.534388406821334</v>
      </c>
      <c r="E793">
        <v>-0.46797066822286348</v>
      </c>
      <c r="F793">
        <v>-4.0551857959411602E-2</v>
      </c>
      <c r="G793">
        <v>-0.55117599588502131</v>
      </c>
      <c r="H793">
        <v>-0.15785123015672439</v>
      </c>
      <c r="I793">
        <v>-0.74401781415255985</v>
      </c>
      <c r="J793">
        <v>0.84839849845810189</v>
      </c>
      <c r="K793">
        <v>-0.1336872242118361</v>
      </c>
      <c r="M793">
        <f t="shared" si="37"/>
        <v>-2.7812446989516495</v>
      </c>
      <c r="N793">
        <f t="shared" si="38"/>
        <v>8</v>
      </c>
    </row>
    <row r="794" spans="1:14" x14ac:dyDescent="0.35">
      <c r="A794" t="str">
        <f t="shared" si="36"/>
        <v>18097357400_2026</v>
      </c>
      <c r="B794">
        <v>18097357400</v>
      </c>
      <c r="C794">
        <v>2026</v>
      </c>
      <c r="D794">
        <v>5.8711492715886979E-2</v>
      </c>
      <c r="E794">
        <v>-0.43573311005408588</v>
      </c>
      <c r="F794">
        <v>4.4116951149761438E-4</v>
      </c>
      <c r="G794">
        <v>-0.42257264801426409</v>
      </c>
      <c r="H794">
        <v>-8.7549522710632169E-2</v>
      </c>
      <c r="I794">
        <v>-0.73234324511172566</v>
      </c>
      <c r="J794">
        <v>1.073594389302484</v>
      </c>
      <c r="K794">
        <v>-0.22109316534497639</v>
      </c>
      <c r="M794">
        <f t="shared" si="37"/>
        <v>-0.76654463970581577</v>
      </c>
      <c r="N794">
        <f t="shared" si="38"/>
        <v>8</v>
      </c>
    </row>
    <row r="795" spans="1:14" x14ac:dyDescent="0.35">
      <c r="A795" t="str">
        <f t="shared" si="36"/>
        <v>18097357400_2027</v>
      </c>
      <c r="B795">
        <v>18097357400</v>
      </c>
      <c r="C795">
        <v>2027</v>
      </c>
      <c r="D795">
        <v>-1.7655224203267621</v>
      </c>
      <c r="E795">
        <v>-0.42196285616829621</v>
      </c>
      <c r="F795">
        <v>-4.5399697205482804E-3</v>
      </c>
      <c r="G795">
        <v>-0.59370650393781332</v>
      </c>
      <c r="H795">
        <v>-0.23610245678560249</v>
      </c>
      <c r="I795">
        <v>-0.56140998636357875</v>
      </c>
      <c r="J795">
        <v>1.1349576042651961</v>
      </c>
      <c r="K795">
        <v>-0.1791971185830582</v>
      </c>
      <c r="M795">
        <f t="shared" si="37"/>
        <v>-2.6274837076204633</v>
      </c>
      <c r="N795">
        <f t="shared" si="38"/>
        <v>8</v>
      </c>
    </row>
    <row r="796" spans="1:14" x14ac:dyDescent="0.35">
      <c r="A796" t="str">
        <f t="shared" si="36"/>
        <v>18097357400_2028</v>
      </c>
      <c r="B796">
        <v>18097357400</v>
      </c>
      <c r="C796">
        <v>2028</v>
      </c>
      <c r="D796">
        <v>-0.27623411964479549</v>
      </c>
      <c r="E796">
        <v>-0.30543252925136177</v>
      </c>
      <c r="F796">
        <v>4.7115892692678157E-2</v>
      </c>
      <c r="G796">
        <v>-0.45489369397379759</v>
      </c>
      <c r="H796">
        <v>-0.29313083830823888</v>
      </c>
      <c r="I796">
        <v>-0.39601508129390911</v>
      </c>
      <c r="J796">
        <v>1.1465868112453359</v>
      </c>
      <c r="K796">
        <v>-0.17399322507071971</v>
      </c>
      <c r="M796">
        <f t="shared" si="37"/>
        <v>-0.70599678360480866</v>
      </c>
      <c r="N796">
        <f t="shared" si="38"/>
        <v>8</v>
      </c>
    </row>
    <row r="797" spans="1:14" x14ac:dyDescent="0.35">
      <c r="A797" t="str">
        <f t="shared" si="36"/>
        <v>18097357500_2024</v>
      </c>
      <c r="B797">
        <v>18097357500</v>
      </c>
      <c r="C797">
        <v>2024</v>
      </c>
      <c r="D797">
        <v>-0.26006847279254602</v>
      </c>
      <c r="E797">
        <v>0.25627830387513872</v>
      </c>
      <c r="F797">
        <v>-1.019430296364594</v>
      </c>
      <c r="H797">
        <v>-1.189352774304543E-2</v>
      </c>
      <c r="I797">
        <v>0.1081692461399108</v>
      </c>
      <c r="J797">
        <v>0.17375710936423849</v>
      </c>
      <c r="K797">
        <v>8.0582228420722768E-2</v>
      </c>
      <c r="M797">
        <f t="shared" si="37"/>
        <v>-0.67260540910017474</v>
      </c>
      <c r="N797">
        <f t="shared" si="38"/>
        <v>7</v>
      </c>
    </row>
    <row r="798" spans="1:14" x14ac:dyDescent="0.35">
      <c r="A798" t="str">
        <f t="shared" si="36"/>
        <v>18097357500_2025</v>
      </c>
      <c r="B798">
        <v>18097357500</v>
      </c>
      <c r="C798">
        <v>2025</v>
      </c>
      <c r="D798">
        <v>-1.5344036947625901</v>
      </c>
      <c r="E798">
        <v>8.9201256906791902E-3</v>
      </c>
      <c r="F798">
        <v>1.9184465781387749</v>
      </c>
      <c r="H798">
        <v>-0.5242367273010029</v>
      </c>
      <c r="I798">
        <v>0.35254141052750942</v>
      </c>
      <c r="J798">
        <v>0.84839850735241162</v>
      </c>
      <c r="K798">
        <v>-0.13368722421508619</v>
      </c>
      <c r="M798">
        <f t="shared" si="37"/>
        <v>0.93597897543069619</v>
      </c>
      <c r="N798">
        <f t="shared" si="38"/>
        <v>7</v>
      </c>
    </row>
    <row r="799" spans="1:14" x14ac:dyDescent="0.35">
      <c r="A799" t="str">
        <f t="shared" si="36"/>
        <v>18097357500_2026</v>
      </c>
      <c r="B799">
        <v>18097357500</v>
      </c>
      <c r="C799">
        <v>2026</v>
      </c>
      <c r="D799">
        <v>5.8732380578028001E-2</v>
      </c>
      <c r="E799">
        <v>0.147372215355867</v>
      </c>
      <c r="F799">
        <v>-0.69840297830401321</v>
      </c>
      <c r="H799">
        <v>-0.4308835881250106</v>
      </c>
      <c r="I799">
        <v>0.26908128826903122</v>
      </c>
      <c r="J799">
        <v>1.07359439533558</v>
      </c>
      <c r="K799">
        <v>-0.22109316534838719</v>
      </c>
      <c r="M799">
        <f t="shared" si="37"/>
        <v>0.19840054776109528</v>
      </c>
      <c r="N799">
        <f t="shared" si="38"/>
        <v>7</v>
      </c>
    </row>
    <row r="800" spans="1:14" x14ac:dyDescent="0.35">
      <c r="A800" t="str">
        <f t="shared" si="36"/>
        <v>18097357500_2027</v>
      </c>
      <c r="B800">
        <v>18097357500</v>
      </c>
      <c r="C800">
        <v>2027</v>
      </c>
      <c r="D800">
        <v>-1.7655453613340391</v>
      </c>
      <c r="E800">
        <v>0.1425979142795927</v>
      </c>
      <c r="F800">
        <v>1.485048763524256</v>
      </c>
      <c r="H800">
        <v>-0.52364395890916104</v>
      </c>
      <c r="I800">
        <v>0.34900960473256259</v>
      </c>
      <c r="J800">
        <v>1.13495760856878</v>
      </c>
      <c r="K800">
        <v>-0.17919711858646861</v>
      </c>
      <c r="M800">
        <f t="shared" si="37"/>
        <v>0.64322745227552269</v>
      </c>
      <c r="N800">
        <f t="shared" si="38"/>
        <v>7</v>
      </c>
    </row>
    <row r="801" spans="1:14" x14ac:dyDescent="0.35">
      <c r="A801" t="str">
        <f t="shared" si="36"/>
        <v>18097357500_2028</v>
      </c>
      <c r="B801">
        <v>18097357500</v>
      </c>
      <c r="C801">
        <v>2028</v>
      </c>
      <c r="D801">
        <v>-0.276210732398327</v>
      </c>
      <c r="E801">
        <v>0.21238083551232689</v>
      </c>
      <c r="F801">
        <v>-0.24213924584211699</v>
      </c>
      <c r="H801">
        <v>-0.49828531158585382</v>
      </c>
      <c r="I801">
        <v>0.29508108047622189</v>
      </c>
      <c r="J801">
        <v>1.146586814712063</v>
      </c>
      <c r="K801">
        <v>-0.1739932250741997</v>
      </c>
      <c r="M801">
        <f t="shared" si="37"/>
        <v>0.46342021580011428</v>
      </c>
      <c r="N801">
        <f t="shared" si="38"/>
        <v>7</v>
      </c>
    </row>
    <row r="802" spans="1:14" x14ac:dyDescent="0.35">
      <c r="A802" t="str">
        <f t="shared" si="36"/>
        <v>18097357601_2024</v>
      </c>
      <c r="B802">
        <v>18097357601</v>
      </c>
      <c r="C802">
        <v>2024</v>
      </c>
      <c r="D802">
        <v>-0.26007365104701258</v>
      </c>
      <c r="F802">
        <v>0.15301806671973781</v>
      </c>
      <c r="G802">
        <v>0.89713664389964287</v>
      </c>
      <c r="H802">
        <v>-0.1194519136392167</v>
      </c>
      <c r="I802">
        <v>-0.76836894511167275</v>
      </c>
      <c r="J802">
        <v>0.17375710936423849</v>
      </c>
      <c r="K802">
        <v>8.0582228420722768E-2</v>
      </c>
      <c r="M802">
        <f t="shared" si="37"/>
        <v>0.15659953860643988</v>
      </c>
      <c r="N802">
        <f t="shared" si="38"/>
        <v>7</v>
      </c>
    </row>
    <row r="803" spans="1:14" x14ac:dyDescent="0.35">
      <c r="A803" t="str">
        <f t="shared" si="36"/>
        <v>18097357601_2025</v>
      </c>
      <c r="B803">
        <v>18097357601</v>
      </c>
      <c r="C803">
        <v>2025</v>
      </c>
      <c r="D803">
        <v>-1.534387088980411</v>
      </c>
      <c r="F803">
        <v>0.43139378980443283</v>
      </c>
      <c r="G803">
        <v>-6.7968001920458931E-2</v>
      </c>
      <c r="H803">
        <v>-0.1432099769757646</v>
      </c>
      <c r="I803">
        <v>-0.77282215595713355</v>
      </c>
      <c r="J803">
        <v>0.84839850735241162</v>
      </c>
      <c r="K803">
        <v>-0.13368722421508619</v>
      </c>
      <c r="M803">
        <f t="shared" si="37"/>
        <v>-1.3722821508920098</v>
      </c>
      <c r="N803">
        <f t="shared" si="38"/>
        <v>7</v>
      </c>
    </row>
    <row r="804" spans="1:14" x14ac:dyDescent="0.35">
      <c r="A804" t="str">
        <f t="shared" si="36"/>
        <v>18097357601_2026</v>
      </c>
      <c r="B804">
        <v>18097357601</v>
      </c>
      <c r="C804">
        <v>2026</v>
      </c>
      <c r="D804">
        <v>5.870969116335252E-2</v>
      </c>
      <c r="F804">
        <v>0.11053418964579161</v>
      </c>
      <c r="G804">
        <v>2.112014119854865</v>
      </c>
      <c r="H804">
        <v>-0.87803136623929856</v>
      </c>
      <c r="I804">
        <v>-0.8686062863778925</v>
      </c>
      <c r="J804">
        <v>1.07359439533558</v>
      </c>
      <c r="K804">
        <v>-0.22109316534838719</v>
      </c>
      <c r="M804">
        <f t="shared" si="37"/>
        <v>1.3871215780340109</v>
      </c>
      <c r="N804">
        <f t="shared" si="38"/>
        <v>7</v>
      </c>
    </row>
    <row r="805" spans="1:14" x14ac:dyDescent="0.35">
      <c r="A805" t="str">
        <f t="shared" si="36"/>
        <v>18097357601_2027</v>
      </c>
      <c r="B805">
        <v>18097357601</v>
      </c>
      <c r="C805">
        <v>2027</v>
      </c>
      <c r="D805">
        <v>-1.765520442862669</v>
      </c>
      <c r="F805">
        <v>0.49852984655210469</v>
      </c>
      <c r="G805">
        <v>0.18643626864267079</v>
      </c>
      <c r="H805">
        <v>-0.29695699289541949</v>
      </c>
      <c r="I805">
        <v>-0.60646791500187014</v>
      </c>
      <c r="J805">
        <v>1.13495760856878</v>
      </c>
      <c r="K805">
        <v>-0.17919711858646861</v>
      </c>
      <c r="M805">
        <f t="shared" si="37"/>
        <v>-1.0282187455828717</v>
      </c>
      <c r="N805">
        <f t="shared" si="38"/>
        <v>7</v>
      </c>
    </row>
    <row r="806" spans="1:14" x14ac:dyDescent="0.35">
      <c r="A806" t="str">
        <f t="shared" si="36"/>
        <v>18097357601_2028</v>
      </c>
      <c r="B806">
        <v>18097357601</v>
      </c>
      <c r="C806">
        <v>2028</v>
      </c>
      <c r="D806">
        <v>-0.27623613663418067</v>
      </c>
      <c r="F806">
        <v>0.240834300969238</v>
      </c>
      <c r="G806">
        <v>2.0681711057723038</v>
      </c>
      <c r="H806">
        <v>-0.71597175757336917</v>
      </c>
      <c r="I806">
        <v>-0.49047159813645957</v>
      </c>
      <c r="J806">
        <v>1.146586814712063</v>
      </c>
      <c r="K806">
        <v>-0.1739932250741997</v>
      </c>
      <c r="M806">
        <f t="shared" si="37"/>
        <v>1.7989195040353956</v>
      </c>
      <c r="N806">
        <f t="shared" si="38"/>
        <v>7</v>
      </c>
    </row>
    <row r="807" spans="1:14" x14ac:dyDescent="0.35">
      <c r="A807" t="str">
        <f t="shared" si="36"/>
        <v>18097357602_2024</v>
      </c>
      <c r="B807">
        <v>18097357602</v>
      </c>
      <c r="C807">
        <v>2024</v>
      </c>
      <c r="D807">
        <v>-0.26006865626466191</v>
      </c>
      <c r="F807">
        <v>0.65727122897606216</v>
      </c>
      <c r="H807">
        <v>-0.43950137203512668</v>
      </c>
      <c r="I807">
        <v>0.28030840898954579</v>
      </c>
      <c r="J807">
        <v>0.17375710936423849</v>
      </c>
      <c r="K807">
        <v>8.0582228420722768E-2</v>
      </c>
      <c r="M807">
        <f t="shared" si="37"/>
        <v>0.49234894745078062</v>
      </c>
      <c r="N807">
        <f t="shared" si="38"/>
        <v>6</v>
      </c>
    </row>
    <row r="808" spans="1:14" x14ac:dyDescent="0.35">
      <c r="A808" t="str">
        <f t="shared" si="36"/>
        <v>18097357602_2025</v>
      </c>
      <c r="B808">
        <v>18097357602</v>
      </c>
      <c r="C808">
        <v>2025</v>
      </c>
      <c r="D808">
        <v>-1.5343970432830469</v>
      </c>
      <c r="F808">
        <v>1.589996380290317</v>
      </c>
      <c r="H808">
        <v>0.22029496946565361</v>
      </c>
      <c r="I808">
        <v>-0.20610283262131279</v>
      </c>
      <c r="J808">
        <v>0.84839850735241162</v>
      </c>
      <c r="K808">
        <v>-0.13368722421508619</v>
      </c>
      <c r="M808">
        <f t="shared" si="37"/>
        <v>0.78450275698893635</v>
      </c>
      <c r="N808">
        <f t="shared" si="38"/>
        <v>6</v>
      </c>
    </row>
    <row r="809" spans="1:14" x14ac:dyDescent="0.35">
      <c r="A809" t="str">
        <f t="shared" si="36"/>
        <v>18097357602_2026</v>
      </c>
      <c r="B809">
        <v>18097357602</v>
      </c>
      <c r="C809">
        <v>2026</v>
      </c>
      <c r="D809">
        <v>5.8726680468230708E-2</v>
      </c>
      <c r="F809">
        <v>1.7219753734244709</v>
      </c>
      <c r="H809">
        <v>-1.900165857263729</v>
      </c>
      <c r="I809">
        <v>0.32816564529613118</v>
      </c>
      <c r="J809">
        <v>1.07359439533558</v>
      </c>
      <c r="K809">
        <v>-0.22109316534838719</v>
      </c>
      <c r="M809">
        <f t="shared" si="37"/>
        <v>1.0612030719122967</v>
      </c>
      <c r="N809">
        <f t="shared" si="38"/>
        <v>6</v>
      </c>
    </row>
    <row r="810" spans="1:14" x14ac:dyDescent="0.35">
      <c r="A810" t="str">
        <f t="shared" si="36"/>
        <v>18097357602_2027</v>
      </c>
      <c r="B810">
        <v>18097357602</v>
      </c>
      <c r="C810">
        <v>2027</v>
      </c>
      <c r="D810">
        <v>-1.76553513590138</v>
      </c>
      <c r="F810">
        <v>1.9787147279591479</v>
      </c>
      <c r="H810">
        <v>-9.3159564531754641E-2</v>
      </c>
      <c r="I810">
        <v>1.515118149682259E-2</v>
      </c>
      <c r="J810">
        <v>1.13495760856878</v>
      </c>
      <c r="K810">
        <v>-0.17919711858646861</v>
      </c>
      <c r="M810">
        <f t="shared" si="37"/>
        <v>1.0909316990051472</v>
      </c>
      <c r="N810">
        <f t="shared" si="38"/>
        <v>6</v>
      </c>
    </row>
    <row r="811" spans="1:14" x14ac:dyDescent="0.35">
      <c r="A811" t="str">
        <f t="shared" si="36"/>
        <v>18097357602_2028</v>
      </c>
      <c r="B811">
        <v>18097357602</v>
      </c>
      <c r="C811">
        <v>2028</v>
      </c>
      <c r="D811">
        <v>-0.27621752121478699</v>
      </c>
      <c r="F811">
        <v>2.2131493125112862</v>
      </c>
      <c r="H811">
        <v>-1.1867424488714109</v>
      </c>
      <c r="I811">
        <v>0.27675100775955952</v>
      </c>
      <c r="J811">
        <v>1.146586814712063</v>
      </c>
      <c r="K811">
        <v>-0.1739932250741997</v>
      </c>
      <c r="M811">
        <f t="shared" si="37"/>
        <v>1.9995339398225107</v>
      </c>
      <c r="N811">
        <f t="shared" si="38"/>
        <v>6</v>
      </c>
    </row>
    <row r="812" spans="1:14" x14ac:dyDescent="0.35">
      <c r="A812" t="str">
        <f t="shared" si="36"/>
        <v>18097357800_2024</v>
      </c>
      <c r="B812">
        <v>18097357800</v>
      </c>
      <c r="C812">
        <v>2024</v>
      </c>
      <c r="D812">
        <v>-0.12710662770827141</v>
      </c>
      <c r="E812">
        <v>0.3439252010199505</v>
      </c>
      <c r="F812">
        <v>0.18762293693882451</v>
      </c>
      <c r="G812">
        <v>0.1281679317294232</v>
      </c>
      <c r="H812">
        <v>-5.7921884674622288E-2</v>
      </c>
      <c r="I812">
        <v>0.16357473180387971</v>
      </c>
      <c r="J812">
        <v>-1.042909817828368</v>
      </c>
      <c r="K812">
        <v>8.0582023731870345E-2</v>
      </c>
      <c r="M812">
        <f t="shared" si="37"/>
        <v>-0.3240655049873134</v>
      </c>
      <c r="N812">
        <f t="shared" si="38"/>
        <v>8</v>
      </c>
    </row>
    <row r="813" spans="1:14" x14ac:dyDescent="0.35">
      <c r="A813" t="str">
        <f t="shared" si="36"/>
        <v>18097357800_2025</v>
      </c>
      <c r="B813">
        <v>18097357800</v>
      </c>
      <c r="C813">
        <v>2025</v>
      </c>
      <c r="D813">
        <v>-1.3448473266963079</v>
      </c>
      <c r="E813">
        <v>0.46057644778142692</v>
      </c>
      <c r="F813">
        <v>-0.19081829834886849</v>
      </c>
      <c r="G813">
        <v>-0.1766936195212552</v>
      </c>
      <c r="H813">
        <v>-0.29373164178531608</v>
      </c>
      <c r="I813">
        <v>0.32571268839213452</v>
      </c>
      <c r="J813">
        <v>-0.42421879807455609</v>
      </c>
      <c r="K813">
        <v>-0.13368769246984941</v>
      </c>
      <c r="M813">
        <f t="shared" si="37"/>
        <v>-1.7777082407225915</v>
      </c>
      <c r="N813">
        <f t="shared" si="38"/>
        <v>8</v>
      </c>
    </row>
    <row r="814" spans="1:14" x14ac:dyDescent="0.35">
      <c r="A814" t="str">
        <f t="shared" si="36"/>
        <v>18097357800_2026</v>
      </c>
      <c r="B814">
        <v>18097357800</v>
      </c>
      <c r="C814">
        <v>2026</v>
      </c>
      <c r="D814">
        <v>0.22532568736763561</v>
      </c>
      <c r="E814">
        <v>0.54012335411156365</v>
      </c>
      <c r="F814">
        <v>-0.1543307674910665</v>
      </c>
      <c r="G814">
        <v>8.9814469643737335E-2</v>
      </c>
      <c r="H814">
        <v>-0.34548582226268493</v>
      </c>
      <c r="I814">
        <v>0.34244983202265322</v>
      </c>
      <c r="J814">
        <v>0.1038555557103731</v>
      </c>
      <c r="K814">
        <v>-0.22109343556024111</v>
      </c>
      <c r="M814">
        <f t="shared" si="37"/>
        <v>0.58065887354197032</v>
      </c>
      <c r="N814">
        <f t="shared" si="38"/>
        <v>8</v>
      </c>
    </row>
    <row r="815" spans="1:14" x14ac:dyDescent="0.35">
      <c r="A815" t="str">
        <f t="shared" si="36"/>
        <v>18097357800_2027</v>
      </c>
      <c r="B815">
        <v>18097357800</v>
      </c>
      <c r="C815">
        <v>2027</v>
      </c>
      <c r="D815">
        <v>-1.493833120048627</v>
      </c>
      <c r="E815">
        <v>0.52133126595051638</v>
      </c>
      <c r="F815">
        <v>-0.1559414753193066</v>
      </c>
      <c r="G815">
        <v>-8.2768558447100099E-3</v>
      </c>
      <c r="H815">
        <v>-0.42991926831948662</v>
      </c>
      <c r="I815">
        <v>0.34744397911693692</v>
      </c>
      <c r="J815">
        <v>0.44392900026671328</v>
      </c>
      <c r="K815">
        <v>-0.179197289027302</v>
      </c>
      <c r="M815">
        <f t="shared" si="37"/>
        <v>-0.9544637632252656</v>
      </c>
      <c r="N815">
        <f t="shared" si="38"/>
        <v>8</v>
      </c>
    </row>
    <row r="816" spans="1:14" x14ac:dyDescent="0.35">
      <c r="A816" t="str">
        <f t="shared" si="36"/>
        <v>18097357800_2028</v>
      </c>
      <c r="B816">
        <v>18097357800</v>
      </c>
      <c r="C816">
        <v>2028</v>
      </c>
      <c r="D816">
        <v>-0.1080407778576027</v>
      </c>
      <c r="E816">
        <v>0.5368074528720449</v>
      </c>
      <c r="F816">
        <v>-0.1119810351741032</v>
      </c>
      <c r="G816">
        <v>3.989153149770952E-2</v>
      </c>
      <c r="H816">
        <v>-0.43857015466227339</v>
      </c>
      <c r="I816">
        <v>0.32856447721583643</v>
      </c>
      <c r="J816">
        <v>0.65322787182351827</v>
      </c>
      <c r="K816">
        <v>-0.1739933508051964</v>
      </c>
      <c r="M816">
        <f t="shared" si="37"/>
        <v>0.72590601490993345</v>
      </c>
      <c r="N816">
        <f t="shared" si="38"/>
        <v>8</v>
      </c>
    </row>
    <row r="817" spans="1:14" x14ac:dyDescent="0.35">
      <c r="A817" t="str">
        <f t="shared" si="36"/>
        <v>18097357900_2024</v>
      </c>
      <c r="B817">
        <v>18097357900</v>
      </c>
      <c r="C817">
        <v>2024</v>
      </c>
      <c r="D817">
        <v>-5.5462410748984572E-2</v>
      </c>
      <c r="E817">
        <v>0.29120909593016159</v>
      </c>
      <c r="F817">
        <v>-0.29418045729182102</v>
      </c>
      <c r="G817">
        <v>8.6449788968540296E-3</v>
      </c>
      <c r="H817">
        <v>0.26166622464009143</v>
      </c>
      <c r="I817">
        <v>0.14850758108423409</v>
      </c>
      <c r="J817">
        <v>-1.1180359172006269</v>
      </c>
      <c r="K817">
        <v>8.0581897694738031E-2</v>
      </c>
      <c r="M817">
        <f t="shared" si="37"/>
        <v>-0.67706900699535333</v>
      </c>
      <c r="N817">
        <f t="shared" si="38"/>
        <v>8</v>
      </c>
    </row>
    <row r="818" spans="1:14" x14ac:dyDescent="0.35">
      <c r="A818" t="str">
        <f t="shared" si="36"/>
        <v>18097357900_2025</v>
      </c>
      <c r="B818">
        <v>18097357900</v>
      </c>
      <c r="C818">
        <v>2025</v>
      </c>
      <c r="D818">
        <v>-1.1799853227679491</v>
      </c>
      <c r="E818">
        <v>0.34476551856215182</v>
      </c>
      <c r="F818">
        <v>-1.1506602643159699E-3</v>
      </c>
      <c r="G818">
        <v>0.21832115563742779</v>
      </c>
      <c r="H818">
        <v>0.5253631109374195</v>
      </c>
      <c r="I818">
        <v>0.241042531447686</v>
      </c>
      <c r="J818">
        <v>-0.49703035308196192</v>
      </c>
      <c r="K818">
        <v>-0.1336879808347346</v>
      </c>
      <c r="M818">
        <f t="shared" si="37"/>
        <v>-0.4823620003642764</v>
      </c>
      <c r="N818">
        <f t="shared" si="38"/>
        <v>8</v>
      </c>
    </row>
    <row r="819" spans="1:14" x14ac:dyDescent="0.35">
      <c r="A819" t="str">
        <f t="shared" si="36"/>
        <v>18097357900_2026</v>
      </c>
      <c r="B819">
        <v>18097357900</v>
      </c>
      <c r="C819">
        <v>2026</v>
      </c>
      <c r="D819">
        <v>0.27746354829379738</v>
      </c>
      <c r="E819">
        <v>0.43215614145927111</v>
      </c>
      <c r="F819">
        <v>8.899087781083001E-2</v>
      </c>
      <c r="G819">
        <v>0.1656768971982879</v>
      </c>
      <c r="H819">
        <v>0.34796969042857723</v>
      </c>
      <c r="I819">
        <v>0.27382384233157248</v>
      </c>
      <c r="J819">
        <v>5.1753076789433333E-2</v>
      </c>
      <c r="K819">
        <v>-0.22109360199723141</v>
      </c>
      <c r="M819">
        <f t="shared" si="37"/>
        <v>1.416740472314538</v>
      </c>
      <c r="N819">
        <f t="shared" si="38"/>
        <v>8</v>
      </c>
    </row>
    <row r="820" spans="1:14" x14ac:dyDescent="0.35">
      <c r="A820" t="str">
        <f t="shared" si="36"/>
        <v>18097357900_2027</v>
      </c>
      <c r="B820">
        <v>18097357900</v>
      </c>
      <c r="C820">
        <v>2027</v>
      </c>
      <c r="D820">
        <v>-1.260572662434595</v>
      </c>
      <c r="E820">
        <v>0.42056372007500398</v>
      </c>
      <c r="F820">
        <v>8.0725225380871762E-2</v>
      </c>
      <c r="G820">
        <v>0.24186304693143709</v>
      </c>
      <c r="H820">
        <v>4.3980355342163838E-2</v>
      </c>
      <c r="I820">
        <v>0.28838402604081581</v>
      </c>
      <c r="J820">
        <v>0.41382056130902328</v>
      </c>
      <c r="K820">
        <v>-0.17919739403597759</v>
      </c>
      <c r="M820">
        <f t="shared" si="37"/>
        <v>4.9566878608743231E-2</v>
      </c>
      <c r="N820">
        <f t="shared" si="38"/>
        <v>8</v>
      </c>
    </row>
    <row r="821" spans="1:14" x14ac:dyDescent="0.35">
      <c r="A821" t="str">
        <f t="shared" si="36"/>
        <v>18097357900_2028</v>
      </c>
      <c r="B821">
        <v>18097357900</v>
      </c>
      <c r="C821">
        <v>2028</v>
      </c>
      <c r="D821">
        <v>-5.3002130253124009E-2</v>
      </c>
      <c r="E821">
        <v>0.4517482820704054</v>
      </c>
      <c r="F821">
        <v>0.14569433620766151</v>
      </c>
      <c r="G821">
        <v>0.20430615883175901</v>
      </c>
      <c r="H821">
        <v>-0.14005816680342981</v>
      </c>
      <c r="I821">
        <v>0.28679706422843498</v>
      </c>
      <c r="J821">
        <v>0.64198350394460779</v>
      </c>
      <c r="K821">
        <v>-0.17399342828479</v>
      </c>
      <c r="M821">
        <f t="shared" si="37"/>
        <v>1.363475619941525</v>
      </c>
      <c r="N821">
        <f t="shared" si="38"/>
        <v>8</v>
      </c>
    </row>
    <row r="822" spans="1:14" x14ac:dyDescent="0.35">
      <c r="A822" t="str">
        <f t="shared" si="36"/>
        <v>18097358000_2024</v>
      </c>
      <c r="B822">
        <v>18097358000</v>
      </c>
      <c r="C822">
        <v>2024</v>
      </c>
      <c r="D822">
        <v>8.7802152506890399E-2</v>
      </c>
      <c r="E822">
        <v>0.51943399698519443</v>
      </c>
      <c r="F822">
        <v>-0.19560026864010061</v>
      </c>
      <c r="G822">
        <v>-4.4101610197330556</v>
      </c>
      <c r="H822">
        <v>0.1344003170065575</v>
      </c>
      <c r="I822">
        <v>0.93288118515898422</v>
      </c>
      <c r="J822">
        <v>-1.1480010706399231</v>
      </c>
      <c r="M822">
        <f t="shared" si="37"/>
        <v>-4.0792447073554534</v>
      </c>
      <c r="N822">
        <f t="shared" si="38"/>
        <v>7</v>
      </c>
    </row>
    <row r="823" spans="1:14" x14ac:dyDescent="0.35">
      <c r="A823" t="str">
        <f t="shared" si="36"/>
        <v>18097358000_2025</v>
      </c>
      <c r="B823">
        <v>18097358000</v>
      </c>
      <c r="C823">
        <v>2025</v>
      </c>
      <c r="D823">
        <v>-0.84056097384104267</v>
      </c>
      <c r="E823">
        <v>0.89791910631136351</v>
      </c>
      <c r="F823">
        <v>0.27932688656579518</v>
      </c>
      <c r="G823">
        <v>-2.4000570406664892</v>
      </c>
      <c r="H823">
        <v>0.47084065607918729</v>
      </c>
      <c r="I823">
        <v>0.5486348567856989</v>
      </c>
      <c r="J823">
        <v>-0.50257831663724883</v>
      </c>
      <c r="M823">
        <f t="shared" si="37"/>
        <v>-1.5464748254027358</v>
      </c>
      <c r="N823">
        <f t="shared" si="38"/>
        <v>7</v>
      </c>
    </row>
    <row r="824" spans="1:14" x14ac:dyDescent="0.35">
      <c r="A824" t="str">
        <f t="shared" si="36"/>
        <v>18097358000_2026</v>
      </c>
      <c r="B824">
        <v>18097358000</v>
      </c>
      <c r="C824">
        <v>2026</v>
      </c>
      <c r="D824">
        <v>0.39238463798300288</v>
      </c>
      <c r="E824">
        <v>0.94044570346118361</v>
      </c>
      <c r="F824">
        <v>0.40576110397397508</v>
      </c>
      <c r="G824">
        <v>-2.363090290816058</v>
      </c>
      <c r="H824">
        <v>0.37692032792100388</v>
      </c>
      <c r="I824">
        <v>0.74512615101046065</v>
      </c>
      <c r="J824">
        <v>6.8485431339107464E-2</v>
      </c>
      <c r="M824">
        <f t="shared" si="37"/>
        <v>0.56603306487267546</v>
      </c>
      <c r="N824">
        <f t="shared" si="38"/>
        <v>7</v>
      </c>
    </row>
    <row r="825" spans="1:14" x14ac:dyDescent="0.35">
      <c r="A825" t="str">
        <f t="shared" si="36"/>
        <v>18097358000_2027</v>
      </c>
      <c r="B825">
        <v>18097358000</v>
      </c>
      <c r="C825">
        <v>2027</v>
      </c>
      <c r="D825">
        <v>-0.79804175723827653</v>
      </c>
      <c r="E825">
        <v>0.87877280582016981</v>
      </c>
      <c r="F825">
        <v>0.49462319189389192</v>
      </c>
      <c r="G825">
        <v>-2.7080215677857389</v>
      </c>
      <c r="H825">
        <v>0.27124986235935661</v>
      </c>
      <c r="I825">
        <v>0.59702414454627395</v>
      </c>
      <c r="J825">
        <v>0.44734848599266158</v>
      </c>
      <c r="M825">
        <f t="shared" si="37"/>
        <v>-0.81704483441166165</v>
      </c>
      <c r="N825">
        <f t="shared" si="38"/>
        <v>7</v>
      </c>
    </row>
    <row r="826" spans="1:14" x14ac:dyDescent="0.35">
      <c r="A826" t="str">
        <f t="shared" si="36"/>
        <v>18097358000_2028</v>
      </c>
      <c r="B826">
        <v>18097358000</v>
      </c>
      <c r="C826">
        <v>2028</v>
      </c>
      <c r="D826">
        <v>9.0505904029601264E-2</v>
      </c>
      <c r="E826">
        <v>0.8324335921119016</v>
      </c>
      <c r="F826">
        <v>0.59773047411498648</v>
      </c>
      <c r="G826">
        <v>-2.5366879899875978</v>
      </c>
      <c r="H826">
        <v>0.1153740731895358</v>
      </c>
      <c r="I826">
        <v>0.52193911604297061</v>
      </c>
      <c r="J826">
        <v>0.68775248133649824</v>
      </c>
      <c r="M826">
        <f t="shared" si="37"/>
        <v>0.30904765083789609</v>
      </c>
      <c r="N826">
        <f t="shared" si="38"/>
        <v>7</v>
      </c>
    </row>
    <row r="827" spans="1:14" x14ac:dyDescent="0.35">
      <c r="A827" t="str">
        <f t="shared" si="36"/>
        <v>18097358100_2024</v>
      </c>
      <c r="B827">
        <v>18097358100</v>
      </c>
      <c r="C827">
        <v>2024</v>
      </c>
      <c r="D827">
        <v>-0.43239005784726542</v>
      </c>
      <c r="E827">
        <v>0.1187877694171946</v>
      </c>
      <c r="F827">
        <v>-0.54359876925403572</v>
      </c>
      <c r="G827">
        <v>-0.2829215357884603</v>
      </c>
      <c r="H827">
        <v>0.1089590913949882</v>
      </c>
      <c r="I827">
        <v>0.1311958692597664</v>
      </c>
      <c r="J827">
        <v>0.51139638707883317</v>
      </c>
      <c r="K827">
        <v>-2.0652676174741608E-2</v>
      </c>
      <c r="M827">
        <f t="shared" si="37"/>
        <v>-0.40922392191372053</v>
      </c>
      <c r="N827">
        <f t="shared" si="38"/>
        <v>8</v>
      </c>
    </row>
    <row r="828" spans="1:14" x14ac:dyDescent="0.35">
      <c r="A828" t="str">
        <f t="shared" si="36"/>
        <v>18097358100_2025</v>
      </c>
      <c r="B828">
        <v>18097358100</v>
      </c>
      <c r="C828">
        <v>2025</v>
      </c>
      <c r="D828">
        <v>0.59797133877653652</v>
      </c>
      <c r="E828">
        <v>0.16981505734834779</v>
      </c>
      <c r="F828">
        <v>-0.32258557904538782</v>
      </c>
      <c r="G828">
        <v>-0.18921647297457131</v>
      </c>
      <c r="H828">
        <v>-0.44238660374176342</v>
      </c>
      <c r="I828">
        <v>-3.2352289175023939E-2</v>
      </c>
      <c r="J828">
        <v>0.3476132366669859</v>
      </c>
      <c r="K828">
        <v>-0.54102781806780742</v>
      </c>
      <c r="M828">
        <f t="shared" si="37"/>
        <v>-0.41216913021268364</v>
      </c>
      <c r="N828">
        <f t="shared" si="38"/>
        <v>8</v>
      </c>
    </row>
    <row r="829" spans="1:14" x14ac:dyDescent="0.35">
      <c r="A829" t="str">
        <f t="shared" si="36"/>
        <v>18097358100_2026</v>
      </c>
      <c r="B829">
        <v>18097358100</v>
      </c>
      <c r="C829">
        <v>2026</v>
      </c>
      <c r="D829">
        <v>5.1580279047256102E-2</v>
      </c>
      <c r="E829">
        <v>0.2210687905958432</v>
      </c>
      <c r="F829">
        <v>-0.78198313929133545</v>
      </c>
      <c r="G829">
        <v>-0.1164833629480829</v>
      </c>
      <c r="H829">
        <v>-0.23095425986966231</v>
      </c>
      <c r="I829">
        <v>0.1232427299621323</v>
      </c>
      <c r="J829">
        <v>0.25246017477888782</v>
      </c>
      <c r="K829">
        <v>-0.67234061680730761</v>
      </c>
      <c r="M829">
        <f t="shared" si="37"/>
        <v>-1.1534094045322689</v>
      </c>
      <c r="N829">
        <f t="shared" si="38"/>
        <v>8</v>
      </c>
    </row>
    <row r="830" spans="1:14" x14ac:dyDescent="0.35">
      <c r="A830" t="str">
        <f t="shared" si="36"/>
        <v>18097358100_2027</v>
      </c>
      <c r="B830">
        <v>18097358100</v>
      </c>
      <c r="C830">
        <v>2027</v>
      </c>
      <c r="D830">
        <v>0.46807540072592402</v>
      </c>
      <c r="E830">
        <v>0.2323624115191775</v>
      </c>
      <c r="F830">
        <v>-0.73601790829690894</v>
      </c>
      <c r="G830">
        <v>-4.5946927265991637E-2</v>
      </c>
      <c r="H830">
        <v>-0.39495914695274698</v>
      </c>
      <c r="I830">
        <v>0.12808031054905811</v>
      </c>
      <c r="J830">
        <v>0.2138925122248935</v>
      </c>
      <c r="K830">
        <v>-0.66920051171920347</v>
      </c>
      <c r="M830">
        <f t="shared" si="37"/>
        <v>-0.80371385921579797</v>
      </c>
      <c r="N830">
        <f t="shared" si="38"/>
        <v>8</v>
      </c>
    </row>
    <row r="831" spans="1:14" x14ac:dyDescent="0.35">
      <c r="A831" t="str">
        <f t="shared" si="36"/>
        <v>18097358100_2028</v>
      </c>
      <c r="B831">
        <v>18097358100</v>
      </c>
      <c r="C831">
        <v>2028</v>
      </c>
      <c r="D831">
        <v>0.23707161475551869</v>
      </c>
      <c r="E831">
        <v>0.28718301027501342</v>
      </c>
      <c r="F831">
        <v>-0.80897398957301703</v>
      </c>
      <c r="G831">
        <v>-5.0913844183160389E-2</v>
      </c>
      <c r="H831">
        <v>-0.40078823218798659</v>
      </c>
      <c r="I831">
        <v>0.1802497557094993</v>
      </c>
      <c r="J831">
        <v>0.19640003276756809</v>
      </c>
      <c r="K831">
        <v>-0.69416689816970445</v>
      </c>
      <c r="M831">
        <f t="shared" si="37"/>
        <v>-1.0539385506062688</v>
      </c>
      <c r="N831">
        <f t="shared" si="38"/>
        <v>8</v>
      </c>
    </row>
    <row r="832" spans="1:14" x14ac:dyDescent="0.35">
      <c r="A832" t="str">
        <f t="shared" si="36"/>
        <v>18097360101_2024</v>
      </c>
      <c r="B832">
        <v>18097360101</v>
      </c>
      <c r="C832">
        <v>2024</v>
      </c>
      <c r="D832">
        <v>-1.1888407991675281</v>
      </c>
      <c r="E832">
        <v>0.3563033622950878</v>
      </c>
      <c r="F832">
        <v>0.86147765392164311</v>
      </c>
      <c r="G832">
        <v>0.91036365305830802</v>
      </c>
      <c r="H832">
        <v>0.16337530789035659</v>
      </c>
      <c r="I832">
        <v>0.45933414427112168</v>
      </c>
      <c r="J832">
        <v>2.998461712561729</v>
      </c>
      <c r="K832">
        <v>5.3489160278906947E-2</v>
      </c>
      <c r="M832">
        <f t="shared" si="37"/>
        <v>4.6139641951096255</v>
      </c>
      <c r="N832">
        <f t="shared" si="38"/>
        <v>8</v>
      </c>
    </row>
    <row r="833" spans="1:14" x14ac:dyDescent="0.35">
      <c r="A833" t="str">
        <f t="shared" si="36"/>
        <v>18097360101_2025</v>
      </c>
      <c r="B833">
        <v>18097360101</v>
      </c>
      <c r="C833">
        <v>2025</v>
      </c>
      <c r="D833">
        <v>-0.84516116474142122</v>
      </c>
      <c r="E833">
        <v>0.5491646517713501</v>
      </c>
      <c r="F833">
        <v>0.15508665779110931</v>
      </c>
      <c r="G833">
        <v>0.79817052779222797</v>
      </c>
      <c r="H833">
        <v>6.9993219384307498E-2</v>
      </c>
      <c r="I833">
        <v>0.72674041092807118</v>
      </c>
      <c r="J833">
        <v>3.0310279467695862</v>
      </c>
      <c r="K833">
        <v>-0.25681073367830232</v>
      </c>
      <c r="M833">
        <f t="shared" si="37"/>
        <v>4.2282115160169287</v>
      </c>
      <c r="N833">
        <f t="shared" si="38"/>
        <v>8</v>
      </c>
    </row>
    <row r="834" spans="1:14" x14ac:dyDescent="0.35">
      <c r="A834" t="str">
        <f t="shared" si="36"/>
        <v>18097360101_2026</v>
      </c>
      <c r="B834">
        <v>18097360101</v>
      </c>
      <c r="C834">
        <v>2026</v>
      </c>
      <c r="D834">
        <v>-1.321565592608718</v>
      </c>
      <c r="E834">
        <v>0.63726036449845047</v>
      </c>
      <c r="F834">
        <v>0.1151048998473483</v>
      </c>
      <c r="G834">
        <v>0.64071965022393262</v>
      </c>
      <c r="H834">
        <v>0.20060891808103409</v>
      </c>
      <c r="I834">
        <v>0.70652821314166014</v>
      </c>
      <c r="J834">
        <v>2.9096004358449208</v>
      </c>
      <c r="K834">
        <v>-0.3550493154452008</v>
      </c>
      <c r="M834">
        <f t="shared" si="37"/>
        <v>3.5332075735834279</v>
      </c>
      <c r="N834">
        <f t="shared" si="38"/>
        <v>8</v>
      </c>
    </row>
    <row r="835" spans="1:14" x14ac:dyDescent="0.35">
      <c r="A835" t="str">
        <f t="shared" ref="A835:A898" si="39">TEXT(B835,0)&amp;"_"&amp;TEXT(C835,0)</f>
        <v>18097360101_2027</v>
      </c>
      <c r="B835">
        <v>18097360101</v>
      </c>
      <c r="C835">
        <v>2027</v>
      </c>
      <c r="D835">
        <v>-1.2449744692421749</v>
      </c>
      <c r="E835">
        <v>0.60724122884724396</v>
      </c>
      <c r="F835">
        <v>0.1157691143128263</v>
      </c>
      <c r="G835">
        <v>0.82709840124219436</v>
      </c>
      <c r="H835">
        <v>-4.4815200604689E-3</v>
      </c>
      <c r="I835">
        <v>0.62493933700196658</v>
      </c>
      <c r="J835">
        <v>2.8352077486778389</v>
      </c>
      <c r="K835">
        <v>-0.31803788904084013</v>
      </c>
      <c r="M835">
        <f t="shared" ref="M835:M898" si="40">SUM(D835:K835)</f>
        <v>3.4427619517385861</v>
      </c>
      <c r="N835">
        <f t="shared" ref="N835:N898" si="41">IF(D835=0,0,1)+IF(E835=0,0,1)+IF(F835=0,0,1)+IF(G835=0,0,1)+IF(H835=0,0,1)+IF(I835=0,0,1)++IF(J835=0,0,1)++IF(K835=0,0,1)</f>
        <v>8</v>
      </c>
    </row>
    <row r="836" spans="1:14" x14ac:dyDescent="0.35">
      <c r="A836" t="str">
        <f t="shared" si="39"/>
        <v>18097360101_2028</v>
      </c>
      <c r="B836">
        <v>18097360101</v>
      </c>
      <c r="C836">
        <v>2028</v>
      </c>
      <c r="D836">
        <v>-1.428822084984104</v>
      </c>
      <c r="E836">
        <v>0.60949779257925096</v>
      </c>
      <c r="F836">
        <v>0.17107971861909821</v>
      </c>
      <c r="G836">
        <v>0.73838359221479366</v>
      </c>
      <c r="H836">
        <v>-9.4562578932553154E-2</v>
      </c>
      <c r="I836">
        <v>0.52669148378226782</v>
      </c>
      <c r="J836">
        <v>2.793461502418003</v>
      </c>
      <c r="K836">
        <v>-0.31430314275624038</v>
      </c>
      <c r="M836">
        <f t="shared" si="40"/>
        <v>3.0014262829405158</v>
      </c>
      <c r="N836">
        <f t="shared" si="41"/>
        <v>8</v>
      </c>
    </row>
    <row r="837" spans="1:14" x14ac:dyDescent="0.35">
      <c r="A837" t="str">
        <f t="shared" si="39"/>
        <v>18097360102_2024</v>
      </c>
      <c r="B837">
        <v>18097360102</v>
      </c>
      <c r="C837">
        <v>2024</v>
      </c>
      <c r="D837">
        <v>-1.1888407063765121</v>
      </c>
      <c r="E837">
        <v>-0.40408289890624688</v>
      </c>
      <c r="F837">
        <v>-0.1894785411817427</v>
      </c>
      <c r="G837">
        <v>-1.828465477997309E-2</v>
      </c>
      <c r="H837">
        <v>-2.3239186696384889E-2</v>
      </c>
      <c r="I837">
        <v>-0.12617380511010051</v>
      </c>
      <c r="J837">
        <v>2.9984617126168391</v>
      </c>
      <c r="K837">
        <v>5.3489160258935249E-2</v>
      </c>
      <c r="M837">
        <f t="shared" si="40"/>
        <v>1.1018510798248144</v>
      </c>
      <c r="N837">
        <f t="shared" si="41"/>
        <v>8</v>
      </c>
    </row>
    <row r="838" spans="1:14" x14ac:dyDescent="0.35">
      <c r="A838" t="str">
        <f t="shared" si="39"/>
        <v>18097360102_2025</v>
      </c>
      <c r="B838">
        <v>18097360102</v>
      </c>
      <c r="C838">
        <v>2025</v>
      </c>
      <c r="D838">
        <v>-0.845161277297102</v>
      </c>
      <c r="E838">
        <v>-1.022830572056268</v>
      </c>
      <c r="F838">
        <v>5.0372206352072638E-2</v>
      </c>
      <c r="G838">
        <v>0.2000481089541965</v>
      </c>
      <c r="H838">
        <v>-0.66431744269712545</v>
      </c>
      <c r="I838">
        <v>1.2159930134852539</v>
      </c>
      <c r="J838">
        <v>3.0310279467844379</v>
      </c>
      <c r="K838">
        <v>-0.25681073375083707</v>
      </c>
      <c r="M838">
        <f t="shared" si="40"/>
        <v>1.7083212497746283</v>
      </c>
      <c r="N838">
        <f t="shared" si="41"/>
        <v>8</v>
      </c>
    </row>
    <row r="839" spans="1:14" x14ac:dyDescent="0.35">
      <c r="A839" t="str">
        <f t="shared" si="39"/>
        <v>18097360102_2026</v>
      </c>
      <c r="B839">
        <v>18097360102</v>
      </c>
      <c r="C839">
        <v>2026</v>
      </c>
      <c r="D839">
        <v>-1.3215653840439849</v>
      </c>
      <c r="E839">
        <v>-1.073271792046254</v>
      </c>
      <c r="F839">
        <v>-5.1931212691886892E-2</v>
      </c>
      <c r="G839">
        <v>0.1513570362987012</v>
      </c>
      <c r="H839">
        <v>-0.52968343709310128</v>
      </c>
      <c r="I839">
        <v>0.49641253565939902</v>
      </c>
      <c r="J839">
        <v>2.9096004358586192</v>
      </c>
      <c r="K839">
        <v>-0.35504931550762447</v>
      </c>
      <c r="M839">
        <f t="shared" si="40"/>
        <v>0.22586886643386767</v>
      </c>
      <c r="N839">
        <f t="shared" si="41"/>
        <v>8</v>
      </c>
    </row>
    <row r="840" spans="1:14" x14ac:dyDescent="0.35">
      <c r="A840" t="str">
        <f t="shared" si="39"/>
        <v>18097360102_2027</v>
      </c>
      <c r="B840">
        <v>18097360102</v>
      </c>
      <c r="C840">
        <v>2027</v>
      </c>
      <c r="D840">
        <v>-1.244974582448769</v>
      </c>
      <c r="E840">
        <v>-1.0999326721651681</v>
      </c>
      <c r="F840">
        <v>-3.7744112013672199E-3</v>
      </c>
      <c r="G840">
        <v>0.22541963648543489</v>
      </c>
      <c r="H840">
        <v>-0.60272492120527554</v>
      </c>
      <c r="I840">
        <v>0.73390003319295216</v>
      </c>
      <c r="J840">
        <v>2.835207748691436</v>
      </c>
      <c r="K840">
        <v>-0.31803788909282188</v>
      </c>
      <c r="M840">
        <f t="shared" si="40"/>
        <v>0.5250829422564216</v>
      </c>
      <c r="N840">
        <f t="shared" si="41"/>
        <v>8</v>
      </c>
    </row>
    <row r="841" spans="1:14" x14ac:dyDescent="0.35">
      <c r="A841" t="str">
        <f t="shared" si="39"/>
        <v>18097360102_2028</v>
      </c>
      <c r="B841">
        <v>18097360102</v>
      </c>
      <c r="C841">
        <v>2028</v>
      </c>
      <c r="D841">
        <v>-1.4288219062768039</v>
      </c>
      <c r="E841">
        <v>-0.97428442375751645</v>
      </c>
      <c r="F841">
        <v>2.371063561005346E-2</v>
      </c>
      <c r="G841">
        <v>0.18904551651583479</v>
      </c>
      <c r="H841">
        <v>-0.55058967880971466</v>
      </c>
      <c r="I841">
        <v>0.49663810774613598</v>
      </c>
      <c r="J841">
        <v>2.7934615024312368</v>
      </c>
      <c r="K841">
        <v>-0.31430314279997718</v>
      </c>
      <c r="M841">
        <f t="shared" si="40"/>
        <v>0.23485661065924845</v>
      </c>
      <c r="N841">
        <f t="shared" si="41"/>
        <v>8</v>
      </c>
    </row>
    <row r="842" spans="1:14" x14ac:dyDescent="0.35">
      <c r="A842" t="str">
        <f t="shared" si="39"/>
        <v>18097360201_2024</v>
      </c>
      <c r="B842">
        <v>18097360201</v>
      </c>
      <c r="C842">
        <v>2024</v>
      </c>
      <c r="D842">
        <v>-7.9059394479450845E-2</v>
      </c>
      <c r="E842">
        <v>-1.6849402031056358E-2</v>
      </c>
      <c r="F842">
        <v>1.3659117150145881</v>
      </c>
      <c r="G842">
        <v>-0.1032980261929603</v>
      </c>
      <c r="H842">
        <v>0.1201977214231988</v>
      </c>
      <c r="I842">
        <v>-1.2942166318493129</v>
      </c>
      <c r="J842">
        <v>0.3547068190926384</v>
      </c>
      <c r="K842">
        <v>-5.3310739287281507E-2</v>
      </c>
      <c r="M842">
        <f t="shared" si="40"/>
        <v>0.29408206169036333</v>
      </c>
      <c r="N842">
        <f t="shared" si="41"/>
        <v>8</v>
      </c>
    </row>
    <row r="843" spans="1:14" x14ac:dyDescent="0.35">
      <c r="A843" t="str">
        <f t="shared" si="39"/>
        <v>18097360201_2025</v>
      </c>
      <c r="B843">
        <v>18097360201</v>
      </c>
      <c r="C843">
        <v>2025</v>
      </c>
      <c r="D843">
        <v>-0.445503081525992</v>
      </c>
      <c r="E843">
        <v>-0.1640011112418133</v>
      </c>
      <c r="F843">
        <v>7.7415901787822247E-2</v>
      </c>
      <c r="G843">
        <v>-0.1501776861832553</v>
      </c>
      <c r="H843">
        <v>0.21933209183946151</v>
      </c>
      <c r="I843">
        <v>-1.858047914051516</v>
      </c>
      <c r="J843">
        <v>0.50802466093684528</v>
      </c>
      <c r="K843">
        <v>-0.51937769247690579</v>
      </c>
      <c r="M843">
        <f t="shared" si="40"/>
        <v>-2.3323348309153533</v>
      </c>
      <c r="N843">
        <f t="shared" si="41"/>
        <v>8</v>
      </c>
    </row>
    <row r="844" spans="1:14" x14ac:dyDescent="0.35">
      <c r="A844" t="str">
        <f t="shared" si="39"/>
        <v>18097360201_2026</v>
      </c>
      <c r="B844">
        <v>18097360201</v>
      </c>
      <c r="C844">
        <v>2026</v>
      </c>
      <c r="D844">
        <v>-0.31378642074565533</v>
      </c>
      <c r="E844">
        <v>-0.1007851302581612</v>
      </c>
      <c r="F844">
        <v>0.50121473232277025</v>
      </c>
      <c r="G844">
        <v>-0.19606431143458211</v>
      </c>
      <c r="H844">
        <v>0.27056361333700679</v>
      </c>
      <c r="I844">
        <v>-1.9733128426298461</v>
      </c>
      <c r="J844">
        <v>0.46756752188766298</v>
      </c>
      <c r="K844">
        <v>-0.57375286934166303</v>
      </c>
      <c r="M844">
        <f t="shared" si="40"/>
        <v>-1.9183557068624677</v>
      </c>
      <c r="N844">
        <f t="shared" si="41"/>
        <v>8</v>
      </c>
    </row>
    <row r="845" spans="1:14" x14ac:dyDescent="0.35">
      <c r="A845" t="str">
        <f t="shared" si="39"/>
        <v>18097360201_2027</v>
      </c>
      <c r="B845">
        <v>18097360201</v>
      </c>
      <c r="C845">
        <v>2027</v>
      </c>
      <c r="D845">
        <v>-0.34866317894127857</v>
      </c>
      <c r="E845">
        <v>-8.48406080630036E-2</v>
      </c>
      <c r="F845">
        <v>0.409740410894046</v>
      </c>
      <c r="G845">
        <v>-0.18052750992946939</v>
      </c>
      <c r="H845">
        <v>0.1067650308767599</v>
      </c>
      <c r="I845">
        <v>-1.824609438510485</v>
      </c>
      <c r="J845">
        <v>0.43436878817831548</v>
      </c>
      <c r="K845">
        <v>-0.51830051744038841</v>
      </c>
      <c r="M845">
        <f t="shared" si="40"/>
        <v>-2.0060670229355035</v>
      </c>
      <c r="N845">
        <f t="shared" si="41"/>
        <v>8</v>
      </c>
    </row>
    <row r="846" spans="1:14" x14ac:dyDescent="0.35">
      <c r="A846" t="str">
        <f t="shared" si="39"/>
        <v>18097360201_2028</v>
      </c>
      <c r="B846">
        <v>18097360201</v>
      </c>
      <c r="C846">
        <v>2028</v>
      </c>
      <c r="D846">
        <v>-0.47097470566262389</v>
      </c>
      <c r="E846">
        <v>6.6539847386497498E-3</v>
      </c>
      <c r="F846">
        <v>0.56352798512543989</v>
      </c>
      <c r="G846">
        <v>-0.1881466643549054</v>
      </c>
      <c r="H846">
        <v>-1.4924266914989831E-2</v>
      </c>
      <c r="I846">
        <v>-1.6465648055574471</v>
      </c>
      <c r="J846">
        <v>0.41601943637508271</v>
      </c>
      <c r="K846">
        <v>-0.50523789626955329</v>
      </c>
      <c r="M846">
        <f t="shared" si="40"/>
        <v>-1.8396469325203473</v>
      </c>
      <c r="N846">
        <f t="shared" si="41"/>
        <v>8</v>
      </c>
    </row>
    <row r="847" spans="1:14" x14ac:dyDescent="0.35">
      <c r="A847" t="str">
        <f t="shared" si="39"/>
        <v>18097360202_2024</v>
      </c>
      <c r="B847">
        <v>18097360202</v>
      </c>
      <c r="C847">
        <v>2024</v>
      </c>
      <c r="D847">
        <v>-7.131619706632239E-2</v>
      </c>
      <c r="E847">
        <v>-4.0150514417315168</v>
      </c>
      <c r="F847">
        <v>-1.26997503332349</v>
      </c>
      <c r="G847">
        <v>0.29622228033778708</v>
      </c>
      <c r="I847">
        <v>0.80536827769036812</v>
      </c>
      <c r="J847">
        <v>0.32775377213033929</v>
      </c>
      <c r="K847">
        <v>-8.1134232271158749E-2</v>
      </c>
      <c r="M847">
        <f t="shared" si="40"/>
        <v>-4.0081325742339944</v>
      </c>
      <c r="N847">
        <f t="shared" si="41"/>
        <v>7</v>
      </c>
    </row>
    <row r="848" spans="1:14" x14ac:dyDescent="0.35">
      <c r="A848" t="str">
        <f t="shared" si="39"/>
        <v>18097360202_2025</v>
      </c>
      <c r="B848">
        <v>18097360202</v>
      </c>
      <c r="C848">
        <v>2025</v>
      </c>
      <c r="D848">
        <v>-0.41053658576477292</v>
      </c>
      <c r="E848">
        <v>-2.914939666939917</v>
      </c>
      <c r="F848">
        <v>-1.329172225422566</v>
      </c>
      <c r="G848">
        <v>0.30955937370708808</v>
      </c>
      <c r="I848">
        <v>0.61696060889739313</v>
      </c>
      <c r="J848">
        <v>0.48698753062908068</v>
      </c>
      <c r="K848">
        <v>-0.63850030001519487</v>
      </c>
      <c r="M848">
        <f t="shared" si="40"/>
        <v>-3.8796412649088894</v>
      </c>
      <c r="N848">
        <f t="shared" si="41"/>
        <v>7</v>
      </c>
    </row>
    <row r="849" spans="1:14" x14ac:dyDescent="0.35">
      <c r="A849" t="str">
        <f t="shared" si="39"/>
        <v>18097360202_2026</v>
      </c>
      <c r="B849">
        <v>18097360202</v>
      </c>
      <c r="C849">
        <v>2026</v>
      </c>
      <c r="D849">
        <v>-0.30602982252118349</v>
      </c>
      <c r="E849">
        <v>-4.2326663763612631</v>
      </c>
      <c r="F849">
        <v>-1.0261674711695601</v>
      </c>
      <c r="G849">
        <v>-5.53299514486583E-2</v>
      </c>
      <c r="I849">
        <v>0.63342094439567653</v>
      </c>
      <c r="J849">
        <v>0.44960072552297797</v>
      </c>
      <c r="K849">
        <v>-0.69849829577536471</v>
      </c>
      <c r="M849">
        <f t="shared" si="40"/>
        <v>-5.2356702473573753</v>
      </c>
      <c r="N849">
        <f t="shared" si="41"/>
        <v>7</v>
      </c>
    </row>
    <row r="850" spans="1:14" x14ac:dyDescent="0.35">
      <c r="A850" t="str">
        <f t="shared" si="39"/>
        <v>18097360202_2027</v>
      </c>
      <c r="B850">
        <v>18097360202</v>
      </c>
      <c r="C850">
        <v>2027</v>
      </c>
      <c r="D850">
        <v>-0.31203927341385113</v>
      </c>
      <c r="E850">
        <v>-5.1994307118287857</v>
      </c>
      <c r="F850">
        <v>-1.0204960242956209</v>
      </c>
      <c r="G850">
        <v>-0.19323138521500469</v>
      </c>
      <c r="I850">
        <v>0.56829375165886786</v>
      </c>
      <c r="J850">
        <v>0.4172965691500139</v>
      </c>
      <c r="K850">
        <v>-0.64438809671485298</v>
      </c>
      <c r="M850">
        <f t="shared" si="40"/>
        <v>-6.3839951706592339</v>
      </c>
      <c r="N850">
        <f t="shared" si="41"/>
        <v>7</v>
      </c>
    </row>
    <row r="851" spans="1:14" x14ac:dyDescent="0.35">
      <c r="A851" t="str">
        <f t="shared" si="39"/>
        <v>18097360202_2028</v>
      </c>
      <c r="B851">
        <v>18097360202</v>
      </c>
      <c r="C851">
        <v>2028</v>
      </c>
      <c r="D851">
        <v>-0.45128227794540238</v>
      </c>
      <c r="E851">
        <v>-6.8664420793849548</v>
      </c>
      <c r="F851">
        <v>-1.008891215035058</v>
      </c>
      <c r="G851">
        <v>-0.28171315021038001</v>
      </c>
      <c r="I851">
        <v>0.48713034882666512</v>
      </c>
      <c r="J851">
        <v>0.3992333864136749</v>
      </c>
      <c r="K851">
        <v>-0.63068052995383816</v>
      </c>
      <c r="M851">
        <f t="shared" si="40"/>
        <v>-8.3526455172892931</v>
      </c>
      <c r="N851">
        <f t="shared" si="41"/>
        <v>7</v>
      </c>
    </row>
    <row r="852" spans="1:14" x14ac:dyDescent="0.35">
      <c r="A852" t="str">
        <f t="shared" si="39"/>
        <v>18097360301_2024</v>
      </c>
      <c r="B852">
        <v>18097360301</v>
      </c>
      <c r="C852">
        <v>2024</v>
      </c>
      <c r="D852">
        <v>0.42092184016384437</v>
      </c>
      <c r="E852">
        <v>-0.26397831933437649</v>
      </c>
      <c r="F852">
        <v>0.1040224557658339</v>
      </c>
      <c r="G852">
        <v>0.28137856791166121</v>
      </c>
      <c r="I852">
        <v>-1.3482495487130499</v>
      </c>
      <c r="J852">
        <v>1.02166607833189</v>
      </c>
      <c r="K852">
        <v>8.4256080211547093E-3</v>
      </c>
      <c r="M852">
        <f t="shared" si="40"/>
        <v>0.22418668214695786</v>
      </c>
      <c r="N852">
        <f t="shared" si="41"/>
        <v>7</v>
      </c>
    </row>
    <row r="853" spans="1:14" x14ac:dyDescent="0.35">
      <c r="A853" t="str">
        <f t="shared" si="39"/>
        <v>18097360301_2025</v>
      </c>
      <c r="B853">
        <v>18097360301</v>
      </c>
      <c r="C853">
        <v>2025</v>
      </c>
      <c r="D853">
        <v>-0.81162867813668527</v>
      </c>
      <c r="E853">
        <v>-0.72020610252303208</v>
      </c>
      <c r="F853">
        <v>0.1074173910312408</v>
      </c>
      <c r="G853">
        <v>0.1437359445417323</v>
      </c>
      <c r="I853">
        <v>-3.243833534593207</v>
      </c>
      <c r="J853">
        <v>0.55155773887719428</v>
      </c>
      <c r="K853">
        <v>-0.32470131210059078</v>
      </c>
      <c r="M853">
        <f t="shared" si="40"/>
        <v>-4.2976585529033473</v>
      </c>
      <c r="N853">
        <f t="shared" si="41"/>
        <v>7</v>
      </c>
    </row>
    <row r="854" spans="1:14" x14ac:dyDescent="0.35">
      <c r="A854" t="str">
        <f t="shared" si="39"/>
        <v>18097360301_2026</v>
      </c>
      <c r="B854">
        <v>18097360301</v>
      </c>
      <c r="C854">
        <v>2026</v>
      </c>
      <c r="D854">
        <v>8.8390151574094904E-3</v>
      </c>
      <c r="E854">
        <v>-0.70411203200977091</v>
      </c>
      <c r="F854">
        <v>0.20303424562453121</v>
      </c>
      <c r="G854">
        <v>-0.2097475311510073</v>
      </c>
      <c r="I854">
        <v>-3.2769804565369278</v>
      </c>
      <c r="J854">
        <v>0.47278985624095338</v>
      </c>
      <c r="K854">
        <v>-0.39745746070797339</v>
      </c>
      <c r="M854">
        <f t="shared" si="40"/>
        <v>-3.9036343633827855</v>
      </c>
      <c r="N854">
        <f t="shared" si="41"/>
        <v>7</v>
      </c>
    </row>
    <row r="855" spans="1:14" x14ac:dyDescent="0.35">
      <c r="A855" t="str">
        <f t="shared" si="39"/>
        <v>18097360301_2027</v>
      </c>
      <c r="B855">
        <v>18097360301</v>
      </c>
      <c r="C855">
        <v>2027</v>
      </c>
      <c r="D855">
        <v>-0.49718283569236488</v>
      </c>
      <c r="E855">
        <v>-0.70136199435091084</v>
      </c>
      <c r="F855">
        <v>0.2580671087563306</v>
      </c>
      <c r="G855">
        <v>-0.34002783904149242</v>
      </c>
      <c r="I855">
        <v>-3.7259443474523519</v>
      </c>
      <c r="J855">
        <v>0.42938626512493988</v>
      </c>
      <c r="K855">
        <v>-0.35128340108801698</v>
      </c>
      <c r="M855">
        <f t="shared" si="40"/>
        <v>-4.9283470437438659</v>
      </c>
      <c r="N855">
        <f t="shared" si="41"/>
        <v>7</v>
      </c>
    </row>
    <row r="856" spans="1:14" x14ac:dyDescent="0.35">
      <c r="A856" t="str">
        <f t="shared" si="39"/>
        <v>18097360301_2028</v>
      </c>
      <c r="B856">
        <v>18097360301</v>
      </c>
      <c r="C856">
        <v>2028</v>
      </c>
      <c r="D856">
        <v>-0.34171511985772351</v>
      </c>
      <c r="E856">
        <v>-0.57399022815710932</v>
      </c>
      <c r="F856">
        <v>0.33838748265838842</v>
      </c>
      <c r="G856">
        <v>-0.39130920082057591</v>
      </c>
      <c r="I856">
        <v>-4.2613222489413456</v>
      </c>
      <c r="J856">
        <v>0.41003736503158822</v>
      </c>
      <c r="K856">
        <v>-0.34346497345405241</v>
      </c>
      <c r="M856">
        <f t="shared" si="40"/>
        <v>-5.16337692354083</v>
      </c>
      <c r="N856">
        <f t="shared" si="41"/>
        <v>7</v>
      </c>
    </row>
    <row r="857" spans="1:14" x14ac:dyDescent="0.35">
      <c r="A857" t="str">
        <f t="shared" si="39"/>
        <v>18097360302_2024</v>
      </c>
      <c r="B857">
        <v>18097360302</v>
      </c>
      <c r="C857">
        <v>2024</v>
      </c>
      <c r="D857">
        <v>0.33795489679680979</v>
      </c>
      <c r="E857">
        <v>1.8274087284321561E-2</v>
      </c>
      <c r="F857">
        <v>0.79136140970565583</v>
      </c>
      <c r="G857">
        <v>-0.40170620823426129</v>
      </c>
      <c r="H857">
        <v>0.13804072944009399</v>
      </c>
      <c r="I857">
        <v>0.98035201651910442</v>
      </c>
      <c r="J857">
        <v>1.0578709161923781</v>
      </c>
      <c r="K857">
        <v>9.3653721991167008E-3</v>
      </c>
      <c r="M857">
        <f t="shared" si="40"/>
        <v>2.931513219903219</v>
      </c>
      <c r="N857">
        <f t="shared" si="41"/>
        <v>8</v>
      </c>
    </row>
    <row r="858" spans="1:14" x14ac:dyDescent="0.35">
      <c r="A858" t="str">
        <f t="shared" si="39"/>
        <v>18097360302_2025</v>
      </c>
      <c r="B858">
        <v>18097360302</v>
      </c>
      <c r="C858">
        <v>2025</v>
      </c>
      <c r="D858">
        <v>-0.86929136215087954</v>
      </c>
      <c r="E858">
        <v>0.2025588737343772</v>
      </c>
      <c r="F858">
        <v>0.42168905163196152</v>
      </c>
      <c r="G858">
        <v>-0.95194947469712621</v>
      </c>
      <c r="H858">
        <v>0.46007761847315543</v>
      </c>
      <c r="I858">
        <v>0.48055105703553957</v>
      </c>
      <c r="J858">
        <v>0.61632742999067291</v>
      </c>
      <c r="K858">
        <v>-0.32210864325063648</v>
      </c>
      <c r="M858">
        <f t="shared" si="40"/>
        <v>3.7854550767064343E-2</v>
      </c>
      <c r="N858">
        <f t="shared" si="41"/>
        <v>8</v>
      </c>
    </row>
    <row r="859" spans="1:14" x14ac:dyDescent="0.35">
      <c r="A859" t="str">
        <f t="shared" si="39"/>
        <v>18097360302_2026</v>
      </c>
      <c r="B859">
        <v>18097360302</v>
      </c>
      <c r="C859">
        <v>2026</v>
      </c>
      <c r="D859">
        <v>-3.4223930704715043E-2</v>
      </c>
      <c r="E859">
        <v>0.35808096548371449</v>
      </c>
      <c r="F859">
        <v>0.14192939826946749</v>
      </c>
      <c r="G859">
        <v>-0.95507349687274445</v>
      </c>
      <c r="H859">
        <v>0.46426453985688892</v>
      </c>
      <c r="I859">
        <v>0.2696077050111288</v>
      </c>
      <c r="J859">
        <v>0.53274400104485387</v>
      </c>
      <c r="K859">
        <v>-0.39413544519560539</v>
      </c>
      <c r="M859">
        <f t="shared" si="40"/>
        <v>0.38319373689298875</v>
      </c>
      <c r="N859">
        <f t="shared" si="41"/>
        <v>8</v>
      </c>
    </row>
    <row r="860" spans="1:14" x14ac:dyDescent="0.35">
      <c r="A860" t="str">
        <f t="shared" si="39"/>
        <v>18097360302_2027</v>
      </c>
      <c r="B860">
        <v>18097360302</v>
      </c>
      <c r="C860">
        <v>2027</v>
      </c>
      <c r="D860">
        <v>-0.59067369361358291</v>
      </c>
      <c r="E860">
        <v>0.36513261661906538</v>
      </c>
      <c r="F860">
        <v>0.39261005694732182</v>
      </c>
      <c r="G860">
        <v>-1.064947366481396</v>
      </c>
      <c r="H860">
        <v>0.31510691066782742</v>
      </c>
      <c r="I860">
        <v>0.2368665585550678</v>
      </c>
      <c r="J860">
        <v>0.48903713071241428</v>
      </c>
      <c r="K860">
        <v>-0.34764600525552858</v>
      </c>
      <c r="M860">
        <f t="shared" si="40"/>
        <v>-0.2045137918488108</v>
      </c>
      <c r="N860">
        <f t="shared" si="41"/>
        <v>8</v>
      </c>
    </row>
    <row r="861" spans="1:14" x14ac:dyDescent="0.35">
      <c r="A861" t="str">
        <f t="shared" si="39"/>
        <v>18097360302_2028</v>
      </c>
      <c r="B861">
        <v>18097360302</v>
      </c>
      <c r="C861">
        <v>2028</v>
      </c>
      <c r="D861">
        <v>-0.39649420427530108</v>
      </c>
      <c r="E861">
        <v>0.40651008061383798</v>
      </c>
      <c r="F861">
        <v>0.32702701561178138</v>
      </c>
      <c r="G861">
        <v>-1.0096437577389019</v>
      </c>
      <c r="H861">
        <v>0.17486877603005949</v>
      </c>
      <c r="I861">
        <v>0.23426765648195499</v>
      </c>
      <c r="J861">
        <v>0.46908414666303061</v>
      </c>
      <c r="K861">
        <v>-0.33975724277501218</v>
      </c>
      <c r="M861">
        <f t="shared" si="40"/>
        <v>-0.13413752938855067</v>
      </c>
      <c r="N861">
        <f t="shared" si="41"/>
        <v>8</v>
      </c>
    </row>
    <row r="862" spans="1:14" x14ac:dyDescent="0.35">
      <c r="A862" t="str">
        <f t="shared" si="39"/>
        <v>18097360401_2024</v>
      </c>
      <c r="B862">
        <v>18097360401</v>
      </c>
      <c r="C862">
        <v>2024</v>
      </c>
      <c r="D862">
        <v>3.6094485087164348E-2</v>
      </c>
      <c r="E862">
        <v>0.46479149493783189</v>
      </c>
      <c r="F862">
        <v>1.1319589948938891</v>
      </c>
      <c r="G862">
        <v>-5.7722240750389557E-2</v>
      </c>
      <c r="H862">
        <v>0.25633772344104322</v>
      </c>
      <c r="I862">
        <v>-2.0261380657383992</v>
      </c>
      <c r="J862">
        <v>0.20737304329190839</v>
      </c>
      <c r="K862">
        <v>-0.34502652833154002</v>
      </c>
      <c r="M862">
        <f t="shared" si="40"/>
        <v>-0.33233109316849174</v>
      </c>
      <c r="N862">
        <f t="shared" si="41"/>
        <v>8</v>
      </c>
    </row>
    <row r="863" spans="1:14" x14ac:dyDescent="0.35">
      <c r="A863" t="str">
        <f t="shared" si="39"/>
        <v>18097360401_2025</v>
      </c>
      <c r="B863">
        <v>18097360401</v>
      </c>
      <c r="C863">
        <v>2025</v>
      </c>
      <c r="D863">
        <v>0.46179982265868152</v>
      </c>
      <c r="E863">
        <v>0.49912900279624328</v>
      </c>
      <c r="F863">
        <v>0.30004520354591702</v>
      </c>
      <c r="G863">
        <v>-0.22445107584230639</v>
      </c>
      <c r="H863">
        <v>0.52880625151160265</v>
      </c>
      <c r="I863">
        <v>-3.1188228806444869</v>
      </c>
      <c r="J863">
        <v>-7.5919697851466336E-2</v>
      </c>
      <c r="K863">
        <v>-0.87303157098452033</v>
      </c>
      <c r="M863">
        <f t="shared" si="40"/>
        <v>-2.5024449448103354</v>
      </c>
      <c r="N863">
        <f t="shared" si="41"/>
        <v>8</v>
      </c>
    </row>
    <row r="864" spans="1:14" x14ac:dyDescent="0.35">
      <c r="A864" t="str">
        <f t="shared" si="39"/>
        <v>18097360401_2026</v>
      </c>
      <c r="B864">
        <v>18097360401</v>
      </c>
      <c r="C864">
        <v>2026</v>
      </c>
      <c r="D864">
        <v>0.34781223235301573</v>
      </c>
      <c r="E864">
        <v>0.60654168718873414</v>
      </c>
      <c r="F864">
        <v>-0.39881059997825852</v>
      </c>
      <c r="G864">
        <v>-0.17004644234585589</v>
      </c>
      <c r="H864">
        <v>0.66869557738239216</v>
      </c>
      <c r="I864">
        <v>-3.9566215566620762</v>
      </c>
      <c r="J864">
        <v>-0.17070804628884331</v>
      </c>
      <c r="K864">
        <v>0.18820620522904211</v>
      </c>
      <c r="M864">
        <f t="shared" si="40"/>
        <v>-2.8849309431218493</v>
      </c>
      <c r="N864">
        <f t="shared" si="41"/>
        <v>8</v>
      </c>
    </row>
    <row r="865" spans="1:14" x14ac:dyDescent="0.35">
      <c r="A865" t="str">
        <f t="shared" si="39"/>
        <v>18097360401_2027</v>
      </c>
      <c r="B865">
        <v>18097360401</v>
      </c>
      <c r="C865">
        <v>2027</v>
      </c>
      <c r="D865">
        <v>0.54742002853823857</v>
      </c>
      <c r="E865">
        <v>0.57648277380125867</v>
      </c>
      <c r="F865">
        <v>0.14136396745133839</v>
      </c>
      <c r="G865">
        <v>-0.18708308679143781</v>
      </c>
      <c r="H865">
        <v>0.51814978434475711</v>
      </c>
      <c r="I865">
        <v>-4.5858525701140298</v>
      </c>
      <c r="J865">
        <v>-0.20372004641808261</v>
      </c>
      <c r="K865">
        <v>0.48589220960377738</v>
      </c>
      <c r="M865">
        <f t="shared" si="40"/>
        <v>-2.70734693958418</v>
      </c>
      <c r="N865">
        <f t="shared" si="41"/>
        <v>8</v>
      </c>
    </row>
    <row r="866" spans="1:14" x14ac:dyDescent="0.35">
      <c r="A866" t="str">
        <f t="shared" si="39"/>
        <v>18097360401_2028</v>
      </c>
      <c r="B866">
        <v>18097360401</v>
      </c>
      <c r="C866">
        <v>2028</v>
      </c>
      <c r="D866">
        <v>0.43515784843719268</v>
      </c>
      <c r="E866">
        <v>0.58412921139779972</v>
      </c>
      <c r="F866">
        <v>-0.26518473529032932</v>
      </c>
      <c r="G866">
        <v>-0.18177644698695891</v>
      </c>
      <c r="H866">
        <v>0.38464738634167089</v>
      </c>
      <c r="I866">
        <v>-6.2608818936511401</v>
      </c>
      <c r="J866">
        <v>-0.21735439695712691</v>
      </c>
      <c r="K866">
        <v>-0.39108221070265348</v>
      </c>
      <c r="M866">
        <f t="shared" si="40"/>
        <v>-5.9123452374115457</v>
      </c>
      <c r="N866">
        <f t="shared" si="41"/>
        <v>8</v>
      </c>
    </row>
    <row r="867" spans="1:14" x14ac:dyDescent="0.35">
      <c r="A867" t="str">
        <f t="shared" si="39"/>
        <v>18097360402_2024</v>
      </c>
      <c r="B867">
        <v>18097360402</v>
      </c>
      <c r="C867">
        <v>2024</v>
      </c>
      <c r="D867">
        <v>-6.1891559811276829E-2</v>
      </c>
      <c r="E867">
        <v>0.24445433517286261</v>
      </c>
      <c r="F867">
        <v>0.31450894260078283</v>
      </c>
      <c r="G867">
        <v>8.0667752680929006</v>
      </c>
      <c r="J867">
        <v>0.61001330065614767</v>
      </c>
      <c r="K867">
        <v>-4.1437865436639437E-2</v>
      </c>
      <c r="M867">
        <f t="shared" si="40"/>
        <v>9.1324224212747769</v>
      </c>
      <c r="N867">
        <f t="shared" si="41"/>
        <v>6</v>
      </c>
    </row>
    <row r="868" spans="1:14" x14ac:dyDescent="0.35">
      <c r="A868" t="str">
        <f t="shared" si="39"/>
        <v>18097360402_2025</v>
      </c>
      <c r="B868">
        <v>18097360402</v>
      </c>
      <c r="C868">
        <v>2025</v>
      </c>
      <c r="D868">
        <v>0.74722934263346641</v>
      </c>
      <c r="E868">
        <v>0.20049770397444011</v>
      </c>
      <c r="F868">
        <v>0.51663908893615662</v>
      </c>
      <c r="G868">
        <v>-0.93054230041445696</v>
      </c>
      <c r="J868">
        <v>0.16363198490896069</v>
      </c>
      <c r="K868">
        <v>-0.59765455748175655</v>
      </c>
      <c r="M868">
        <f t="shared" si="40"/>
        <v>9.9801262556810322E-2</v>
      </c>
      <c r="N868">
        <f t="shared" si="41"/>
        <v>6</v>
      </c>
    </row>
    <row r="869" spans="1:14" x14ac:dyDescent="0.35">
      <c r="A869" t="str">
        <f t="shared" si="39"/>
        <v>18097360402_2026</v>
      </c>
      <c r="B869">
        <v>18097360402</v>
      </c>
      <c r="C869">
        <v>2026</v>
      </c>
      <c r="D869">
        <v>1.53017200423087E-2</v>
      </c>
      <c r="E869">
        <v>0.29511896629334861</v>
      </c>
      <c r="F869">
        <v>0.56983302486489729</v>
      </c>
      <c r="G869">
        <v>-0.94074570350843478</v>
      </c>
      <c r="J869">
        <v>7.9089834447403182E-2</v>
      </c>
      <c r="K869">
        <v>-0.70216302551208742</v>
      </c>
      <c r="M869">
        <f t="shared" si="40"/>
        <v>-0.68356518337256444</v>
      </c>
      <c r="N869">
        <f t="shared" si="41"/>
        <v>6</v>
      </c>
    </row>
    <row r="870" spans="1:14" x14ac:dyDescent="0.35">
      <c r="A870" t="str">
        <f t="shared" si="39"/>
        <v>18097360402_2027</v>
      </c>
      <c r="B870">
        <v>18097360402</v>
      </c>
      <c r="C870">
        <v>2027</v>
      </c>
      <c r="D870">
        <v>0.69900420440344979</v>
      </c>
      <c r="E870">
        <v>0.29233558545488791</v>
      </c>
      <c r="F870">
        <v>0.65685975545674447</v>
      </c>
      <c r="G870">
        <v>-1.047747079609612</v>
      </c>
      <c r="J870">
        <v>4.1977799849089878E-2</v>
      </c>
      <c r="K870">
        <v>-0.66997758733782375</v>
      </c>
      <c r="M870">
        <f t="shared" si="40"/>
        <v>-2.754732178326369E-2</v>
      </c>
      <c r="N870">
        <f t="shared" si="41"/>
        <v>6</v>
      </c>
    </row>
    <row r="871" spans="1:14" x14ac:dyDescent="0.35">
      <c r="A871" t="str">
        <f t="shared" si="39"/>
        <v>18097360402_2028</v>
      </c>
      <c r="B871">
        <v>18097360402</v>
      </c>
      <c r="C871">
        <v>2028</v>
      </c>
      <c r="D871">
        <v>0.28878381084258381</v>
      </c>
      <c r="E871">
        <v>0.3414937580664939</v>
      </c>
      <c r="F871">
        <v>0.76805614059449001</v>
      </c>
      <c r="G871">
        <v>-0.99369702310098917</v>
      </c>
      <c r="J871">
        <v>2.61155386734695E-2</v>
      </c>
      <c r="K871">
        <v>-0.66728535956851331</v>
      </c>
      <c r="M871">
        <f t="shared" si="40"/>
        <v>-0.23653313449246527</v>
      </c>
      <c r="N871">
        <f t="shared" si="41"/>
        <v>6</v>
      </c>
    </row>
    <row r="872" spans="1:14" x14ac:dyDescent="0.35">
      <c r="A872" t="str">
        <f t="shared" si="39"/>
        <v>18097360405_2024</v>
      </c>
      <c r="B872">
        <v>18097360405</v>
      </c>
      <c r="C872">
        <v>2024</v>
      </c>
      <c r="D872">
        <v>3.4638935215660589E-2</v>
      </c>
      <c r="E872">
        <v>0.31417972315189602</v>
      </c>
      <c r="F872">
        <v>-0.51067332210781213</v>
      </c>
      <c r="G872">
        <v>-0.21528353415010809</v>
      </c>
      <c r="I872">
        <v>-1.0335932585796319</v>
      </c>
      <c r="J872">
        <v>0.20570872763342879</v>
      </c>
      <c r="K872">
        <v>-0.34516443945952979</v>
      </c>
      <c r="M872">
        <f t="shared" si="40"/>
        <v>-1.5501871682960964</v>
      </c>
      <c r="N872">
        <f t="shared" si="41"/>
        <v>7</v>
      </c>
    </row>
    <row r="873" spans="1:14" x14ac:dyDescent="0.35">
      <c r="A873" t="str">
        <f t="shared" si="39"/>
        <v>18097360405_2025</v>
      </c>
      <c r="B873">
        <v>18097360405</v>
      </c>
      <c r="C873">
        <v>2025</v>
      </c>
      <c r="D873">
        <v>0.47024469787634099</v>
      </c>
      <c r="E873">
        <v>0.1958514428882023</v>
      </c>
      <c r="F873">
        <v>-0.51864253997597232</v>
      </c>
      <c r="G873">
        <v>0.23042451184483581</v>
      </c>
      <c r="I873">
        <v>3.1659038014628729E-2</v>
      </c>
      <c r="J873">
        <v>-7.731129469775197E-2</v>
      </c>
      <c r="K873">
        <v>-0.87351601606205598</v>
      </c>
      <c r="M873">
        <f t="shared" si="40"/>
        <v>-0.54129016011177244</v>
      </c>
      <c r="N873">
        <f t="shared" si="41"/>
        <v>7</v>
      </c>
    </row>
    <row r="874" spans="1:14" x14ac:dyDescent="0.35">
      <c r="A874" t="str">
        <f t="shared" si="39"/>
        <v>18097360405_2026</v>
      </c>
      <c r="B874">
        <v>18097360405</v>
      </c>
      <c r="C874">
        <v>2026</v>
      </c>
      <c r="D874">
        <v>0.35157314264148709</v>
      </c>
      <c r="E874">
        <v>0.3117423504433649</v>
      </c>
      <c r="F874">
        <v>0.1789643159137235</v>
      </c>
      <c r="G874">
        <v>-0.19457321380609849</v>
      </c>
      <c r="I874">
        <v>-0.49120808130881061</v>
      </c>
      <c r="J874">
        <v>-0.1720892821096236</v>
      </c>
      <c r="K874">
        <v>0.18807581884414989</v>
      </c>
      <c r="M874">
        <f t="shared" si="40"/>
        <v>0.17248505061819266</v>
      </c>
      <c r="N874">
        <f t="shared" si="41"/>
        <v>7</v>
      </c>
    </row>
    <row r="875" spans="1:14" x14ac:dyDescent="0.35">
      <c r="A875" t="str">
        <f t="shared" si="39"/>
        <v>18097360405_2027</v>
      </c>
      <c r="B875">
        <v>18097360405</v>
      </c>
      <c r="C875">
        <v>2027</v>
      </c>
      <c r="D875">
        <v>0.55463731708065467</v>
      </c>
      <c r="E875">
        <v>0.30458147014532388</v>
      </c>
      <c r="F875">
        <v>-0.40538755674186311</v>
      </c>
      <c r="G875">
        <v>9.8425345607076636E-2</v>
      </c>
      <c r="I875">
        <v>-0.14008035242979339</v>
      </c>
      <c r="J875">
        <v>-0.20508271810540701</v>
      </c>
      <c r="K875">
        <v>0.48627724755521667</v>
      </c>
      <c r="M875">
        <f t="shared" si="40"/>
        <v>0.69337075311120833</v>
      </c>
      <c r="N875">
        <f t="shared" si="41"/>
        <v>7</v>
      </c>
    </row>
    <row r="876" spans="1:14" x14ac:dyDescent="0.35">
      <c r="A876" t="str">
        <f t="shared" si="39"/>
        <v>18097360405_2028</v>
      </c>
      <c r="B876">
        <v>18097360405</v>
      </c>
      <c r="C876">
        <v>2028</v>
      </c>
      <c r="D876">
        <v>0.4415596181337888</v>
      </c>
      <c r="E876">
        <v>0.35256957918836362</v>
      </c>
      <c r="F876">
        <v>9.43822371545706E-2</v>
      </c>
      <c r="G876">
        <v>-9.3792410457532463E-2</v>
      </c>
      <c r="I876">
        <v>-0.1147270481434232</v>
      </c>
      <c r="J876">
        <v>-0.2187044631091305</v>
      </c>
      <c r="K876">
        <v>-0.39076342792138341</v>
      </c>
      <c r="M876">
        <f t="shared" si="40"/>
        <v>7.0524084845253521E-2</v>
      </c>
      <c r="N876">
        <f t="shared" si="41"/>
        <v>7</v>
      </c>
    </row>
    <row r="877" spans="1:14" x14ac:dyDescent="0.35">
      <c r="A877" t="str">
        <f t="shared" si="39"/>
        <v>18097360406_2024</v>
      </c>
      <c r="B877">
        <v>18097360406</v>
      </c>
      <c r="C877">
        <v>2024</v>
      </c>
      <c r="D877">
        <v>-6.1905051918914017E-2</v>
      </c>
      <c r="F877">
        <v>0.82603334486518221</v>
      </c>
      <c r="J877">
        <v>0.61001330065614767</v>
      </c>
      <c r="K877">
        <v>-4.1437865436639437E-2</v>
      </c>
      <c r="M877">
        <f t="shared" si="40"/>
        <v>1.3327037281657765</v>
      </c>
      <c r="N877">
        <f t="shared" si="41"/>
        <v>4</v>
      </c>
    </row>
    <row r="878" spans="1:14" x14ac:dyDescent="0.35">
      <c r="A878" t="str">
        <f t="shared" si="39"/>
        <v>18097360406_2025</v>
      </c>
      <c r="B878">
        <v>18097360406</v>
      </c>
      <c r="C878">
        <v>2025</v>
      </c>
      <c r="D878">
        <v>0.74723074929387645</v>
      </c>
      <c r="F878">
        <v>-0.34010167254456569</v>
      </c>
      <c r="J878">
        <v>0.16363198490896069</v>
      </c>
      <c r="K878">
        <v>-0.59765455748175655</v>
      </c>
      <c r="M878">
        <f t="shared" si="40"/>
        <v>-2.6893495823485103E-2</v>
      </c>
      <c r="N878">
        <f t="shared" si="41"/>
        <v>4</v>
      </c>
    </row>
    <row r="879" spans="1:14" x14ac:dyDescent="0.35">
      <c r="A879" t="str">
        <f t="shared" si="39"/>
        <v>18097360406_2026</v>
      </c>
      <c r="B879">
        <v>18097360406</v>
      </c>
      <c r="C879">
        <v>2026</v>
      </c>
      <c r="D879">
        <v>1.528878581998641E-2</v>
      </c>
      <c r="F879">
        <v>0.84859107868860362</v>
      </c>
      <c r="J879">
        <v>7.9089834447403182E-2</v>
      </c>
      <c r="K879">
        <v>-0.70216302551208742</v>
      </c>
      <c r="M879">
        <f t="shared" si="40"/>
        <v>0.24080667344390572</v>
      </c>
      <c r="N879">
        <f t="shared" si="41"/>
        <v>4</v>
      </c>
    </row>
    <row r="880" spans="1:14" x14ac:dyDescent="0.35">
      <c r="A880" t="str">
        <f t="shared" si="39"/>
        <v>18097360406_2027</v>
      </c>
      <c r="B880">
        <v>18097360406</v>
      </c>
      <c r="C880">
        <v>2027</v>
      </c>
      <c r="D880">
        <v>0.69899843402177453</v>
      </c>
      <c r="F880">
        <v>-0.37357723725403519</v>
      </c>
      <c r="J880">
        <v>4.1977799849089878E-2</v>
      </c>
      <c r="K880">
        <v>-0.66997758733782375</v>
      </c>
      <c r="M880">
        <f t="shared" si="40"/>
        <v>-0.30257859072099452</v>
      </c>
      <c r="N880">
        <f t="shared" si="41"/>
        <v>4</v>
      </c>
    </row>
    <row r="881" spans="1:14" x14ac:dyDescent="0.35">
      <c r="A881" t="str">
        <f t="shared" si="39"/>
        <v>18097360406_2028</v>
      </c>
      <c r="B881">
        <v>18097360406</v>
      </c>
      <c r="C881">
        <v>2028</v>
      </c>
      <c r="D881">
        <v>0.28877358480374571</v>
      </c>
      <c r="F881">
        <v>1.0858384122119069</v>
      </c>
      <c r="J881">
        <v>2.61155386734695E-2</v>
      </c>
      <c r="K881">
        <v>-0.66728535956851331</v>
      </c>
      <c r="M881">
        <f t="shared" si="40"/>
        <v>0.73344217612060869</v>
      </c>
      <c r="N881">
        <f t="shared" si="41"/>
        <v>4</v>
      </c>
    </row>
    <row r="882" spans="1:14" x14ac:dyDescent="0.35">
      <c r="A882" t="str">
        <f t="shared" si="39"/>
        <v>18097360407_2024</v>
      </c>
      <c r="B882">
        <v>18097360407</v>
      </c>
      <c r="C882">
        <v>2024</v>
      </c>
      <c r="D882">
        <v>-4.9665790399211068E-2</v>
      </c>
      <c r="E882">
        <v>1.006721032473284</v>
      </c>
      <c r="F882">
        <v>0.1277914130265633</v>
      </c>
      <c r="G882">
        <v>-7.9627292036195604E-2</v>
      </c>
      <c r="I882">
        <v>-0.30737221365691442</v>
      </c>
      <c r="J882">
        <v>0.60188502095268837</v>
      </c>
      <c r="K882">
        <v>-2.8688829143754629E-2</v>
      </c>
      <c r="M882">
        <f t="shared" si="40"/>
        <v>1.2710433412164603</v>
      </c>
      <c r="N882">
        <f t="shared" si="41"/>
        <v>7</v>
      </c>
    </row>
    <row r="883" spans="1:14" x14ac:dyDescent="0.35">
      <c r="A883" t="str">
        <f t="shared" si="39"/>
        <v>18097360407_2025</v>
      </c>
      <c r="B883">
        <v>18097360407</v>
      </c>
      <c r="C883">
        <v>2025</v>
      </c>
      <c r="D883">
        <v>0.72820219692448396</v>
      </c>
      <c r="E883">
        <v>1.4917672283514589</v>
      </c>
      <c r="F883">
        <v>0.26856234554849828</v>
      </c>
      <c r="G883">
        <v>0.61816893294727315</v>
      </c>
      <c r="I883">
        <v>-1.0086326230431739</v>
      </c>
      <c r="J883">
        <v>0.15943616544342201</v>
      </c>
      <c r="K883">
        <v>-0.52994554303927355</v>
      </c>
      <c r="M883">
        <f t="shared" si="40"/>
        <v>1.7275587031326887</v>
      </c>
      <c r="N883">
        <f t="shared" si="41"/>
        <v>7</v>
      </c>
    </row>
    <row r="884" spans="1:14" x14ac:dyDescent="0.35">
      <c r="A884" t="str">
        <f t="shared" si="39"/>
        <v>18097360407_2026</v>
      </c>
      <c r="B884">
        <v>18097360407</v>
      </c>
      <c r="C884">
        <v>2026</v>
      </c>
      <c r="D884">
        <v>2.306378687753979E-2</v>
      </c>
      <c r="E884">
        <v>1.490600051475268</v>
      </c>
      <c r="F884">
        <v>6.2707212024909337E-2</v>
      </c>
      <c r="G884">
        <v>-2.8691208859102459E-2</v>
      </c>
      <c r="I884">
        <v>-0.58802148568160151</v>
      </c>
      <c r="J884">
        <v>7.4425496413395409E-2</v>
      </c>
      <c r="K884">
        <v>-0.62287059663057021</v>
      </c>
      <c r="M884">
        <f t="shared" si="40"/>
        <v>0.41121325561983835</v>
      </c>
      <c r="N884">
        <f t="shared" si="41"/>
        <v>7</v>
      </c>
    </row>
    <row r="885" spans="1:14" x14ac:dyDescent="0.35">
      <c r="A885" t="str">
        <f t="shared" si="39"/>
        <v>18097360407_2027</v>
      </c>
      <c r="B885">
        <v>18097360407</v>
      </c>
      <c r="C885">
        <v>2027</v>
      </c>
      <c r="D885">
        <v>0.69101866048818228</v>
      </c>
      <c r="E885">
        <v>1.345384761756818</v>
      </c>
      <c r="F885">
        <v>0.16806636239183731</v>
      </c>
      <c r="G885">
        <v>0.65588230118923152</v>
      </c>
      <c r="I885">
        <v>-0.64017527523679996</v>
      </c>
      <c r="J885">
        <v>3.7419839100037162E-2</v>
      </c>
      <c r="K885">
        <v>-0.58429227405109707</v>
      </c>
      <c r="M885">
        <f t="shared" si="40"/>
        <v>1.6733043756382093</v>
      </c>
      <c r="N885">
        <f t="shared" si="41"/>
        <v>7</v>
      </c>
    </row>
    <row r="886" spans="1:14" x14ac:dyDescent="0.35">
      <c r="A886" t="str">
        <f t="shared" si="39"/>
        <v>18097360407_2028</v>
      </c>
      <c r="B886">
        <v>18097360407</v>
      </c>
      <c r="C886">
        <v>2028</v>
      </c>
      <c r="D886">
        <v>0.28717480201356899</v>
      </c>
      <c r="E886">
        <v>1.196646815456774</v>
      </c>
      <c r="F886">
        <v>0.19894079982758761</v>
      </c>
      <c r="G886">
        <v>2.337170461716007E-2</v>
      </c>
      <c r="I886">
        <v>-0.36642168499385958</v>
      </c>
      <c r="J886">
        <v>2.159631238062594E-2</v>
      </c>
      <c r="K886">
        <v>-0.57854959005887829</v>
      </c>
      <c r="M886">
        <f t="shared" si="40"/>
        <v>0.78275915924297867</v>
      </c>
      <c r="N886">
        <f t="shared" si="41"/>
        <v>7</v>
      </c>
    </row>
    <row r="887" spans="1:14" x14ac:dyDescent="0.35">
      <c r="A887" t="str">
        <f t="shared" si="39"/>
        <v>18097360501_2024</v>
      </c>
      <c r="B887">
        <v>18097360501</v>
      </c>
      <c r="C887">
        <v>2024</v>
      </c>
      <c r="D887">
        <v>3.4638811312486209E-2</v>
      </c>
      <c r="E887">
        <v>1.266989682994863</v>
      </c>
      <c r="F887">
        <v>-0.81626633076274846</v>
      </c>
      <c r="G887">
        <v>0.38733176942594322</v>
      </c>
      <c r="H887">
        <v>0.29312026690468501</v>
      </c>
      <c r="I887">
        <v>8.5652059639170705E-2</v>
      </c>
      <c r="J887">
        <v>0.20570872763342879</v>
      </c>
      <c r="K887">
        <v>-0.34516443945952979</v>
      </c>
      <c r="M887">
        <f t="shared" si="40"/>
        <v>1.1120105476882989</v>
      </c>
      <c r="N887">
        <f t="shared" si="41"/>
        <v>8</v>
      </c>
    </row>
    <row r="888" spans="1:14" x14ac:dyDescent="0.35">
      <c r="A888" t="str">
        <f t="shared" si="39"/>
        <v>18097360501_2025</v>
      </c>
      <c r="B888">
        <v>18097360501</v>
      </c>
      <c r="C888">
        <v>2025</v>
      </c>
      <c r="D888">
        <v>0.47024524154431169</v>
      </c>
      <c r="E888">
        <v>-0.59355401498488614</v>
      </c>
      <c r="F888">
        <v>-0.31270066678137698</v>
      </c>
      <c r="G888">
        <v>-8.4216797556857945E-2</v>
      </c>
      <c r="H888">
        <v>1.4912867055140291</v>
      </c>
      <c r="I888">
        <v>-0.34448479246900271</v>
      </c>
      <c r="J888">
        <v>-7.731129469775197E-2</v>
      </c>
      <c r="K888">
        <v>-0.87351601606205598</v>
      </c>
      <c r="M888">
        <f t="shared" si="40"/>
        <v>-0.32425163549359093</v>
      </c>
      <c r="N888">
        <f t="shared" si="41"/>
        <v>8</v>
      </c>
    </row>
    <row r="889" spans="1:14" x14ac:dyDescent="0.35">
      <c r="A889" t="str">
        <f t="shared" si="39"/>
        <v>18097360501_2026</v>
      </c>
      <c r="B889">
        <v>18097360501</v>
      </c>
      <c r="C889">
        <v>2026</v>
      </c>
      <c r="D889">
        <v>0.35157296692505641</v>
      </c>
      <c r="E889">
        <v>0.46148386089215637</v>
      </c>
      <c r="F889">
        <v>-0.25358297669643393</v>
      </c>
      <c r="G889">
        <v>0.2177248961831994</v>
      </c>
      <c r="H889">
        <v>1.6405795567913399</v>
      </c>
      <c r="I889">
        <v>-0.22335616235951411</v>
      </c>
      <c r="J889">
        <v>-0.1720892821096236</v>
      </c>
      <c r="K889">
        <v>0.18807581884414989</v>
      </c>
      <c r="M889">
        <f t="shared" si="40"/>
        <v>2.2104086784703303</v>
      </c>
      <c r="N889">
        <f t="shared" si="41"/>
        <v>8</v>
      </c>
    </row>
    <row r="890" spans="1:14" x14ac:dyDescent="0.35">
      <c r="A890" t="str">
        <f t="shared" si="39"/>
        <v>18097360501_2027</v>
      </c>
      <c r="B890">
        <v>18097360501</v>
      </c>
      <c r="C890">
        <v>2027</v>
      </c>
      <c r="D890">
        <v>0.55463776943157483</v>
      </c>
      <c r="E890">
        <v>7.3556537463778868E-2</v>
      </c>
      <c r="F890">
        <v>-0.33666401584257172</v>
      </c>
      <c r="G890">
        <v>0.1884063268774068</v>
      </c>
      <c r="H890">
        <v>2.0568517458059379</v>
      </c>
      <c r="I890">
        <v>-0.1250310241436437</v>
      </c>
      <c r="J890">
        <v>-0.20508271810540701</v>
      </c>
      <c r="K890">
        <v>0.48627724755521667</v>
      </c>
      <c r="M890">
        <f t="shared" si="40"/>
        <v>2.6929518690422922</v>
      </c>
      <c r="N890">
        <f t="shared" si="41"/>
        <v>8</v>
      </c>
    </row>
    <row r="891" spans="1:14" x14ac:dyDescent="0.35">
      <c r="A891" t="str">
        <f t="shared" si="39"/>
        <v>18097360501_2028</v>
      </c>
      <c r="B891">
        <v>18097360501</v>
      </c>
      <c r="C891">
        <v>2028</v>
      </c>
      <c r="D891">
        <v>0.44155967684837738</v>
      </c>
      <c r="E891">
        <v>0.27792565745534892</v>
      </c>
      <c r="F891">
        <v>-0.28477620720322872</v>
      </c>
      <c r="G891">
        <v>0.18459815883695721</v>
      </c>
      <c r="H891">
        <v>2.892438731522593</v>
      </c>
      <c r="I891">
        <v>-3.11639983658069E-2</v>
      </c>
      <c r="J891">
        <v>-0.2187044631091305</v>
      </c>
      <c r="K891">
        <v>-0.39076342792138341</v>
      </c>
      <c r="M891">
        <f t="shared" si="40"/>
        <v>2.8711141280637271</v>
      </c>
      <c r="N891">
        <f t="shared" si="41"/>
        <v>8</v>
      </c>
    </row>
    <row r="892" spans="1:14" x14ac:dyDescent="0.35">
      <c r="A892" t="str">
        <f t="shared" si="39"/>
        <v>18097360502_2024</v>
      </c>
      <c r="B892">
        <v>18097360502</v>
      </c>
      <c r="C892">
        <v>2024</v>
      </c>
      <c r="D892">
        <v>4.0975612325648149E-2</v>
      </c>
      <c r="E892">
        <v>0.49811322583304229</v>
      </c>
      <c r="F892">
        <v>-0.64169181028605027</v>
      </c>
      <c r="G892">
        <v>0.26340054958879289</v>
      </c>
      <c r="H892">
        <v>-3.8278862260720158E-2</v>
      </c>
      <c r="I892">
        <v>-1.501649690406341</v>
      </c>
      <c r="J892">
        <v>0.21294521170324501</v>
      </c>
      <c r="K892">
        <v>-0.34456095079826388</v>
      </c>
      <c r="M892">
        <f t="shared" si="40"/>
        <v>-1.5107467143006468</v>
      </c>
      <c r="N892">
        <f t="shared" si="41"/>
        <v>8</v>
      </c>
    </row>
    <row r="893" spans="1:14" x14ac:dyDescent="0.35">
      <c r="A893" t="str">
        <f t="shared" si="39"/>
        <v>18097360502_2025</v>
      </c>
      <c r="B893">
        <v>18097360502</v>
      </c>
      <c r="C893">
        <v>2025</v>
      </c>
      <c r="D893">
        <v>0.4341001469438594</v>
      </c>
      <c r="E893">
        <v>0.64190887738633562</v>
      </c>
      <c r="F893">
        <v>0.6551413124362746</v>
      </c>
      <c r="G893">
        <v>-0.81997635463199636</v>
      </c>
      <c r="H893">
        <v>-0.78630154893034443</v>
      </c>
      <c r="I893">
        <v>-1.4226623379673851</v>
      </c>
      <c r="J893">
        <v>-7.1265229987460613E-2</v>
      </c>
      <c r="K893">
        <v>-0.87139374215677201</v>
      </c>
      <c r="M893">
        <f t="shared" si="40"/>
        <v>-2.2404488769074886</v>
      </c>
      <c r="N893">
        <f t="shared" si="41"/>
        <v>8</v>
      </c>
    </row>
    <row r="894" spans="1:14" x14ac:dyDescent="0.35">
      <c r="A894" t="str">
        <f t="shared" si="39"/>
        <v>18097360502_2026</v>
      </c>
      <c r="B894">
        <v>18097360502</v>
      </c>
      <c r="C894">
        <v>2026</v>
      </c>
      <c r="D894">
        <v>0.33561797440985902</v>
      </c>
      <c r="E894">
        <v>0.73135385178726509</v>
      </c>
      <c r="F894">
        <v>0.48763312064160408</v>
      </c>
      <c r="G894">
        <v>-0.24495771946107761</v>
      </c>
      <c r="H894">
        <v>-0.62880208559338102</v>
      </c>
      <c r="I894">
        <v>-1.323308927720142</v>
      </c>
      <c r="J894">
        <v>-0.16608724586544971</v>
      </c>
      <c r="K894">
        <v>0.18863812228682419</v>
      </c>
      <c r="M894">
        <f t="shared" si="40"/>
        <v>-0.61991290951449807</v>
      </c>
      <c r="N894">
        <f t="shared" si="41"/>
        <v>8</v>
      </c>
    </row>
    <row r="895" spans="1:14" x14ac:dyDescent="0.35">
      <c r="A895" t="str">
        <f t="shared" si="39"/>
        <v>18097360502_2027</v>
      </c>
      <c r="B895">
        <v>18097360502</v>
      </c>
      <c r="C895">
        <v>2027</v>
      </c>
      <c r="D895">
        <v>0.52378128797087986</v>
      </c>
      <c r="E895">
        <v>0.69031091913780263</v>
      </c>
      <c r="F895">
        <v>0.46989133007977568</v>
      </c>
      <c r="G895">
        <v>-0.49323571510062769</v>
      </c>
      <c r="H895">
        <v>-0.67879324062433655</v>
      </c>
      <c r="I895">
        <v>-1.086656342075573</v>
      </c>
      <c r="J895">
        <v>-0.19916135758165479</v>
      </c>
      <c r="K895">
        <v>0.4845748580570281</v>
      </c>
      <c r="M895">
        <f t="shared" si="40"/>
        <v>-0.28928826013670578</v>
      </c>
      <c r="N895">
        <f t="shared" si="41"/>
        <v>8</v>
      </c>
    </row>
    <row r="896" spans="1:14" x14ac:dyDescent="0.35">
      <c r="A896" t="str">
        <f t="shared" si="39"/>
        <v>18097360502_2028</v>
      </c>
      <c r="B896">
        <v>18097360502</v>
      </c>
      <c r="C896">
        <v>2028</v>
      </c>
      <c r="D896">
        <v>0.41427691995468302</v>
      </c>
      <c r="E896">
        <v>0.67871302078694451</v>
      </c>
      <c r="F896">
        <v>0.52781152318538971</v>
      </c>
      <c r="G896">
        <v>-0.39082861988896628</v>
      </c>
      <c r="H896">
        <v>-0.59960450787320807</v>
      </c>
      <c r="I896">
        <v>-0.86721489046585287</v>
      </c>
      <c r="J896">
        <v>-0.21283787870892901</v>
      </c>
      <c r="K896">
        <v>-0.39216626404773253</v>
      </c>
      <c r="M896">
        <f t="shared" si="40"/>
        <v>-0.84185069705767157</v>
      </c>
      <c r="N896">
        <f t="shared" si="41"/>
        <v>8</v>
      </c>
    </row>
    <row r="897" spans="1:14" x14ac:dyDescent="0.35">
      <c r="A897" t="str">
        <f t="shared" si="39"/>
        <v>18097360601_2024</v>
      </c>
      <c r="B897">
        <v>18097360601</v>
      </c>
      <c r="C897">
        <v>2024</v>
      </c>
      <c r="D897">
        <v>0.42092010054951778</v>
      </c>
      <c r="E897">
        <v>0.11190968046430221</v>
      </c>
      <c r="F897">
        <v>-0.96625607772061561</v>
      </c>
      <c r="G897">
        <v>4.5859388218009799E-2</v>
      </c>
      <c r="H897">
        <v>6.6697358366280823E-2</v>
      </c>
      <c r="I897">
        <v>-0.30801345079431119</v>
      </c>
      <c r="J897">
        <v>1.02166607833189</v>
      </c>
      <c r="K897">
        <v>8.4256080211547093E-3</v>
      </c>
      <c r="M897">
        <f t="shared" si="40"/>
        <v>0.40120868543622851</v>
      </c>
      <c r="N897">
        <f t="shared" si="41"/>
        <v>8</v>
      </c>
    </row>
    <row r="898" spans="1:14" x14ac:dyDescent="0.35">
      <c r="A898" t="str">
        <f t="shared" si="39"/>
        <v>18097360601_2025</v>
      </c>
      <c r="B898">
        <v>18097360601</v>
      </c>
      <c r="C898">
        <v>2025</v>
      </c>
      <c r="D898">
        <v>-0.81162550591677907</v>
      </c>
      <c r="E898">
        <v>8.9747274801878066E-2</v>
      </c>
      <c r="F898">
        <v>0.40224364574855459</v>
      </c>
      <c r="G898">
        <v>-0.15675242626076311</v>
      </c>
      <c r="H898">
        <v>-0.70056053123460604</v>
      </c>
      <c r="I898">
        <v>-0.26691673203315691</v>
      </c>
      <c r="J898">
        <v>0.55155773887719428</v>
      </c>
      <c r="K898">
        <v>-0.32470131210059078</v>
      </c>
      <c r="M898">
        <f t="shared" si="40"/>
        <v>-1.2170078481182689</v>
      </c>
      <c r="N898">
        <f t="shared" si="41"/>
        <v>8</v>
      </c>
    </row>
    <row r="899" spans="1:14" x14ac:dyDescent="0.35">
      <c r="A899" t="str">
        <f t="shared" ref="A899:A962" si="42">TEXT(B899,0)&amp;"_"&amp;TEXT(C899,0)</f>
        <v>18097360601_2026</v>
      </c>
      <c r="B899">
        <v>18097360601</v>
      </c>
      <c r="C899">
        <v>2026</v>
      </c>
      <c r="D899">
        <v>8.8362268256971192E-3</v>
      </c>
      <c r="E899">
        <v>0.16682213348934141</v>
      </c>
      <c r="F899">
        <v>0.44641192633909249</v>
      </c>
      <c r="G899">
        <v>-0.107135094780967</v>
      </c>
      <c r="H899">
        <v>-0.46115862907862509</v>
      </c>
      <c r="I899">
        <v>-0.23010792049592149</v>
      </c>
      <c r="J899">
        <v>0.47278985624095338</v>
      </c>
      <c r="K899">
        <v>-0.39745746070797339</v>
      </c>
      <c r="M899">
        <f t="shared" ref="M899:M962" si="43">SUM(D899:K899)</f>
        <v>-0.10099896216840265</v>
      </c>
      <c r="N899">
        <f t="shared" ref="N899:N962" si="44">IF(D899=0,0,1)+IF(E899=0,0,1)+IF(F899=0,0,1)+IF(G899=0,0,1)+IF(H899=0,0,1)+IF(I899=0,0,1)++IF(J899=0,0,1)++IF(K899=0,0,1)</f>
        <v>8</v>
      </c>
    </row>
    <row r="900" spans="1:14" x14ac:dyDescent="0.35">
      <c r="A900" t="str">
        <f t="shared" si="42"/>
        <v>18097360601_2027</v>
      </c>
      <c r="B900">
        <v>18097360601</v>
      </c>
      <c r="C900">
        <v>2027</v>
      </c>
      <c r="D900">
        <v>-0.49718029047274809</v>
      </c>
      <c r="E900">
        <v>0.17298504875351281</v>
      </c>
      <c r="F900">
        <v>0.51525356086740282</v>
      </c>
      <c r="G900">
        <v>-9.6565465445506662E-2</v>
      </c>
      <c r="H900">
        <v>-0.57063300110430026</v>
      </c>
      <c r="I900">
        <v>-0.1190467066779746</v>
      </c>
      <c r="J900">
        <v>0.42938626512493988</v>
      </c>
      <c r="K900">
        <v>-0.35128340108801698</v>
      </c>
      <c r="M900">
        <f t="shared" si="43"/>
        <v>-0.51708399004269112</v>
      </c>
      <c r="N900">
        <f t="shared" si="44"/>
        <v>8</v>
      </c>
    </row>
    <row r="901" spans="1:14" x14ac:dyDescent="0.35">
      <c r="A901" t="str">
        <f t="shared" si="42"/>
        <v>18097360601_2028</v>
      </c>
      <c r="B901">
        <v>18097360601</v>
      </c>
      <c r="C901">
        <v>2028</v>
      </c>
      <c r="D901">
        <v>-0.34171632862317758</v>
      </c>
      <c r="E901">
        <v>0.23708585758402409</v>
      </c>
      <c r="F901">
        <v>0.61324711811538635</v>
      </c>
      <c r="G901">
        <v>-0.106335117277505</v>
      </c>
      <c r="H901">
        <v>-0.52553667397249648</v>
      </c>
      <c r="I901">
        <v>-2.7852553970936059E-2</v>
      </c>
      <c r="J901">
        <v>0.41003736503158822</v>
      </c>
      <c r="K901">
        <v>-0.34346497345405241</v>
      </c>
      <c r="M901">
        <f t="shared" si="43"/>
        <v>-8.4535306567168844E-2</v>
      </c>
      <c r="N901">
        <f t="shared" si="44"/>
        <v>8</v>
      </c>
    </row>
    <row r="902" spans="1:14" x14ac:dyDescent="0.35">
      <c r="A902" t="str">
        <f t="shared" si="42"/>
        <v>18097360602_2024</v>
      </c>
      <c r="B902">
        <v>18097360602</v>
      </c>
      <c r="C902">
        <v>2024</v>
      </c>
      <c r="D902">
        <v>0.42091814663689742</v>
      </c>
      <c r="E902">
        <v>-2.674300721800316E-2</v>
      </c>
      <c r="F902">
        <v>0.21848190358420161</v>
      </c>
      <c r="G902">
        <v>-0.55139660936825785</v>
      </c>
      <c r="H902">
        <v>4.2624519864357877E-2</v>
      </c>
      <c r="I902">
        <v>-0.50738115641936732</v>
      </c>
      <c r="J902">
        <v>1.02166607833189</v>
      </c>
      <c r="K902">
        <v>8.4256080211547093E-3</v>
      </c>
      <c r="M902">
        <f t="shared" si="43"/>
        <v>0.6265954834328733</v>
      </c>
      <c r="N902">
        <f t="shared" si="44"/>
        <v>8</v>
      </c>
    </row>
    <row r="903" spans="1:14" x14ac:dyDescent="0.35">
      <c r="A903" t="str">
        <f t="shared" si="42"/>
        <v>18097360602_2025</v>
      </c>
      <c r="B903">
        <v>18097360602</v>
      </c>
      <c r="C903">
        <v>2025</v>
      </c>
      <c r="D903">
        <v>-0.81162195174034213</v>
      </c>
      <c r="E903">
        <v>-0.4315257890369581</v>
      </c>
      <c r="F903">
        <v>5.5126505474452858E-2</v>
      </c>
      <c r="G903">
        <v>-0.79957751206647032</v>
      </c>
      <c r="H903">
        <v>-0.68209682637976632</v>
      </c>
      <c r="I903">
        <v>-0.35520563670420779</v>
      </c>
      <c r="J903">
        <v>0.55155773887719428</v>
      </c>
      <c r="K903">
        <v>-0.32470131210059078</v>
      </c>
      <c r="M903">
        <f t="shared" si="43"/>
        <v>-2.7980447836766884</v>
      </c>
      <c r="N903">
        <f t="shared" si="44"/>
        <v>8</v>
      </c>
    </row>
    <row r="904" spans="1:14" x14ac:dyDescent="0.35">
      <c r="A904" t="str">
        <f t="shared" si="42"/>
        <v>18097360602_2026</v>
      </c>
      <c r="B904">
        <v>18097360602</v>
      </c>
      <c r="C904">
        <v>2026</v>
      </c>
      <c r="D904">
        <v>8.8330959441586601E-3</v>
      </c>
      <c r="E904">
        <v>-0.50108681509554165</v>
      </c>
      <c r="F904">
        <v>0.21278718462787091</v>
      </c>
      <c r="G904">
        <v>-0.92032067199779477</v>
      </c>
      <c r="H904">
        <v>-0.720326682239952</v>
      </c>
      <c r="I904">
        <v>-0.40835949360862478</v>
      </c>
      <c r="J904">
        <v>0.47278985624095338</v>
      </c>
      <c r="K904">
        <v>-0.39745746070797339</v>
      </c>
      <c r="M904">
        <f t="shared" si="43"/>
        <v>-2.2531409868369039</v>
      </c>
      <c r="N904">
        <f t="shared" si="44"/>
        <v>8</v>
      </c>
    </row>
    <row r="905" spans="1:14" x14ac:dyDescent="0.35">
      <c r="A905" t="str">
        <f t="shared" si="42"/>
        <v>18097360602_2027</v>
      </c>
      <c r="B905">
        <v>18097360602</v>
      </c>
      <c r="C905">
        <v>2027</v>
      </c>
      <c r="D905">
        <v>-0.49717744056457408</v>
      </c>
      <c r="E905">
        <v>-0.5462488012330432</v>
      </c>
      <c r="F905">
        <v>0.19510907354602619</v>
      </c>
      <c r="G905">
        <v>-0.99407334302143002</v>
      </c>
      <c r="H905">
        <v>-0.84307670923748623</v>
      </c>
      <c r="I905">
        <v>-0.23921474950534041</v>
      </c>
      <c r="J905">
        <v>0.42938626512493988</v>
      </c>
      <c r="K905">
        <v>-0.35128340108801698</v>
      </c>
      <c r="M905">
        <f t="shared" si="43"/>
        <v>-2.8465791059789254</v>
      </c>
      <c r="N905">
        <f t="shared" si="44"/>
        <v>8</v>
      </c>
    </row>
    <row r="906" spans="1:14" x14ac:dyDescent="0.35">
      <c r="A906" t="str">
        <f t="shared" si="42"/>
        <v>18097360602_2028</v>
      </c>
      <c r="B906">
        <v>18097360602</v>
      </c>
      <c r="C906">
        <v>2028</v>
      </c>
      <c r="D906">
        <v>-0.34171768871035679</v>
      </c>
      <c r="E906">
        <v>-0.45071953705310103</v>
      </c>
      <c r="F906">
        <v>0.28171527959415171</v>
      </c>
      <c r="G906">
        <v>-0.95058256410481956</v>
      </c>
      <c r="H906">
        <v>-0.7450589197965779</v>
      </c>
      <c r="I906">
        <v>-0.13657086870205701</v>
      </c>
      <c r="J906">
        <v>0.41003736503158822</v>
      </c>
      <c r="K906">
        <v>-0.34346497345405241</v>
      </c>
      <c r="M906">
        <f t="shared" si="43"/>
        <v>-2.2763619071952244</v>
      </c>
      <c r="N906">
        <f t="shared" si="44"/>
        <v>8</v>
      </c>
    </row>
    <row r="907" spans="1:14" x14ac:dyDescent="0.35">
      <c r="A907" t="str">
        <f t="shared" si="42"/>
        <v>18097360700_2024</v>
      </c>
      <c r="B907">
        <v>18097360700</v>
      </c>
      <c r="C907">
        <v>2024</v>
      </c>
      <c r="D907">
        <v>0.42092355522211222</v>
      </c>
      <c r="E907">
        <v>-3.4906207609323599E-3</v>
      </c>
      <c r="F907">
        <v>-1.124673552798233</v>
      </c>
      <c r="G907">
        <v>-0.1633412665797164</v>
      </c>
      <c r="H907">
        <v>0.17205396940695489</v>
      </c>
      <c r="I907">
        <v>0.67041523008042903</v>
      </c>
      <c r="J907">
        <v>1.02166607833189</v>
      </c>
      <c r="K907">
        <v>8.4256080211547093E-3</v>
      </c>
      <c r="M907">
        <f t="shared" si="43"/>
        <v>1.0019790009236591</v>
      </c>
      <c r="N907">
        <f t="shared" si="44"/>
        <v>8</v>
      </c>
    </row>
    <row r="908" spans="1:14" x14ac:dyDescent="0.35">
      <c r="A908" t="str">
        <f t="shared" si="42"/>
        <v>18097360700_2025</v>
      </c>
      <c r="B908">
        <v>18097360700</v>
      </c>
      <c r="C908">
        <v>2025</v>
      </c>
      <c r="D908">
        <v>-0.81163180722097661</v>
      </c>
      <c r="E908">
        <v>-0.1620632422461514</v>
      </c>
      <c r="F908">
        <v>0.37672705476292351</v>
      </c>
      <c r="G908">
        <v>-0.233740957090004</v>
      </c>
      <c r="H908">
        <v>0.4439219861361377</v>
      </c>
      <c r="I908">
        <v>-8.1795150772456568E-2</v>
      </c>
      <c r="J908">
        <v>0.55155773887719428</v>
      </c>
      <c r="K908">
        <v>-0.32470131210059078</v>
      </c>
      <c r="M908">
        <f t="shared" si="43"/>
        <v>-0.24172568965392394</v>
      </c>
      <c r="N908">
        <f t="shared" si="44"/>
        <v>8</v>
      </c>
    </row>
    <row r="909" spans="1:14" x14ac:dyDescent="0.35">
      <c r="A909" t="str">
        <f t="shared" si="42"/>
        <v>18097360700_2026</v>
      </c>
      <c r="B909">
        <v>18097360700</v>
      </c>
      <c r="C909">
        <v>2026</v>
      </c>
      <c r="D909">
        <v>8.8417643095529599E-3</v>
      </c>
      <c r="E909">
        <v>-9.3163117521284602E-2</v>
      </c>
      <c r="F909">
        <v>0.38751977117056041</v>
      </c>
      <c r="G909">
        <v>-0.26981545576932581</v>
      </c>
      <c r="H909">
        <v>0.4989675787497081</v>
      </c>
      <c r="I909">
        <v>0.44109242687844979</v>
      </c>
      <c r="J909">
        <v>0.47278985624095338</v>
      </c>
      <c r="K909">
        <v>-0.39745746070797339</v>
      </c>
      <c r="M909">
        <f t="shared" si="43"/>
        <v>1.0487753633506407</v>
      </c>
      <c r="N909">
        <f t="shared" si="44"/>
        <v>8</v>
      </c>
    </row>
    <row r="910" spans="1:14" x14ac:dyDescent="0.35">
      <c r="A910" t="str">
        <f t="shared" si="42"/>
        <v>18097360700_2027</v>
      </c>
      <c r="B910">
        <v>18097360700</v>
      </c>
      <c r="C910">
        <v>2027</v>
      </c>
      <c r="D910">
        <v>-0.49718534663566588</v>
      </c>
      <c r="E910">
        <v>-7.8371123988753372E-2</v>
      </c>
      <c r="F910">
        <v>0.45447132886242819</v>
      </c>
      <c r="G910">
        <v>-0.26574661863866761</v>
      </c>
      <c r="H910">
        <v>0.34738952297754849</v>
      </c>
      <c r="I910">
        <v>0.21831672859822579</v>
      </c>
      <c r="J910">
        <v>0.42938626512493988</v>
      </c>
      <c r="K910">
        <v>-0.35128340108801698</v>
      </c>
      <c r="M910">
        <f t="shared" si="43"/>
        <v>0.25697735521203852</v>
      </c>
      <c r="N910">
        <f t="shared" si="44"/>
        <v>8</v>
      </c>
    </row>
    <row r="911" spans="1:14" x14ac:dyDescent="0.35">
      <c r="A911" t="str">
        <f t="shared" si="42"/>
        <v>18097360700_2028</v>
      </c>
      <c r="B911">
        <v>18097360700</v>
      </c>
      <c r="C911">
        <v>2028</v>
      </c>
      <c r="D911">
        <v>-0.34171392859879712</v>
      </c>
      <c r="E911">
        <v>1.267865118773405E-2</v>
      </c>
      <c r="F911">
        <v>0.54540879874554915</v>
      </c>
      <c r="G911">
        <v>-0.26724685038275142</v>
      </c>
      <c r="H911">
        <v>0.20676878039178359</v>
      </c>
      <c r="I911">
        <v>0.31519818686452511</v>
      </c>
      <c r="J911">
        <v>0.41003736503158822</v>
      </c>
      <c r="K911">
        <v>-0.34346497345405241</v>
      </c>
      <c r="M911">
        <f t="shared" si="43"/>
        <v>0.53766602978557909</v>
      </c>
      <c r="N911">
        <f t="shared" si="44"/>
        <v>8</v>
      </c>
    </row>
    <row r="912" spans="1:14" x14ac:dyDescent="0.35">
      <c r="A912" t="str">
        <f t="shared" si="42"/>
        <v>18097360800_2024</v>
      </c>
      <c r="B912">
        <v>18097360800</v>
      </c>
      <c r="C912">
        <v>2024</v>
      </c>
      <c r="D912">
        <v>0.42092146887085602</v>
      </c>
      <c r="E912">
        <v>0.17862279978536999</v>
      </c>
      <c r="F912">
        <v>0.70569055595709518</v>
      </c>
      <c r="G912">
        <v>-0.16419019479531011</v>
      </c>
      <c r="H912">
        <v>-3.402193525734263E-2</v>
      </c>
      <c r="I912">
        <v>-1.083069145502316</v>
      </c>
      <c r="J912">
        <v>1.02166607833189</v>
      </c>
      <c r="K912">
        <v>8.4256080211563295E-3</v>
      </c>
      <c r="M912">
        <f t="shared" si="43"/>
        <v>1.0540452354113989</v>
      </c>
      <c r="N912">
        <f t="shared" si="44"/>
        <v>8</v>
      </c>
    </row>
    <row r="913" spans="1:14" x14ac:dyDescent="0.35">
      <c r="A913" t="str">
        <f t="shared" si="42"/>
        <v>18097360800_2025</v>
      </c>
      <c r="B913">
        <v>18097360800</v>
      </c>
      <c r="C913">
        <v>2025</v>
      </c>
      <c r="D913">
        <v>-0.81162801096752069</v>
      </c>
      <c r="E913">
        <v>0.63804771465892418</v>
      </c>
      <c r="F913">
        <v>-9.118471650179856E-2</v>
      </c>
      <c r="G913">
        <v>-0.24399233560136191</v>
      </c>
      <c r="H913">
        <v>-0.49438945776646642</v>
      </c>
      <c r="I913">
        <v>-1.6297171890918991</v>
      </c>
      <c r="J913">
        <v>0.55155773887719428</v>
      </c>
      <c r="K913">
        <v>-0.32470131210059078</v>
      </c>
      <c r="M913">
        <f t="shared" si="43"/>
        <v>-2.4060075684935192</v>
      </c>
      <c r="N913">
        <f t="shared" si="44"/>
        <v>8</v>
      </c>
    </row>
    <row r="914" spans="1:14" x14ac:dyDescent="0.35">
      <c r="A914" t="str">
        <f t="shared" si="42"/>
        <v>18097360800_2026</v>
      </c>
      <c r="B914">
        <v>18097360800</v>
      </c>
      <c r="C914">
        <v>2026</v>
      </c>
      <c r="D914">
        <v>8.8384210729334795E-3</v>
      </c>
      <c r="E914">
        <v>0.48417593166120831</v>
      </c>
      <c r="F914">
        <v>-0.1003006588239008</v>
      </c>
      <c r="G914">
        <v>-0.28006783469144131</v>
      </c>
      <c r="H914">
        <v>-0.35349394687764257</v>
      </c>
      <c r="I914">
        <v>-1.6466398209908111</v>
      </c>
      <c r="J914">
        <v>0.47278985624095338</v>
      </c>
      <c r="K914">
        <v>-0.39745746070797339</v>
      </c>
      <c r="M914">
        <f t="shared" si="43"/>
        <v>-1.8121555131166738</v>
      </c>
      <c r="N914">
        <f t="shared" si="44"/>
        <v>8</v>
      </c>
    </row>
    <row r="915" spans="1:14" x14ac:dyDescent="0.35">
      <c r="A915" t="str">
        <f t="shared" si="42"/>
        <v>18097360800_2027</v>
      </c>
      <c r="B915">
        <v>18097360800</v>
      </c>
      <c r="C915">
        <v>2027</v>
      </c>
      <c r="D915">
        <v>-0.4971823023736387</v>
      </c>
      <c r="E915">
        <v>0.57528782176421212</v>
      </c>
      <c r="F915">
        <v>-0.1074329338603061</v>
      </c>
      <c r="G915">
        <v>-0.27771725566770711</v>
      </c>
      <c r="H915">
        <v>-0.45592713998294437</v>
      </c>
      <c r="I915">
        <v>-1.4853683596434359</v>
      </c>
      <c r="J915">
        <v>0.42938626512493988</v>
      </c>
      <c r="K915">
        <v>-0.35128340108801698</v>
      </c>
      <c r="M915">
        <f t="shared" si="43"/>
        <v>-2.1702373057268973</v>
      </c>
      <c r="N915">
        <f t="shared" si="44"/>
        <v>8</v>
      </c>
    </row>
    <row r="916" spans="1:14" x14ac:dyDescent="0.35">
      <c r="A916" t="str">
        <f t="shared" si="42"/>
        <v>18097360800_2028</v>
      </c>
      <c r="B916">
        <v>18097360800</v>
      </c>
      <c r="C916">
        <v>2028</v>
      </c>
      <c r="D916">
        <v>-0.34171538057203871</v>
      </c>
      <c r="E916">
        <v>0.53811535792367449</v>
      </c>
      <c r="F916">
        <v>-6.867802556527243E-2</v>
      </c>
      <c r="G916">
        <v>-0.27836806195378788</v>
      </c>
      <c r="H916">
        <v>-0.45108480178354499</v>
      </c>
      <c r="I916">
        <v>-1.271907775815464</v>
      </c>
      <c r="J916">
        <v>0.41003736503158822</v>
      </c>
      <c r="K916">
        <v>-0.34346497345405241</v>
      </c>
      <c r="M916">
        <f t="shared" si="43"/>
        <v>-1.8070662961888977</v>
      </c>
      <c r="N916">
        <f t="shared" si="44"/>
        <v>8</v>
      </c>
    </row>
    <row r="917" spans="1:14" x14ac:dyDescent="0.35">
      <c r="A917" t="str">
        <f t="shared" si="42"/>
        <v>18097360900_2024</v>
      </c>
      <c r="B917">
        <v>18097360900</v>
      </c>
      <c r="C917">
        <v>2024</v>
      </c>
      <c r="D917">
        <v>-0.38346640277920102</v>
      </c>
      <c r="E917">
        <v>1.1346200360007781</v>
      </c>
      <c r="F917">
        <v>-5.9322732729928803E-4</v>
      </c>
      <c r="G917">
        <v>-0.47606500623678177</v>
      </c>
      <c r="H917">
        <v>0.65404109440885572</v>
      </c>
      <c r="I917">
        <v>-0.3441432468738776</v>
      </c>
      <c r="J917">
        <v>1.4884644226503869</v>
      </c>
      <c r="K917">
        <v>2.3132868396490331E-2</v>
      </c>
      <c r="M917">
        <f t="shared" si="43"/>
        <v>2.0959905382393513</v>
      </c>
      <c r="N917">
        <f t="shared" si="44"/>
        <v>8</v>
      </c>
    </row>
    <row r="918" spans="1:14" x14ac:dyDescent="0.35">
      <c r="A918" t="str">
        <f t="shared" si="42"/>
        <v>18097360900_2025</v>
      </c>
      <c r="B918">
        <v>18097360900</v>
      </c>
      <c r="C918">
        <v>2025</v>
      </c>
      <c r="D918">
        <v>-1.0308283806105309</v>
      </c>
      <c r="E918">
        <v>-1.3882059134543761</v>
      </c>
      <c r="F918">
        <v>0.17714528692616369</v>
      </c>
      <c r="G918">
        <v>-1.096597237165619</v>
      </c>
      <c r="H918">
        <v>5.703526679568335</v>
      </c>
      <c r="I918">
        <v>0.65660122350869188</v>
      </c>
      <c r="J918">
        <v>1.2878971442470371</v>
      </c>
      <c r="K918">
        <v>-0.30224875464514078</v>
      </c>
      <c r="M918">
        <f t="shared" si="43"/>
        <v>4.0072900483745615</v>
      </c>
      <c r="N918">
        <f t="shared" si="44"/>
        <v>8</v>
      </c>
    </row>
    <row r="919" spans="1:14" x14ac:dyDescent="0.35">
      <c r="A919" t="str">
        <f t="shared" si="42"/>
        <v>18097360900_2026</v>
      </c>
      <c r="B919">
        <v>18097360900</v>
      </c>
      <c r="C919">
        <v>2026</v>
      </c>
      <c r="D919">
        <v>-0.53863349025963858</v>
      </c>
      <c r="E919">
        <v>1.348349898973634</v>
      </c>
      <c r="F919">
        <v>0.19600981793131511</v>
      </c>
      <c r="G919">
        <v>-1.1038208782118519</v>
      </c>
      <c r="H919">
        <v>5.8551541631108801</v>
      </c>
      <c r="I919">
        <v>0.1054911030988691</v>
      </c>
      <c r="J919">
        <v>1.1814827735005811</v>
      </c>
      <c r="K919">
        <v>-0.37680514348726751</v>
      </c>
      <c r="M919">
        <f t="shared" si="43"/>
        <v>6.6672282446565214</v>
      </c>
      <c r="N919">
        <f t="shared" si="44"/>
        <v>8</v>
      </c>
    </row>
    <row r="920" spans="1:14" x14ac:dyDescent="0.35">
      <c r="A920" t="str">
        <f t="shared" si="42"/>
        <v>18097360900_2027</v>
      </c>
      <c r="B920">
        <v>18097360900</v>
      </c>
      <c r="C920">
        <v>2027</v>
      </c>
      <c r="D920">
        <v>-1.083565266898618</v>
      </c>
      <c r="E920">
        <v>-0.86859372436506654</v>
      </c>
      <c r="F920">
        <v>0.22854853292401281</v>
      </c>
      <c r="G920">
        <v>-1.2380846032078221</v>
      </c>
      <c r="I920">
        <v>0.40986225087163253</v>
      </c>
      <c r="J920">
        <v>1.1302997812531981</v>
      </c>
      <c r="K920">
        <v>-0.32970778752788898</v>
      </c>
      <c r="M920">
        <f t="shared" si="43"/>
        <v>-1.7512408169505527</v>
      </c>
      <c r="N920">
        <f t="shared" si="44"/>
        <v>7</v>
      </c>
    </row>
    <row r="921" spans="1:14" x14ac:dyDescent="0.35">
      <c r="A921" t="str">
        <f t="shared" si="42"/>
        <v>18097360900_2028</v>
      </c>
      <c r="B921">
        <v>18097360900</v>
      </c>
      <c r="C921">
        <v>2028</v>
      </c>
      <c r="D921">
        <v>-0.8412046114439834</v>
      </c>
      <c r="E921">
        <v>0.86827025577342742</v>
      </c>
      <c r="F921">
        <v>0.29977463700061407</v>
      </c>
      <c r="G921">
        <v>-1.1705313864133411</v>
      </c>
      <c r="I921">
        <v>0.26593576066477331</v>
      </c>
      <c r="J921">
        <v>1.104324954308483</v>
      </c>
      <c r="K921">
        <v>-0.32138900466312581</v>
      </c>
      <c r="M921">
        <f t="shared" si="43"/>
        <v>0.20518060522684756</v>
      </c>
      <c r="N921">
        <f t="shared" si="44"/>
        <v>7</v>
      </c>
    </row>
    <row r="922" spans="1:14" x14ac:dyDescent="0.35">
      <c r="A922" t="str">
        <f t="shared" si="42"/>
        <v>18097361000_2024</v>
      </c>
      <c r="B922">
        <v>18097361000</v>
      </c>
      <c r="C922">
        <v>2024</v>
      </c>
      <c r="D922">
        <v>0.42092326336706959</v>
      </c>
      <c r="E922">
        <v>0.1874823351090073</v>
      </c>
      <c r="F922">
        <v>-1.456489742031321</v>
      </c>
      <c r="G922">
        <v>-7.8094145179616506E-2</v>
      </c>
      <c r="I922">
        <v>9.9610928813325561E-2</v>
      </c>
      <c r="J922">
        <v>1.02166607833189</v>
      </c>
      <c r="K922">
        <v>8.4256080211547093E-3</v>
      </c>
      <c r="M922">
        <f t="shared" si="43"/>
        <v>0.20352432643150969</v>
      </c>
      <c r="N922">
        <f t="shared" si="44"/>
        <v>7</v>
      </c>
    </row>
    <row r="923" spans="1:14" x14ac:dyDescent="0.35">
      <c r="A923" t="str">
        <f t="shared" si="42"/>
        <v>18097361000_2025</v>
      </c>
      <c r="B923">
        <v>18097361000</v>
      </c>
      <c r="C923">
        <v>2025</v>
      </c>
      <c r="D923">
        <v>-0.81163128017226682</v>
      </c>
      <c r="E923">
        <v>-0.1715069383159224</v>
      </c>
      <c r="F923">
        <v>0.80435322370097284</v>
      </c>
      <c r="G923">
        <v>-0.21566653600355179</v>
      </c>
      <c r="I923">
        <v>0.1832926338061818</v>
      </c>
      <c r="J923">
        <v>0.55155773887719428</v>
      </c>
      <c r="K923">
        <v>-0.32470131210059078</v>
      </c>
      <c r="M923">
        <f t="shared" si="43"/>
        <v>1.5697529792017162E-2</v>
      </c>
      <c r="N923">
        <f t="shared" si="44"/>
        <v>7</v>
      </c>
    </row>
    <row r="924" spans="1:14" x14ac:dyDescent="0.35">
      <c r="A924" t="str">
        <f t="shared" si="42"/>
        <v>18097361000_2026</v>
      </c>
      <c r="B924">
        <v>18097361000</v>
      </c>
      <c r="C924">
        <v>2026</v>
      </c>
      <c r="D924">
        <v>8.8412970521538695E-3</v>
      </c>
      <c r="E924">
        <v>6.6136014008463889E-2</v>
      </c>
      <c r="F924">
        <v>-9.0308493287034517E-4</v>
      </c>
      <c r="G924">
        <v>-0.1923989156799287</v>
      </c>
      <c r="I924">
        <v>0.21112011993259319</v>
      </c>
      <c r="J924">
        <v>0.47278985624095338</v>
      </c>
      <c r="K924">
        <v>-0.39745746070797339</v>
      </c>
      <c r="M924">
        <f t="shared" si="43"/>
        <v>0.16812782591339193</v>
      </c>
      <c r="N924">
        <f t="shared" si="44"/>
        <v>7</v>
      </c>
    </row>
    <row r="925" spans="1:14" x14ac:dyDescent="0.35">
      <c r="A925" t="str">
        <f t="shared" si="42"/>
        <v>18097361000_2027</v>
      </c>
      <c r="B925">
        <v>18097361000</v>
      </c>
      <c r="C925">
        <v>2027</v>
      </c>
      <c r="D925">
        <v>-0.4971849247921743</v>
      </c>
      <c r="E925">
        <v>3.024576747388322E-4</v>
      </c>
      <c r="F925">
        <v>0.36503663203783338</v>
      </c>
      <c r="G925">
        <v>-0.19688306660400329</v>
      </c>
      <c r="I925">
        <v>0.24290526011587621</v>
      </c>
      <c r="J925">
        <v>0.42938626512493988</v>
      </c>
      <c r="K925">
        <v>-0.35128340108801698</v>
      </c>
      <c r="M925">
        <f t="shared" si="43"/>
        <v>-7.7207775308062443E-3</v>
      </c>
      <c r="N925">
        <f t="shared" si="44"/>
        <v>7</v>
      </c>
    </row>
    <row r="926" spans="1:14" x14ac:dyDescent="0.35">
      <c r="A926" t="str">
        <f t="shared" si="42"/>
        <v>18097361000_2028</v>
      </c>
      <c r="B926">
        <v>18097361000</v>
      </c>
      <c r="C926">
        <v>2028</v>
      </c>
      <c r="D926">
        <v>-0.34171413281381419</v>
      </c>
      <c r="E926">
        <v>0.11544997251658699</v>
      </c>
      <c r="F926">
        <v>0.30010425443465472</v>
      </c>
      <c r="G926">
        <v>-0.1972193328863403</v>
      </c>
      <c r="I926">
        <v>0.251403787643252</v>
      </c>
      <c r="J926">
        <v>0.41003736503158822</v>
      </c>
      <c r="K926">
        <v>-0.34346497345405241</v>
      </c>
      <c r="M926">
        <f t="shared" si="43"/>
        <v>0.19459694047187509</v>
      </c>
      <c r="N926">
        <f t="shared" si="44"/>
        <v>7</v>
      </c>
    </row>
    <row r="927" spans="1:14" x14ac:dyDescent="0.35">
      <c r="A927" t="str">
        <f t="shared" si="42"/>
        <v>18097361100_2024</v>
      </c>
      <c r="B927">
        <v>18097361100</v>
      </c>
      <c r="C927">
        <v>2024</v>
      </c>
      <c r="D927">
        <v>0.41941731430523432</v>
      </c>
      <c r="E927">
        <v>-3.4367500656187648E-2</v>
      </c>
      <c r="F927">
        <v>-0.39639341202569628</v>
      </c>
      <c r="G927">
        <v>0.17310214178381431</v>
      </c>
      <c r="H927">
        <v>0.89526216804206327</v>
      </c>
      <c r="I927">
        <v>0.16743631523811839</v>
      </c>
      <c r="J927">
        <v>1.021317328746874</v>
      </c>
      <c r="M927">
        <f t="shared" si="43"/>
        <v>2.2457743554342207</v>
      </c>
      <c r="N927">
        <f t="shared" si="44"/>
        <v>7</v>
      </c>
    </row>
    <row r="928" spans="1:14" x14ac:dyDescent="0.35">
      <c r="A928" t="str">
        <f t="shared" si="42"/>
        <v>18097361100_2025</v>
      </c>
      <c r="B928">
        <v>18097361100</v>
      </c>
      <c r="C928">
        <v>2025</v>
      </c>
      <c r="D928">
        <v>-0.81296522578287522</v>
      </c>
      <c r="E928">
        <v>-0.1070153125044264</v>
      </c>
      <c r="F928">
        <v>-0.32574660223353258</v>
      </c>
      <c r="G928">
        <v>0.39202583509778471</v>
      </c>
      <c r="H928">
        <v>1.3518717296018909</v>
      </c>
      <c r="I928">
        <v>0.40512598312016762</v>
      </c>
      <c r="J928">
        <v>0.55413295914535288</v>
      </c>
      <c r="M928">
        <f t="shared" si="43"/>
        <v>1.4574293664443623</v>
      </c>
      <c r="N928">
        <f t="shared" si="44"/>
        <v>7</v>
      </c>
    </row>
    <row r="929" spans="1:14" x14ac:dyDescent="0.35">
      <c r="A929" t="str">
        <f t="shared" si="42"/>
        <v>18097361100_2026</v>
      </c>
      <c r="B929">
        <v>18097361100</v>
      </c>
      <c r="C929">
        <v>2026</v>
      </c>
      <c r="D929">
        <v>9.0454333531768405E-3</v>
      </c>
      <c r="E929">
        <v>-2.4076013010516499E-3</v>
      </c>
      <c r="F929">
        <v>-0.16166960660734339</v>
      </c>
      <c r="G929">
        <v>0.15877296215854059</v>
      </c>
      <c r="H929">
        <v>1.6292208500197449</v>
      </c>
      <c r="I929">
        <v>0.44673495299233762</v>
      </c>
      <c r="J929">
        <v>0.47486069566453071</v>
      </c>
      <c r="M929">
        <f t="shared" si="43"/>
        <v>2.554557686279936</v>
      </c>
      <c r="N929">
        <f t="shared" si="44"/>
        <v>7</v>
      </c>
    </row>
    <row r="930" spans="1:14" x14ac:dyDescent="0.35">
      <c r="A930" t="str">
        <f t="shared" si="42"/>
        <v>18097361100_2027</v>
      </c>
      <c r="B930">
        <v>18097361100</v>
      </c>
      <c r="C930">
        <v>2027</v>
      </c>
      <c r="D930">
        <v>-0.49921563329759999</v>
      </c>
      <c r="E930">
        <v>1.7071376480627329E-2</v>
      </c>
      <c r="F930">
        <v>-0.2460941986223672</v>
      </c>
      <c r="G930">
        <v>8.888796111380462E-2</v>
      </c>
      <c r="H930">
        <v>1.9240953445823901</v>
      </c>
      <c r="I930">
        <v>0.4370202931291105</v>
      </c>
      <c r="J930">
        <v>0.43148778035531288</v>
      </c>
      <c r="M930">
        <f t="shared" si="43"/>
        <v>2.1532529237412783</v>
      </c>
      <c r="N930">
        <f t="shared" si="44"/>
        <v>7</v>
      </c>
    </row>
    <row r="931" spans="1:14" x14ac:dyDescent="0.35">
      <c r="A931" t="str">
        <f t="shared" si="42"/>
        <v>18097361100_2028</v>
      </c>
      <c r="B931">
        <v>18097361100</v>
      </c>
      <c r="C931">
        <v>2028</v>
      </c>
      <c r="D931">
        <v>-0.34196108807824582</v>
      </c>
      <c r="E931">
        <v>0.1001794318566049</v>
      </c>
      <c r="F931">
        <v>-0.197061096605677</v>
      </c>
      <c r="G931">
        <v>-3.4222523489867679E-2</v>
      </c>
      <c r="H931">
        <v>2.6264240380682571</v>
      </c>
      <c r="I931">
        <v>0.3957380676952742</v>
      </c>
      <c r="J931">
        <v>0.41211311530811079</v>
      </c>
      <c r="M931">
        <f t="shared" si="43"/>
        <v>2.9612099447544566</v>
      </c>
      <c r="N931">
        <f t="shared" si="44"/>
        <v>7</v>
      </c>
    </row>
    <row r="932" spans="1:14" x14ac:dyDescent="0.35">
      <c r="A932" t="str">
        <f t="shared" si="42"/>
        <v>18097361200_2024</v>
      </c>
      <c r="B932">
        <v>18097361200</v>
      </c>
      <c r="C932">
        <v>2024</v>
      </c>
      <c r="D932">
        <v>0.41390727319020532</v>
      </c>
      <c r="E932">
        <v>0.4676854440999878</v>
      </c>
      <c r="F932">
        <v>-0.39811047823829682</v>
      </c>
      <c r="G932">
        <v>-1.296548717340594E-2</v>
      </c>
      <c r="H932">
        <v>-0.23784787810700889</v>
      </c>
      <c r="I932">
        <v>0.29409274741837732</v>
      </c>
      <c r="J932">
        <v>1.047999277176954</v>
      </c>
      <c r="M932">
        <f t="shared" si="43"/>
        <v>1.5747608983668129</v>
      </c>
      <c r="N932">
        <f t="shared" si="44"/>
        <v>7</v>
      </c>
    </row>
    <row r="933" spans="1:14" x14ac:dyDescent="0.35">
      <c r="A933" t="str">
        <f t="shared" si="42"/>
        <v>18097361200_2025</v>
      </c>
      <c r="B933">
        <v>18097361200</v>
      </c>
      <c r="C933">
        <v>2025</v>
      </c>
      <c r="D933">
        <v>-0.8357770472824354</v>
      </c>
      <c r="E933">
        <v>0.38675684175497033</v>
      </c>
      <c r="F933">
        <v>-0.81814840296357827</v>
      </c>
      <c r="G933">
        <v>0.46276368890867131</v>
      </c>
      <c r="H933">
        <v>0.43197026961286572</v>
      </c>
      <c r="I933">
        <v>7.1252819437992942E-2</v>
      </c>
      <c r="J933">
        <v>0.56490538995020645</v>
      </c>
      <c r="M933">
        <f t="shared" si="43"/>
        <v>0.26372355941869297</v>
      </c>
      <c r="N933">
        <f t="shared" si="44"/>
        <v>7</v>
      </c>
    </row>
    <row r="934" spans="1:14" x14ac:dyDescent="0.35">
      <c r="A934" t="str">
        <f t="shared" si="42"/>
        <v>18097361200_2026</v>
      </c>
      <c r="B934">
        <v>18097361200</v>
      </c>
      <c r="C934">
        <v>2026</v>
      </c>
      <c r="D934">
        <v>1.4086283051985039E-2</v>
      </c>
      <c r="E934">
        <v>0.53334715284078782</v>
      </c>
      <c r="F934">
        <v>-0.86209204740413503</v>
      </c>
      <c r="G934">
        <v>0.33508463134389038</v>
      </c>
      <c r="H934">
        <v>-1.0499224567291221</v>
      </c>
      <c r="I934">
        <v>0.23313125984290869</v>
      </c>
      <c r="J934">
        <v>0.48830544329946912</v>
      </c>
      <c r="M934">
        <f t="shared" si="43"/>
        <v>-0.30805973375421614</v>
      </c>
      <c r="N934">
        <f t="shared" si="44"/>
        <v>7</v>
      </c>
    </row>
    <row r="935" spans="1:14" x14ac:dyDescent="0.35">
      <c r="A935" t="str">
        <f t="shared" si="42"/>
        <v>18097361200_2027</v>
      </c>
      <c r="B935">
        <v>18097361200</v>
      </c>
      <c r="C935">
        <v>2027</v>
      </c>
      <c r="D935">
        <v>-0.52490552114808919</v>
      </c>
      <c r="E935">
        <v>0.50066034474064869</v>
      </c>
      <c r="F935">
        <v>-0.98611339935120024</v>
      </c>
      <c r="G935">
        <v>0.45642146806296829</v>
      </c>
      <c r="H935">
        <v>-5.8412328814746568E-2</v>
      </c>
      <c r="I935">
        <v>0.22103428970931191</v>
      </c>
      <c r="J935">
        <v>0.44441960286562188</v>
      </c>
      <c r="M935">
        <f t="shared" si="43"/>
        <v>5.3104456064514749E-2</v>
      </c>
      <c r="N935">
        <f t="shared" si="44"/>
        <v>7</v>
      </c>
    </row>
    <row r="936" spans="1:14" x14ac:dyDescent="0.35">
      <c r="A936" t="str">
        <f t="shared" si="42"/>
        <v>18097361200_2028</v>
      </c>
      <c r="B936">
        <v>18097361200</v>
      </c>
      <c r="C936">
        <v>2028</v>
      </c>
      <c r="D936">
        <v>-0.34559741205742323</v>
      </c>
      <c r="E936">
        <v>0.52230332266068746</v>
      </c>
      <c r="F936">
        <v>-1.028089852609158</v>
      </c>
      <c r="G936">
        <v>0.40005886491136861</v>
      </c>
      <c r="H936">
        <v>-0.71286562304769652</v>
      </c>
      <c r="I936">
        <v>0.24626916974026589</v>
      </c>
      <c r="J936">
        <v>0.42496145105159921</v>
      </c>
      <c r="M936">
        <f t="shared" si="43"/>
        <v>-0.49296007935035646</v>
      </c>
      <c r="N936">
        <f t="shared" si="44"/>
        <v>7</v>
      </c>
    </row>
    <row r="937" spans="1:14" x14ac:dyDescent="0.35">
      <c r="A937" t="str">
        <f t="shared" si="42"/>
        <v>18097361300_2024</v>
      </c>
      <c r="B937">
        <v>18097361300</v>
      </c>
      <c r="C937">
        <v>2024</v>
      </c>
      <c r="D937">
        <v>0.42092220711106459</v>
      </c>
      <c r="E937">
        <v>-4.6542558019032849E-2</v>
      </c>
      <c r="F937">
        <v>-1.156101572184032</v>
      </c>
      <c r="G937">
        <v>-0.4310899851589543</v>
      </c>
      <c r="H937">
        <v>1.09534781830457</v>
      </c>
      <c r="I937">
        <v>2.0223892749906151E-2</v>
      </c>
      <c r="J937">
        <v>1.02166607833189</v>
      </c>
      <c r="K937">
        <v>8.4256080211547093E-3</v>
      </c>
      <c r="M937">
        <f t="shared" si="43"/>
        <v>0.93285148915656624</v>
      </c>
      <c r="N937">
        <f t="shared" si="44"/>
        <v>8</v>
      </c>
    </row>
    <row r="938" spans="1:14" x14ac:dyDescent="0.35">
      <c r="A938" t="str">
        <f t="shared" si="42"/>
        <v>18097361300_2025</v>
      </c>
      <c r="B938">
        <v>18097361300</v>
      </c>
      <c r="C938">
        <v>2025</v>
      </c>
      <c r="D938">
        <v>-0.81162934826075728</v>
      </c>
      <c r="E938">
        <v>0.37949697334632149</v>
      </c>
      <c r="F938">
        <v>-4.2325409313456033E-2</v>
      </c>
      <c r="G938">
        <v>0.1462105988390443</v>
      </c>
      <c r="H938">
        <v>1.147225785635178</v>
      </c>
      <c r="I938">
        <v>-0.18756951686820281</v>
      </c>
      <c r="J938">
        <v>0.55155773887719428</v>
      </c>
      <c r="K938">
        <v>-0.32470131210059078</v>
      </c>
      <c r="M938">
        <f t="shared" si="43"/>
        <v>0.85826551015473118</v>
      </c>
      <c r="N938">
        <f t="shared" si="44"/>
        <v>8</v>
      </c>
    </row>
    <row r="939" spans="1:14" x14ac:dyDescent="0.35">
      <c r="A939" t="str">
        <f t="shared" si="42"/>
        <v>18097361300_2026</v>
      </c>
      <c r="B939">
        <v>18097361300</v>
      </c>
      <c r="C939">
        <v>2026</v>
      </c>
      <c r="D939">
        <v>8.8396034218683403E-3</v>
      </c>
      <c r="E939">
        <v>0.25002519452744731</v>
      </c>
      <c r="F939">
        <v>-0.57882683745369745</v>
      </c>
      <c r="G939">
        <v>-0.19494668427839471</v>
      </c>
      <c r="H939">
        <v>2.6805514265993251</v>
      </c>
      <c r="I939">
        <v>-5.8069974319320608E-2</v>
      </c>
      <c r="J939">
        <v>0.47278985624095338</v>
      </c>
      <c r="K939">
        <v>-0.39745746070797339</v>
      </c>
      <c r="M939">
        <f t="shared" si="43"/>
        <v>2.1829051240302082</v>
      </c>
      <c r="N939">
        <f t="shared" si="44"/>
        <v>8</v>
      </c>
    </row>
    <row r="940" spans="1:14" x14ac:dyDescent="0.35">
      <c r="A940" t="str">
        <f t="shared" si="42"/>
        <v>18097361300_2027</v>
      </c>
      <c r="B940">
        <v>18097361300</v>
      </c>
      <c r="C940">
        <v>2027</v>
      </c>
      <c r="D940">
        <v>-0.49718337356282422</v>
      </c>
      <c r="E940">
        <v>0.31992872038949571</v>
      </c>
      <c r="F940">
        <v>-0.45238584514457542</v>
      </c>
      <c r="G940">
        <v>-8.5899805323472411E-2</v>
      </c>
      <c r="H940">
        <v>2.7891320566301969</v>
      </c>
      <c r="I940">
        <v>4.3663028515501958E-4</v>
      </c>
      <c r="J940">
        <v>0.42938626512493988</v>
      </c>
      <c r="K940">
        <v>-0.35128340108801698</v>
      </c>
      <c r="M940">
        <f t="shared" si="43"/>
        <v>2.1521312473108982</v>
      </c>
      <c r="N940">
        <f t="shared" si="44"/>
        <v>8</v>
      </c>
    </row>
    <row r="941" spans="1:14" x14ac:dyDescent="0.35">
      <c r="A941" t="str">
        <f t="shared" si="42"/>
        <v>18097361300_2028</v>
      </c>
      <c r="B941">
        <v>18097361300</v>
      </c>
      <c r="C941">
        <v>2028</v>
      </c>
      <c r="D941">
        <v>-0.34171486515669142</v>
      </c>
      <c r="E941">
        <v>0.34511633395105029</v>
      </c>
      <c r="F941">
        <v>-0.52257609110156356</v>
      </c>
      <c r="G941">
        <v>-0.1238208172176737</v>
      </c>
      <c r="H941">
        <v>3.0929887365066229</v>
      </c>
      <c r="I941">
        <v>7.2403810264189322E-2</v>
      </c>
      <c r="J941">
        <v>0.41003736503158822</v>
      </c>
      <c r="K941">
        <v>-0.34346497345405241</v>
      </c>
      <c r="M941">
        <f t="shared" si="43"/>
        <v>2.5889694988234697</v>
      </c>
      <c r="N941">
        <f t="shared" si="44"/>
        <v>8</v>
      </c>
    </row>
    <row r="942" spans="1:14" x14ac:dyDescent="0.35">
      <c r="A942" t="str">
        <f t="shared" si="42"/>
        <v>18097361401_2024</v>
      </c>
      <c r="B942">
        <v>18097361401</v>
      </c>
      <c r="C942">
        <v>2024</v>
      </c>
      <c r="D942">
        <v>1.125150532382845</v>
      </c>
      <c r="E942">
        <v>0.40012456544216718</v>
      </c>
      <c r="F942">
        <v>-0.53853635715075798</v>
      </c>
      <c r="I942">
        <v>-1.5370014014751441</v>
      </c>
      <c r="J942">
        <v>-0.43464136681001397</v>
      </c>
      <c r="K942">
        <v>-0.1094698676061294</v>
      </c>
      <c r="M942">
        <f t="shared" si="43"/>
        <v>-1.0943738952170332</v>
      </c>
      <c r="N942">
        <f t="shared" si="44"/>
        <v>6</v>
      </c>
    </row>
    <row r="943" spans="1:14" x14ac:dyDescent="0.35">
      <c r="A943" t="str">
        <f t="shared" si="42"/>
        <v>18097361401_2025</v>
      </c>
      <c r="B943">
        <v>18097361401</v>
      </c>
      <c r="C943">
        <v>2025</v>
      </c>
      <c r="D943">
        <v>1.560933605463124</v>
      </c>
      <c r="E943">
        <v>-1.2197721768150589</v>
      </c>
      <c r="F943">
        <v>1.811987459289734</v>
      </c>
      <c r="I943">
        <v>-2.8866448334725869</v>
      </c>
      <c r="J943">
        <v>-0.6203145194231785</v>
      </c>
      <c r="K943">
        <v>-0.77607694844336228</v>
      </c>
      <c r="M943">
        <f t="shared" si="43"/>
        <v>-2.1298874134013284</v>
      </c>
      <c r="N943">
        <f t="shared" si="44"/>
        <v>6</v>
      </c>
    </row>
    <row r="944" spans="1:14" x14ac:dyDescent="0.35">
      <c r="A944" t="str">
        <f t="shared" si="42"/>
        <v>18097361401_2026</v>
      </c>
      <c r="B944">
        <v>18097361401</v>
      </c>
      <c r="C944">
        <v>2026</v>
      </c>
      <c r="D944">
        <v>1.4510270873064071</v>
      </c>
      <c r="E944">
        <v>-0.55799842179176007</v>
      </c>
      <c r="F944">
        <v>0.33662031204790199</v>
      </c>
      <c r="I944">
        <v>-2.524472326424303</v>
      </c>
      <c r="J944">
        <v>-0.7036204647663642</v>
      </c>
      <c r="K944">
        <v>-0.85606144703494658</v>
      </c>
      <c r="M944">
        <f t="shared" si="43"/>
        <v>-2.854505260663065</v>
      </c>
      <c r="N944">
        <f t="shared" si="44"/>
        <v>6</v>
      </c>
    </row>
    <row r="945" spans="1:14" x14ac:dyDescent="0.35">
      <c r="A945" t="str">
        <f t="shared" si="42"/>
        <v>18097361401_2027</v>
      </c>
      <c r="B945">
        <v>18097361401</v>
      </c>
      <c r="C945">
        <v>2027</v>
      </c>
      <c r="D945">
        <v>1.9252656067632601</v>
      </c>
      <c r="E945">
        <v>-0.82912913941919664</v>
      </c>
      <c r="F945">
        <v>1.592157781467773</v>
      </c>
      <c r="I945">
        <v>-3.2563738825560691</v>
      </c>
      <c r="J945">
        <v>-0.72917005945697244</v>
      </c>
      <c r="K945">
        <v>-0.8137822796135461</v>
      </c>
      <c r="M945">
        <f t="shared" si="43"/>
        <v>-2.1110319728147511</v>
      </c>
      <c r="N945">
        <f t="shared" si="44"/>
        <v>6</v>
      </c>
    </row>
    <row r="946" spans="1:14" x14ac:dyDescent="0.35">
      <c r="A946" t="str">
        <f t="shared" si="42"/>
        <v>18097361401_2028</v>
      </c>
      <c r="B946">
        <v>18097361401</v>
      </c>
      <c r="C946">
        <v>2028</v>
      </c>
      <c r="D946">
        <v>1.828323902305427</v>
      </c>
      <c r="E946">
        <v>-0.60049006004927352</v>
      </c>
      <c r="F946">
        <v>0.9010100392580136</v>
      </c>
      <c r="I946">
        <v>-2.7977659205661092</v>
      </c>
      <c r="J946">
        <v>-0.73793003361641418</v>
      </c>
      <c r="K946">
        <v>-0.8062925017378344</v>
      </c>
      <c r="M946">
        <f t="shared" si="43"/>
        <v>-2.2131445744061904</v>
      </c>
      <c r="N946">
        <f t="shared" si="44"/>
        <v>6</v>
      </c>
    </row>
    <row r="947" spans="1:14" x14ac:dyDescent="0.35">
      <c r="A947" t="str">
        <f t="shared" si="42"/>
        <v>18097361402_2024</v>
      </c>
      <c r="B947">
        <v>18097361402</v>
      </c>
      <c r="C947">
        <v>2024</v>
      </c>
      <c r="D947">
        <v>9.2138710758405643E-2</v>
      </c>
      <c r="E947">
        <v>-0.71156459275717021</v>
      </c>
      <c r="F947">
        <v>-0.35268723027330501</v>
      </c>
      <c r="G947">
        <v>0.26114383294928828</v>
      </c>
      <c r="H947">
        <v>6.3307204453185661E-2</v>
      </c>
      <c r="I947">
        <v>0.65678231254295205</v>
      </c>
      <c r="J947">
        <v>1.239821139612572</v>
      </c>
      <c r="K947">
        <v>9.1746997426978505E-2</v>
      </c>
      <c r="M947">
        <f t="shared" si="43"/>
        <v>1.340688374712907</v>
      </c>
      <c r="N947">
        <f t="shared" si="44"/>
        <v>8</v>
      </c>
    </row>
    <row r="948" spans="1:14" x14ac:dyDescent="0.35">
      <c r="A948" t="str">
        <f t="shared" si="42"/>
        <v>18097361402_2025</v>
      </c>
      <c r="B948">
        <v>18097361402</v>
      </c>
      <c r="C948">
        <v>2025</v>
      </c>
      <c r="D948">
        <v>-1.3964899261080581</v>
      </c>
      <c r="E948">
        <v>2.1772643711363342</v>
      </c>
      <c r="F948">
        <v>1.507162828813897</v>
      </c>
      <c r="G948">
        <v>0.57649816909857132</v>
      </c>
      <c r="H948">
        <v>-0.97715216657380322</v>
      </c>
      <c r="I948">
        <v>-0.46061859738694771</v>
      </c>
      <c r="J948">
        <v>0.6131926838434647</v>
      </c>
      <c r="K948">
        <v>-8.2544217254197166E-2</v>
      </c>
      <c r="M948">
        <f t="shared" si="43"/>
        <v>1.9573131455692616</v>
      </c>
      <c r="N948">
        <f t="shared" si="44"/>
        <v>8</v>
      </c>
    </row>
    <row r="949" spans="1:14" x14ac:dyDescent="0.35">
      <c r="A949" t="str">
        <f t="shared" si="42"/>
        <v>18097361402_2026</v>
      </c>
      <c r="B949">
        <v>18097361402</v>
      </c>
      <c r="C949">
        <v>2026</v>
      </c>
      <c r="D949">
        <v>0.36471641688176493</v>
      </c>
      <c r="E949">
        <v>-1.4330997039777991</v>
      </c>
      <c r="F949">
        <v>0.34943946338652399</v>
      </c>
      <c r="G949">
        <v>0.61953817447316795</v>
      </c>
      <c r="H949">
        <v>-0.22882384659625271</v>
      </c>
      <c r="I949">
        <v>0.78379277910787715</v>
      </c>
      <c r="J949">
        <v>0.55577617167111082</v>
      </c>
      <c r="K949">
        <v>-0.17314325968054131</v>
      </c>
      <c r="M949">
        <f t="shared" si="43"/>
        <v>0.83819619526585165</v>
      </c>
      <c r="N949">
        <f t="shared" si="44"/>
        <v>8</v>
      </c>
    </row>
    <row r="950" spans="1:14" x14ac:dyDescent="0.35">
      <c r="A950" t="str">
        <f t="shared" si="42"/>
        <v>18097361402_2027</v>
      </c>
      <c r="B950">
        <v>18097361402</v>
      </c>
      <c r="C950">
        <v>2027</v>
      </c>
      <c r="D950">
        <v>-1.422504774246717</v>
      </c>
      <c r="E950">
        <v>2.236727673581659</v>
      </c>
      <c r="F950">
        <v>1.6129981187614519</v>
      </c>
      <c r="G950">
        <v>0.72227103866821396</v>
      </c>
      <c r="H950">
        <v>-0.80066758130665594</v>
      </c>
      <c r="I950">
        <v>-0.18574304869361941</v>
      </c>
      <c r="J950">
        <v>0.50872652748565339</v>
      </c>
      <c r="K950">
        <v>-0.13298557487621601</v>
      </c>
      <c r="M950">
        <f t="shared" si="43"/>
        <v>2.5388223793737699</v>
      </c>
      <c r="N950">
        <f t="shared" si="44"/>
        <v>8</v>
      </c>
    </row>
    <row r="951" spans="1:14" x14ac:dyDescent="0.35">
      <c r="A951" t="str">
        <f t="shared" si="42"/>
        <v>18097361402_2028</v>
      </c>
      <c r="B951">
        <v>18097361402</v>
      </c>
      <c r="C951">
        <v>2028</v>
      </c>
      <c r="D951">
        <v>-5.6029900771576588E-2</v>
      </c>
      <c r="E951">
        <v>-1.126731846542834</v>
      </c>
      <c r="F951">
        <v>0.7059178792608366</v>
      </c>
      <c r="G951">
        <v>0.66776093183313245</v>
      </c>
      <c r="H951">
        <v>-0.39402748735781751</v>
      </c>
      <c r="I951">
        <v>0.54829814988537717</v>
      </c>
      <c r="J951">
        <v>0.48892436180064203</v>
      </c>
      <c r="K951">
        <v>-0.12877352709525569</v>
      </c>
      <c r="M951">
        <f t="shared" si="43"/>
        <v>0.70533856101250447</v>
      </c>
      <c r="N951">
        <f t="shared" si="44"/>
        <v>8</v>
      </c>
    </row>
    <row r="952" spans="1:14" x14ac:dyDescent="0.35">
      <c r="A952" t="str">
        <f t="shared" si="42"/>
        <v>18097361601_2024</v>
      </c>
      <c r="B952">
        <v>18097361601</v>
      </c>
      <c r="C952">
        <v>2024</v>
      </c>
      <c r="D952">
        <v>0.97063764787954243</v>
      </c>
      <c r="E952">
        <v>-0.16761526775168259</v>
      </c>
      <c r="F952">
        <v>-1.08600433843058</v>
      </c>
      <c r="G952">
        <v>5.5601965279064199E-3</v>
      </c>
      <c r="I952">
        <v>0.36720443031672978</v>
      </c>
      <c r="J952">
        <v>-0.2175791073022543</v>
      </c>
      <c r="K952">
        <v>0.17469612939402951</v>
      </c>
      <c r="M952">
        <f t="shared" si="43"/>
        <v>4.6899690633691288E-2</v>
      </c>
      <c r="N952">
        <f t="shared" si="44"/>
        <v>7</v>
      </c>
    </row>
    <row r="953" spans="1:14" x14ac:dyDescent="0.35">
      <c r="A953" t="str">
        <f t="shared" si="42"/>
        <v>18097361601_2025</v>
      </c>
      <c r="B953">
        <v>18097361601</v>
      </c>
      <c r="C953">
        <v>2025</v>
      </c>
      <c r="D953">
        <v>0.85414720465244387</v>
      </c>
      <c r="E953">
        <v>-0.31433507090307788</v>
      </c>
      <c r="F953">
        <v>8.1092249253274584</v>
      </c>
      <c r="G953">
        <v>-0.66195486832565475</v>
      </c>
      <c r="I953">
        <v>-0.92232478362841963</v>
      </c>
      <c r="J953">
        <v>-0.43286307569422822</v>
      </c>
      <c r="K953">
        <v>0.67773455608353594</v>
      </c>
      <c r="M953">
        <f t="shared" si="43"/>
        <v>7.3096288875120585</v>
      </c>
      <c r="N953">
        <f t="shared" si="44"/>
        <v>7</v>
      </c>
    </row>
    <row r="954" spans="1:14" x14ac:dyDescent="0.35">
      <c r="A954" t="str">
        <f t="shared" si="42"/>
        <v>18097361601_2026</v>
      </c>
      <c r="B954">
        <v>18097361601</v>
      </c>
      <c r="C954">
        <v>2026</v>
      </c>
      <c r="D954">
        <v>1.19723389236405</v>
      </c>
      <c r="E954">
        <v>-0.28721828857650322</v>
      </c>
      <c r="F954">
        <v>8.727206975454914</v>
      </c>
      <c r="G954">
        <v>9.3224156996503285E-2</v>
      </c>
      <c r="I954">
        <v>-0.39533419611298798</v>
      </c>
      <c r="J954">
        <v>-0.52128117337502844</v>
      </c>
      <c r="K954">
        <v>0.8333331305575542</v>
      </c>
      <c r="M954">
        <f t="shared" si="43"/>
        <v>9.6471644973085038</v>
      </c>
      <c r="N954">
        <f t="shared" si="44"/>
        <v>7</v>
      </c>
    </row>
    <row r="955" spans="1:14" x14ac:dyDescent="0.35">
      <c r="A955" t="str">
        <f t="shared" si="42"/>
        <v>18097361601_2027</v>
      </c>
      <c r="B955">
        <v>18097361601</v>
      </c>
      <c r="C955">
        <v>2027</v>
      </c>
      <c r="D955">
        <v>1.2895057529904299</v>
      </c>
      <c r="E955">
        <v>-0.26585106394224262</v>
      </c>
      <c r="F955">
        <v>5.7388530772886366</v>
      </c>
      <c r="G955">
        <v>-0.68185096016735469</v>
      </c>
      <c r="I955">
        <v>-0.4157334986725103</v>
      </c>
      <c r="J955">
        <v>-0.54947726746168524</v>
      </c>
      <c r="K955">
        <v>1.0076251729433301</v>
      </c>
      <c r="M955">
        <f t="shared" si="43"/>
        <v>6.123071212978604</v>
      </c>
      <c r="N955">
        <f t="shared" si="44"/>
        <v>7</v>
      </c>
    </row>
    <row r="956" spans="1:14" x14ac:dyDescent="0.35">
      <c r="A956" t="str">
        <f t="shared" si="42"/>
        <v>18097361601_2028</v>
      </c>
      <c r="B956">
        <v>18097361601</v>
      </c>
      <c r="C956">
        <v>2028</v>
      </c>
      <c r="D956">
        <v>1.3110437805394459</v>
      </c>
      <c r="E956">
        <v>-0.1599852793234095</v>
      </c>
      <c r="F956">
        <v>0.14655645712858231</v>
      </c>
      <c r="G956">
        <v>6.8134858287198258E-2</v>
      </c>
      <c r="I956">
        <v>-0.22774415280746521</v>
      </c>
      <c r="J956">
        <v>-0.55990970970257026</v>
      </c>
      <c r="K956">
        <v>1.078672098533427</v>
      </c>
      <c r="M956">
        <f t="shared" si="43"/>
        <v>1.6567680526552084</v>
      </c>
      <c r="N956">
        <f t="shared" si="44"/>
        <v>7</v>
      </c>
    </row>
    <row r="957" spans="1:14" x14ac:dyDescent="0.35">
      <c r="A957" t="str">
        <f t="shared" si="42"/>
        <v>18097361602_2024</v>
      </c>
      <c r="B957">
        <v>18097361602</v>
      </c>
      <c r="C957">
        <v>2024</v>
      </c>
      <c r="D957">
        <v>1.124336980840754</v>
      </c>
      <c r="E957">
        <v>-1.3407947816989929</v>
      </c>
      <c r="G957">
        <v>-2.85240743906862</v>
      </c>
      <c r="J957">
        <v>-0.43605479810168207</v>
      </c>
      <c r="K957">
        <v>-0.11015143805733819</v>
      </c>
      <c r="M957">
        <f t="shared" si="43"/>
        <v>-3.6150714760858791</v>
      </c>
      <c r="N957">
        <f t="shared" si="44"/>
        <v>5</v>
      </c>
    </row>
    <row r="958" spans="1:14" x14ac:dyDescent="0.35">
      <c r="A958" t="str">
        <f t="shared" si="42"/>
        <v>18097361602_2025</v>
      </c>
      <c r="B958">
        <v>18097361602</v>
      </c>
      <c r="C958">
        <v>2025</v>
      </c>
      <c r="D958">
        <v>1.5765401460994279</v>
      </c>
      <c r="E958">
        <v>3.2235856290513349</v>
      </c>
      <c r="G958">
        <v>1.136792451564933</v>
      </c>
      <c r="J958">
        <v>-0.62165353723838346</v>
      </c>
      <c r="K958">
        <v>-0.77977937897277994</v>
      </c>
      <c r="M958">
        <f t="shared" si="43"/>
        <v>4.5354853105045319</v>
      </c>
      <c r="N958">
        <f t="shared" si="44"/>
        <v>5</v>
      </c>
    </row>
    <row r="959" spans="1:14" x14ac:dyDescent="0.35">
      <c r="A959" t="str">
        <f t="shared" si="42"/>
        <v>18097361602_2026</v>
      </c>
      <c r="B959">
        <v>18097361602</v>
      </c>
      <c r="C959">
        <v>2026</v>
      </c>
      <c r="D959">
        <v>1.4578958717966399</v>
      </c>
      <c r="E959">
        <v>-2.6197577613699008</v>
      </c>
      <c r="G959">
        <v>-6.8961947769283132</v>
      </c>
      <c r="J959">
        <v>-0.70493064279615469</v>
      </c>
      <c r="K959">
        <v>-0.86067903960754655</v>
      </c>
      <c r="M959">
        <f t="shared" si="43"/>
        <v>-9.6236663489052763</v>
      </c>
      <c r="N959">
        <f t="shared" si="44"/>
        <v>5</v>
      </c>
    </row>
    <row r="960" spans="1:14" x14ac:dyDescent="0.35">
      <c r="A960" t="str">
        <f t="shared" si="42"/>
        <v>18097361602_2027</v>
      </c>
      <c r="B960">
        <v>18097361602</v>
      </c>
      <c r="C960">
        <v>2027</v>
      </c>
      <c r="D960">
        <v>1.937832125611594</v>
      </c>
      <c r="E960">
        <v>3.268776042283505</v>
      </c>
      <c r="G960">
        <v>1.0141460805924689</v>
      </c>
      <c r="J960">
        <v>-0.73046150372377883</v>
      </c>
      <c r="K960">
        <v>-0.81907338086599313</v>
      </c>
      <c r="M960">
        <f t="shared" si="43"/>
        <v>4.6712193638977952</v>
      </c>
      <c r="N960">
        <f t="shared" si="44"/>
        <v>5</v>
      </c>
    </row>
    <row r="961" spans="1:14" x14ac:dyDescent="0.35">
      <c r="A961" t="str">
        <f t="shared" si="42"/>
        <v>18097361602_2028</v>
      </c>
      <c r="B961">
        <v>18097361602</v>
      </c>
      <c r="C961">
        <v>2028</v>
      </c>
      <c r="D961">
        <v>1.840440160203817</v>
      </c>
      <c r="E961">
        <v>-2.1348313102595271</v>
      </c>
      <c r="G961">
        <v>-7.2980903053420034</v>
      </c>
      <c r="J961">
        <v>-0.73920946387251296</v>
      </c>
      <c r="K961">
        <v>-0.8120425212943726</v>
      </c>
      <c r="M961">
        <f t="shared" si="43"/>
        <v>-9.1437334405645991</v>
      </c>
      <c r="N961">
        <f t="shared" si="44"/>
        <v>5</v>
      </c>
    </row>
    <row r="962" spans="1:14" x14ac:dyDescent="0.35">
      <c r="A962" t="str">
        <f t="shared" si="42"/>
        <v>18097370201_2024</v>
      </c>
      <c r="B962">
        <v>18097370201</v>
      </c>
      <c r="C962">
        <v>2024</v>
      </c>
      <c r="D962">
        <v>-0.43243361993562651</v>
      </c>
      <c r="E962">
        <v>-1.380149525598535</v>
      </c>
      <c r="F962">
        <v>0.9685924414394872</v>
      </c>
      <c r="G962">
        <v>-0.21424234454142471</v>
      </c>
      <c r="H962">
        <v>3.9168716967041439E-2</v>
      </c>
      <c r="I962">
        <v>-1.4512865992365769E-2</v>
      </c>
      <c r="J962">
        <v>0.51313803792881751</v>
      </c>
      <c r="K962">
        <v>-2.0425083594783299E-2</v>
      </c>
      <c r="M962">
        <f t="shared" si="43"/>
        <v>-0.54086424332738903</v>
      </c>
      <c r="N962">
        <f t="shared" si="44"/>
        <v>8</v>
      </c>
    </row>
    <row r="963" spans="1:14" x14ac:dyDescent="0.35">
      <c r="A963" t="str">
        <f t="shared" ref="A963:A1026" si="45">TEXT(B963,0)&amp;"_"&amp;TEXT(C963,0)</f>
        <v>18097370201_2025</v>
      </c>
      <c r="B963">
        <v>18097370201</v>
      </c>
      <c r="C963">
        <v>2025</v>
      </c>
      <c r="D963">
        <v>0.59389896000566988</v>
      </c>
      <c r="E963">
        <v>-1.0814651801074111</v>
      </c>
      <c r="F963">
        <v>2.2588855113463242</v>
      </c>
      <c r="G963">
        <v>-0.35464204121616139</v>
      </c>
      <c r="H963">
        <v>-0.40351623301213219</v>
      </c>
      <c r="I963">
        <v>-0.29970003128132539</v>
      </c>
      <c r="J963">
        <v>0.34888499619579311</v>
      </c>
      <c r="K963">
        <v>-0.54018831928917033</v>
      </c>
      <c r="M963">
        <f t="shared" ref="M963:M1026" si="46">SUM(D963:K963)</f>
        <v>0.5221576626415867</v>
      </c>
      <c r="N963">
        <f t="shared" ref="N963:N1026" si="47">IF(D963=0,0,1)+IF(E963=0,0,1)+IF(F963=0,0,1)+IF(G963=0,0,1)+IF(H963=0,0,1)+IF(I963=0,0,1)++IF(J963=0,0,1)++IF(K963=0,0,1)</f>
        <v>8</v>
      </c>
    </row>
    <row r="964" spans="1:14" x14ac:dyDescent="0.35">
      <c r="A964" t="str">
        <f t="shared" si="45"/>
        <v>18097370201_2026</v>
      </c>
      <c r="B964">
        <v>18097370201</v>
      </c>
      <c r="C964">
        <v>2026</v>
      </c>
      <c r="D964">
        <v>4.9621238458300729E-2</v>
      </c>
      <c r="E964">
        <v>-1.942920094310894</v>
      </c>
      <c r="F964">
        <v>2.028173117399283</v>
      </c>
      <c r="G964">
        <v>-0.38698885722166021</v>
      </c>
      <c r="H964">
        <v>-0.31611824373479619</v>
      </c>
      <c r="I964">
        <v>-7.8059304069070232E-2</v>
      </c>
      <c r="J964">
        <v>0.25366894598885997</v>
      </c>
      <c r="K964">
        <v>-0.67131311640196245</v>
      </c>
      <c r="M964">
        <f t="shared" si="46"/>
        <v>-1.0639363138919393</v>
      </c>
      <c r="N964">
        <f t="shared" si="47"/>
        <v>8</v>
      </c>
    </row>
    <row r="965" spans="1:14" x14ac:dyDescent="0.35">
      <c r="A965" t="str">
        <f t="shared" si="45"/>
        <v>18097370201_2027</v>
      </c>
      <c r="B965">
        <v>18097370201</v>
      </c>
      <c r="C965">
        <v>2027</v>
      </c>
      <c r="D965">
        <v>0.46427548931849288</v>
      </c>
      <c r="E965">
        <v>-1.829143630183808</v>
      </c>
      <c r="F965">
        <v>2.000116056720938</v>
      </c>
      <c r="G965">
        <v>-0.40225794237866919</v>
      </c>
      <c r="H965">
        <v>-0.43193100707279108</v>
      </c>
      <c r="I965">
        <v>-6.9071560227997528E-2</v>
      </c>
      <c r="J965">
        <v>0.2150819830434528</v>
      </c>
      <c r="K965">
        <v>-0.66790681875545799</v>
      </c>
      <c r="M965">
        <f t="shared" si="46"/>
        <v>-0.72083742953584018</v>
      </c>
      <c r="N965">
        <f t="shared" si="47"/>
        <v>8</v>
      </c>
    </row>
    <row r="966" spans="1:14" x14ac:dyDescent="0.35">
      <c r="A966" t="str">
        <f t="shared" si="45"/>
        <v>18097370201_2028</v>
      </c>
      <c r="B966">
        <v>18097370201</v>
      </c>
      <c r="C966">
        <v>2028</v>
      </c>
      <c r="D966">
        <v>0.23390266284932151</v>
      </c>
      <c r="E966">
        <v>-1.858642550041312</v>
      </c>
      <c r="F966">
        <v>1.983302190006478</v>
      </c>
      <c r="G966">
        <v>-0.39406468475459139</v>
      </c>
      <c r="H966">
        <v>-0.43525883265141929</v>
      </c>
      <c r="I966">
        <v>4.225651204840377E-2</v>
      </c>
      <c r="J966">
        <v>0.1975783408472061</v>
      </c>
      <c r="K966">
        <v>-0.69257752288629204</v>
      </c>
      <c r="M966">
        <f t="shared" si="46"/>
        <v>-0.92350388458220534</v>
      </c>
      <c r="N966">
        <f t="shared" si="47"/>
        <v>8</v>
      </c>
    </row>
    <row r="967" spans="1:14" x14ac:dyDescent="0.35">
      <c r="A967" t="str">
        <f t="shared" si="45"/>
        <v>18097370203_2024</v>
      </c>
      <c r="B967">
        <v>18097370203</v>
      </c>
      <c r="C967">
        <v>2024</v>
      </c>
      <c r="D967">
        <v>-0.36840072658541551</v>
      </c>
      <c r="E967">
        <v>1.2093211167929441</v>
      </c>
      <c r="F967">
        <v>0.61335813703968922</v>
      </c>
      <c r="I967">
        <v>-0.47673202782926011</v>
      </c>
      <c r="J967">
        <v>1.300979019508866</v>
      </c>
      <c r="M967">
        <f t="shared" si="46"/>
        <v>2.2785255189268234</v>
      </c>
      <c r="N967">
        <f t="shared" si="47"/>
        <v>5</v>
      </c>
    </row>
    <row r="968" spans="1:14" x14ac:dyDescent="0.35">
      <c r="A968" t="str">
        <f t="shared" si="45"/>
        <v>18097370203_2025</v>
      </c>
      <c r="B968">
        <v>18097370203</v>
      </c>
      <c r="C968">
        <v>2025</v>
      </c>
      <c r="D968">
        <v>-0.54993355916200604</v>
      </c>
      <c r="E968">
        <v>2.9013348021372801E-2</v>
      </c>
      <c r="F968">
        <v>0.55463104946478958</v>
      </c>
      <c r="I968">
        <v>-1.1200903950047341</v>
      </c>
      <c r="J968">
        <v>0.85621853849904395</v>
      </c>
      <c r="M968">
        <f t="shared" si="46"/>
        <v>-0.23016101818153367</v>
      </c>
      <c r="N968">
        <f t="shared" si="47"/>
        <v>5</v>
      </c>
    </row>
    <row r="969" spans="1:14" x14ac:dyDescent="0.35">
      <c r="A969" t="str">
        <f t="shared" si="45"/>
        <v>18097370203_2026</v>
      </c>
      <c r="B969">
        <v>18097370203</v>
      </c>
      <c r="C969">
        <v>2026</v>
      </c>
      <c r="D969">
        <v>-0.46829192110264539</v>
      </c>
      <c r="E969">
        <v>1.8923965559599241</v>
      </c>
      <c r="F969">
        <v>0.58347037051854889</v>
      </c>
      <c r="I969">
        <v>-0.85622215681724068</v>
      </c>
      <c r="J969">
        <v>0.77468030043841896</v>
      </c>
      <c r="M969">
        <f t="shared" si="46"/>
        <v>1.9260331489970057</v>
      </c>
      <c r="N969">
        <f t="shared" si="47"/>
        <v>5</v>
      </c>
    </row>
    <row r="970" spans="1:14" x14ac:dyDescent="0.35">
      <c r="A970" t="str">
        <f t="shared" si="45"/>
        <v>18097370203_2027</v>
      </c>
      <c r="B970">
        <v>18097370203</v>
      </c>
      <c r="C970">
        <v>2027</v>
      </c>
      <c r="D970">
        <v>-0.58245402891069809</v>
      </c>
      <c r="E970">
        <v>0.14104671040095659</v>
      </c>
      <c r="F970">
        <v>0.67632905579890468</v>
      </c>
      <c r="I970">
        <v>-0.78595082740416489</v>
      </c>
      <c r="J970">
        <v>0.72723329792483771</v>
      </c>
      <c r="M970">
        <f t="shared" si="46"/>
        <v>0.17620420780983603</v>
      </c>
      <c r="N970">
        <f t="shared" si="47"/>
        <v>5</v>
      </c>
    </row>
    <row r="971" spans="1:14" x14ac:dyDescent="0.35">
      <c r="A971" t="str">
        <f t="shared" si="45"/>
        <v>18097370203_2028</v>
      </c>
      <c r="B971">
        <v>18097370203</v>
      </c>
      <c r="C971">
        <v>2028</v>
      </c>
      <c r="D971">
        <v>-0.63017369750051411</v>
      </c>
      <c r="E971">
        <v>1.5300954477284541</v>
      </c>
      <c r="F971">
        <v>0.78881805774307756</v>
      </c>
      <c r="I971">
        <v>-0.55464754375740066</v>
      </c>
      <c r="J971">
        <v>0.70512771330711921</v>
      </c>
      <c r="M971">
        <f t="shared" si="46"/>
        <v>1.8392199775207363</v>
      </c>
      <c r="N971">
        <f t="shared" si="47"/>
        <v>5</v>
      </c>
    </row>
    <row r="972" spans="1:14" x14ac:dyDescent="0.35">
      <c r="A972" t="str">
        <f t="shared" si="45"/>
        <v>18097370204_2024</v>
      </c>
      <c r="B972">
        <v>18097370204</v>
      </c>
      <c r="C972">
        <v>2024</v>
      </c>
      <c r="D972">
        <v>-0.43239045812306842</v>
      </c>
      <c r="E972">
        <v>-1.6756152121792951</v>
      </c>
      <c r="F972">
        <v>-0.2939234399414572</v>
      </c>
      <c r="I972">
        <v>0.43194170660576892</v>
      </c>
      <c r="J972">
        <v>0.51139638707883317</v>
      </c>
      <c r="K972">
        <v>-2.0652676174741608E-2</v>
      </c>
      <c r="M972">
        <f t="shared" si="46"/>
        <v>-1.4792436927339598</v>
      </c>
      <c r="N972">
        <f t="shared" si="47"/>
        <v>6</v>
      </c>
    </row>
    <row r="973" spans="1:14" x14ac:dyDescent="0.35">
      <c r="A973" t="str">
        <f t="shared" si="45"/>
        <v>18097370204_2025</v>
      </c>
      <c r="B973">
        <v>18097370204</v>
      </c>
      <c r="C973">
        <v>2025</v>
      </c>
      <c r="D973">
        <v>0.59797331837315759</v>
      </c>
      <c r="E973">
        <v>4.696830150682251</v>
      </c>
      <c r="F973">
        <v>-1.579252416028762</v>
      </c>
      <c r="I973">
        <v>-0.3355257814279764</v>
      </c>
      <c r="J973">
        <v>0.3476132366669859</v>
      </c>
      <c r="K973">
        <v>-0.54102781806780742</v>
      </c>
      <c r="M973">
        <f t="shared" si="46"/>
        <v>3.186610690197849</v>
      </c>
      <c r="N973">
        <f t="shared" si="47"/>
        <v>6</v>
      </c>
    </row>
    <row r="974" spans="1:14" x14ac:dyDescent="0.35">
      <c r="A974" t="str">
        <f t="shared" si="45"/>
        <v>18097370204_2026</v>
      </c>
      <c r="B974">
        <v>18097370204</v>
      </c>
      <c r="C974">
        <v>2026</v>
      </c>
      <c r="D974">
        <v>5.157951567692734E-2</v>
      </c>
      <c r="E974">
        <v>-2.5866133630610868</v>
      </c>
      <c r="F974">
        <v>1.3559676026837599</v>
      </c>
      <c r="I974">
        <v>0.29730667859106708</v>
      </c>
      <c r="J974">
        <v>0.25246017477888782</v>
      </c>
      <c r="K974">
        <v>-0.67234061680730761</v>
      </c>
      <c r="M974">
        <f t="shared" si="46"/>
        <v>-1.3016400081377524</v>
      </c>
      <c r="N974">
        <f t="shared" si="47"/>
        <v>6</v>
      </c>
    </row>
    <row r="975" spans="1:14" x14ac:dyDescent="0.35">
      <c r="A975" t="str">
        <f t="shared" si="45"/>
        <v>18097370204_2027</v>
      </c>
      <c r="B975">
        <v>18097370204</v>
      </c>
      <c r="C975">
        <v>2027</v>
      </c>
      <c r="D975">
        <v>0.4680771364170232</v>
      </c>
      <c r="E975">
        <v>3.7654183304625621</v>
      </c>
      <c r="F975">
        <v>-1.58837527117211</v>
      </c>
      <c r="I975">
        <v>2.8002782830408302E-3</v>
      </c>
      <c r="J975">
        <v>0.2138925122248935</v>
      </c>
      <c r="K975">
        <v>-0.66920051171920347</v>
      </c>
      <c r="M975">
        <f t="shared" si="46"/>
        <v>2.1926124744962063</v>
      </c>
      <c r="N975">
        <f t="shared" si="47"/>
        <v>6</v>
      </c>
    </row>
    <row r="976" spans="1:14" x14ac:dyDescent="0.35">
      <c r="A976" t="str">
        <f t="shared" si="45"/>
        <v>18097370204_2028</v>
      </c>
      <c r="B976">
        <v>18097370204</v>
      </c>
      <c r="C976">
        <v>2028</v>
      </c>
      <c r="D976">
        <v>0.23707164878257919</v>
      </c>
      <c r="E976">
        <v>-1.6410032208684531</v>
      </c>
      <c r="F976">
        <v>1.3003499667635989</v>
      </c>
      <c r="I976">
        <v>0.22202000131077421</v>
      </c>
      <c r="J976">
        <v>0.19640003276756809</v>
      </c>
      <c r="K976">
        <v>-0.69416689816970445</v>
      </c>
      <c r="M976">
        <f t="shared" si="46"/>
        <v>-0.37932846941363707</v>
      </c>
      <c r="N976">
        <f t="shared" si="47"/>
        <v>6</v>
      </c>
    </row>
    <row r="977" spans="1:14" x14ac:dyDescent="0.35">
      <c r="A977" t="str">
        <f t="shared" si="45"/>
        <v>18097370303_2024</v>
      </c>
      <c r="B977">
        <v>18097370303</v>
      </c>
      <c r="C977">
        <v>2024</v>
      </c>
      <c r="D977">
        <v>-0.37710024478286602</v>
      </c>
      <c r="E977">
        <v>-0.94415330736452718</v>
      </c>
      <c r="F977">
        <v>-0.85210760875707425</v>
      </c>
      <c r="G977">
        <v>2.2229850894104581</v>
      </c>
      <c r="I977">
        <v>-0.9360677778103712</v>
      </c>
      <c r="J977">
        <v>1.0977559959640819</v>
      </c>
      <c r="M977">
        <f t="shared" si="46"/>
        <v>0.21131214665970144</v>
      </c>
      <c r="N977">
        <f t="shared" si="47"/>
        <v>6</v>
      </c>
    </row>
    <row r="978" spans="1:14" x14ac:dyDescent="0.35">
      <c r="A978" t="str">
        <f t="shared" si="45"/>
        <v>18097370303_2025</v>
      </c>
      <c r="B978">
        <v>18097370303</v>
      </c>
      <c r="C978">
        <v>2025</v>
      </c>
      <c r="D978">
        <v>-0.42845492688636222</v>
      </c>
      <c r="E978">
        <v>-5.9784469848979761E-2</v>
      </c>
      <c r="F978">
        <v>0.93032189206286442</v>
      </c>
      <c r="G978">
        <v>-2.7066853366313008</v>
      </c>
      <c r="I978">
        <v>-0.59243251376864081</v>
      </c>
      <c r="J978">
        <v>0.73056057101830529</v>
      </c>
      <c r="M978">
        <f t="shared" si="46"/>
        <v>-2.1264747840541141</v>
      </c>
      <c r="N978">
        <f t="shared" si="47"/>
        <v>6</v>
      </c>
    </row>
    <row r="979" spans="1:14" x14ac:dyDescent="0.35">
      <c r="A979" t="str">
        <f t="shared" si="45"/>
        <v>18097370303_2026</v>
      </c>
      <c r="B979">
        <v>18097370303</v>
      </c>
      <c r="C979">
        <v>2026</v>
      </c>
      <c r="D979">
        <v>-0.40866760570362892</v>
      </c>
      <c r="E979">
        <v>-0.78822120371780657</v>
      </c>
      <c r="F979">
        <v>-0.62013811624263349</v>
      </c>
      <c r="G979">
        <v>4.8071363922911967</v>
      </c>
      <c r="I979">
        <v>-0.90069242843303765</v>
      </c>
      <c r="J979">
        <v>0.63807892730306592</v>
      </c>
      <c r="M979">
        <f t="shared" si="46"/>
        <v>2.7274959654971558</v>
      </c>
      <c r="N979">
        <f t="shared" si="47"/>
        <v>6</v>
      </c>
    </row>
    <row r="980" spans="1:14" x14ac:dyDescent="0.35">
      <c r="A980" t="str">
        <f t="shared" si="45"/>
        <v>18097370303_2027</v>
      </c>
      <c r="B980">
        <v>18097370303</v>
      </c>
      <c r="C980">
        <v>2027</v>
      </c>
      <c r="D980">
        <v>-0.4715632180770602</v>
      </c>
      <c r="E980">
        <v>-0.48945892077589598</v>
      </c>
      <c r="F980">
        <v>0.70840891298436925</v>
      </c>
      <c r="G980">
        <v>-2.3675330897255402</v>
      </c>
      <c r="I980">
        <v>-0.53896671827280729</v>
      </c>
      <c r="J980">
        <v>0.59368012529590164</v>
      </c>
      <c r="M980">
        <f t="shared" si="46"/>
        <v>-2.5654329085710326</v>
      </c>
      <c r="N980">
        <f t="shared" si="47"/>
        <v>6</v>
      </c>
    </row>
    <row r="981" spans="1:14" x14ac:dyDescent="0.35">
      <c r="A981" t="str">
        <f t="shared" si="45"/>
        <v>18097370303_2028</v>
      </c>
      <c r="B981">
        <v>18097370303</v>
      </c>
      <c r="C981">
        <v>2028</v>
      </c>
      <c r="D981">
        <v>-0.53381117445391391</v>
      </c>
      <c r="E981">
        <v>-0.47114886356096369</v>
      </c>
      <c r="F981">
        <v>-0.39126562332552001</v>
      </c>
      <c r="G981">
        <v>4.4318291323011723</v>
      </c>
      <c r="I981">
        <v>-0.46498424236967362</v>
      </c>
      <c r="J981">
        <v>0.5726982554451242</v>
      </c>
      <c r="M981">
        <f t="shared" si="46"/>
        <v>3.143317484036225</v>
      </c>
      <c r="N981">
        <f t="shared" si="47"/>
        <v>6</v>
      </c>
    </row>
    <row r="982" spans="1:14" x14ac:dyDescent="0.35">
      <c r="A982" t="str">
        <f t="shared" si="45"/>
        <v>18097370304_2024</v>
      </c>
      <c r="B982">
        <v>18097370304</v>
      </c>
      <c r="C982">
        <v>2024</v>
      </c>
      <c r="D982">
        <v>-0.43238964482338399</v>
      </c>
      <c r="E982">
        <v>1.579711585043077</v>
      </c>
      <c r="F982">
        <v>-1.4897580756129081</v>
      </c>
      <c r="G982">
        <v>0.68117631526533806</v>
      </c>
      <c r="I982">
        <v>-0.2468626143395905</v>
      </c>
      <c r="J982">
        <v>0.51139638707883317</v>
      </c>
      <c r="K982">
        <v>-2.0652676174741608E-2</v>
      </c>
      <c r="M982">
        <f t="shared" si="46"/>
        <v>0.58262127643662409</v>
      </c>
      <c r="N982">
        <f t="shared" si="47"/>
        <v>7</v>
      </c>
    </row>
    <row r="983" spans="1:14" x14ac:dyDescent="0.35">
      <c r="A983" t="str">
        <f t="shared" si="45"/>
        <v>18097370304_2025</v>
      </c>
      <c r="B983">
        <v>18097370304</v>
      </c>
      <c r="C983">
        <v>2025</v>
      </c>
      <c r="D983">
        <v>0.59796897299687579</v>
      </c>
      <c r="E983">
        <v>-3.971974873035379</v>
      </c>
      <c r="F983">
        <v>1.916639512389821</v>
      </c>
      <c r="G983">
        <v>-1.258417590824854</v>
      </c>
      <c r="I983">
        <v>7.7614668371719944E-2</v>
      </c>
      <c r="J983">
        <v>0.3476132366669859</v>
      </c>
      <c r="K983">
        <v>-0.54102781806780742</v>
      </c>
      <c r="M983">
        <f t="shared" si="46"/>
        <v>-2.8315838915026377</v>
      </c>
      <c r="N983">
        <f t="shared" si="47"/>
        <v>7</v>
      </c>
    </row>
    <row r="984" spans="1:14" x14ac:dyDescent="0.35">
      <c r="A984" t="str">
        <f t="shared" si="45"/>
        <v>18097370304_2026</v>
      </c>
      <c r="B984">
        <v>18097370304</v>
      </c>
      <c r="C984">
        <v>2026</v>
      </c>
      <c r="D984">
        <v>5.1581093576583359E-2</v>
      </c>
      <c r="E984">
        <v>2.6889319776257889</v>
      </c>
      <c r="F984">
        <v>-1.617020503113094</v>
      </c>
      <c r="G984">
        <v>1.4345377372854109</v>
      </c>
      <c r="I984">
        <v>-0.1092206938368223</v>
      </c>
      <c r="J984">
        <v>0.25246017477888782</v>
      </c>
      <c r="K984">
        <v>-0.67234061680730761</v>
      </c>
      <c r="M984">
        <f t="shared" si="46"/>
        <v>2.0289291695094476</v>
      </c>
      <c r="N984">
        <f t="shared" si="47"/>
        <v>7</v>
      </c>
    </row>
    <row r="985" spans="1:14" x14ac:dyDescent="0.35">
      <c r="A985" t="str">
        <f t="shared" si="45"/>
        <v>18097370304_2027</v>
      </c>
      <c r="B985">
        <v>18097370304</v>
      </c>
      <c r="C985">
        <v>2027</v>
      </c>
      <c r="D985">
        <v>0.46807329951323812</v>
      </c>
      <c r="E985">
        <v>-4.1194253767425408</v>
      </c>
      <c r="F985">
        <v>1.1309839239302919</v>
      </c>
      <c r="G985">
        <v>-1.044032629795403</v>
      </c>
      <c r="I985">
        <v>0.1180982324021068</v>
      </c>
      <c r="J985">
        <v>0.2138925122248935</v>
      </c>
      <c r="K985">
        <v>-0.66920051171920347</v>
      </c>
      <c r="M985">
        <f t="shared" si="46"/>
        <v>-3.901610550186617</v>
      </c>
      <c r="N985">
        <f t="shared" si="47"/>
        <v>7</v>
      </c>
    </row>
    <row r="986" spans="1:14" x14ac:dyDescent="0.35">
      <c r="A986" t="str">
        <f t="shared" si="45"/>
        <v>18097370304_2028</v>
      </c>
      <c r="B986">
        <v>18097370304</v>
      </c>
      <c r="C986">
        <v>2028</v>
      </c>
      <c r="D986">
        <v>0.23707148983263029</v>
      </c>
      <c r="E986">
        <v>2.2250853263901642</v>
      </c>
      <c r="F986">
        <v>-1.241828532872491</v>
      </c>
      <c r="G986">
        <v>1.2367213210501671</v>
      </c>
      <c r="I986">
        <v>7.8043655629921049E-2</v>
      </c>
      <c r="J986">
        <v>0.19640003276756809</v>
      </c>
      <c r="K986">
        <v>-0.69416689816970445</v>
      </c>
      <c r="M986">
        <f t="shared" si="46"/>
        <v>2.0373263946282552</v>
      </c>
      <c r="N986">
        <f t="shared" si="47"/>
        <v>7</v>
      </c>
    </row>
    <row r="987" spans="1:14" x14ac:dyDescent="0.35">
      <c r="A987" t="str">
        <f t="shared" si="45"/>
        <v>18097370305_2024</v>
      </c>
      <c r="B987">
        <v>18097370305</v>
      </c>
      <c r="C987">
        <v>2024</v>
      </c>
      <c r="D987">
        <v>-0.4323900827791532</v>
      </c>
      <c r="F987">
        <v>0.77094919448820987</v>
      </c>
      <c r="J987">
        <v>0.51139638707884094</v>
      </c>
      <c r="K987">
        <v>-2.065267622397543E-2</v>
      </c>
      <c r="M987">
        <f t="shared" si="46"/>
        <v>0.82930282256392229</v>
      </c>
      <c r="N987">
        <f t="shared" si="47"/>
        <v>4</v>
      </c>
    </row>
    <row r="988" spans="1:14" x14ac:dyDescent="0.35">
      <c r="A988" t="str">
        <f t="shared" si="45"/>
        <v>18097370305_2025</v>
      </c>
      <c r="B988">
        <v>18097370305</v>
      </c>
      <c r="C988">
        <v>2025</v>
      </c>
      <c r="D988">
        <v>0.59797147382301796</v>
      </c>
      <c r="F988">
        <v>0.30472494627586127</v>
      </c>
      <c r="J988">
        <v>0.3476132366669859</v>
      </c>
      <c r="K988">
        <v>-0.54102781830006041</v>
      </c>
      <c r="M988">
        <f t="shared" si="46"/>
        <v>0.70928183846580473</v>
      </c>
      <c r="N988">
        <f t="shared" si="47"/>
        <v>4</v>
      </c>
    </row>
    <row r="989" spans="1:14" x14ac:dyDescent="0.35">
      <c r="A989" t="str">
        <f t="shared" si="45"/>
        <v>18097370305_2026</v>
      </c>
      <c r="B989">
        <v>18097370305</v>
      </c>
      <c r="C989">
        <v>2026</v>
      </c>
      <c r="D989">
        <v>5.1580230523783729E-2</v>
      </c>
      <c r="F989">
        <v>0.25578433348748503</v>
      </c>
      <c r="J989">
        <v>0.25246017477888782</v>
      </c>
      <c r="K989">
        <v>-0.67234061704782944</v>
      </c>
      <c r="M989">
        <f t="shared" si="46"/>
        <v>-0.11251587825767284</v>
      </c>
      <c r="N989">
        <f t="shared" si="47"/>
        <v>4</v>
      </c>
    </row>
    <row r="990" spans="1:14" x14ac:dyDescent="0.35">
      <c r="A990" t="str">
        <f t="shared" si="45"/>
        <v>18097370305_2027</v>
      </c>
      <c r="B990">
        <v>18097370305</v>
      </c>
      <c r="C990">
        <v>2027</v>
      </c>
      <c r="D990">
        <v>0.46807552011168552</v>
      </c>
      <c r="F990">
        <v>0.3601024622128981</v>
      </c>
      <c r="J990">
        <v>0.2138925122248935</v>
      </c>
      <c r="K990">
        <v>-0.66920051193719665</v>
      </c>
      <c r="M990">
        <f t="shared" si="46"/>
        <v>0.37286998261228055</v>
      </c>
      <c r="N990">
        <f t="shared" si="47"/>
        <v>4</v>
      </c>
    </row>
    <row r="991" spans="1:14" x14ac:dyDescent="0.35">
      <c r="A991" t="str">
        <f t="shared" si="45"/>
        <v>18097370305_2028</v>
      </c>
      <c r="B991">
        <v>18097370305</v>
      </c>
      <c r="C991">
        <v>2028</v>
      </c>
      <c r="D991">
        <v>0.2370716201390845</v>
      </c>
      <c r="F991">
        <v>0.39876997748866438</v>
      </c>
      <c r="J991">
        <v>0.19640003276756809</v>
      </c>
      <c r="K991">
        <v>-0.69416689834397183</v>
      </c>
      <c r="M991">
        <f t="shared" si="46"/>
        <v>0.13807473205134524</v>
      </c>
      <c r="N991">
        <f t="shared" si="47"/>
        <v>4</v>
      </c>
    </row>
    <row r="992" spans="1:14" x14ac:dyDescent="0.35">
      <c r="A992" t="str">
        <f t="shared" si="45"/>
        <v>18097370306_2024</v>
      </c>
      <c r="B992">
        <v>18097370306</v>
      </c>
      <c r="C992">
        <v>2024</v>
      </c>
      <c r="D992">
        <v>-0.43239058847179751</v>
      </c>
      <c r="E992">
        <v>0.75929922033642072</v>
      </c>
      <c r="F992">
        <v>-1.586768979809301</v>
      </c>
      <c r="I992">
        <v>-0.78605778819036953</v>
      </c>
      <c r="J992">
        <v>0.51139638707884094</v>
      </c>
      <c r="K992">
        <v>-2.0652676243525649E-2</v>
      </c>
      <c r="M992">
        <f t="shared" si="46"/>
        <v>-1.5551744252997319</v>
      </c>
      <c r="N992">
        <f t="shared" si="47"/>
        <v>6</v>
      </c>
    </row>
    <row r="993" spans="1:14" x14ac:dyDescent="0.35">
      <c r="A993" t="str">
        <f t="shared" si="45"/>
        <v>18097370306_2025</v>
      </c>
      <c r="B993">
        <v>18097370306</v>
      </c>
      <c r="C993">
        <v>2025</v>
      </c>
      <c r="D993">
        <v>0.59797431686633262</v>
      </c>
      <c r="E993">
        <v>0.82920792726923243</v>
      </c>
      <c r="F993">
        <v>1.481140834275712</v>
      </c>
      <c r="I993">
        <v>-5.5359763903613461E-2</v>
      </c>
      <c r="J993">
        <v>0.3476132366669859</v>
      </c>
      <c r="K993">
        <v>-0.54102781840550918</v>
      </c>
      <c r="M993">
        <f t="shared" si="46"/>
        <v>2.6595487327691401</v>
      </c>
      <c r="N993">
        <f t="shared" si="47"/>
        <v>6</v>
      </c>
    </row>
    <row r="994" spans="1:14" x14ac:dyDescent="0.35">
      <c r="A994" t="str">
        <f t="shared" si="45"/>
        <v>18097370306_2026</v>
      </c>
      <c r="B994">
        <v>18097370306</v>
      </c>
      <c r="C994">
        <v>2026</v>
      </c>
      <c r="D994">
        <v>5.1579237698205313E-2</v>
      </c>
      <c r="E994">
        <v>1.1472474208169641</v>
      </c>
      <c r="F994">
        <v>-2.157305712737879</v>
      </c>
      <c r="I994">
        <v>-0.60723683248387283</v>
      </c>
      <c r="J994">
        <v>0.25246017477888782</v>
      </c>
      <c r="K994">
        <v>-0.67234061717686477</v>
      </c>
      <c r="M994">
        <f t="shared" si="46"/>
        <v>-1.9855963291045593</v>
      </c>
      <c r="N994">
        <f t="shared" si="47"/>
        <v>6</v>
      </c>
    </row>
    <row r="995" spans="1:14" x14ac:dyDescent="0.35">
      <c r="A995" t="str">
        <f t="shared" si="45"/>
        <v>18097370306_2027</v>
      </c>
      <c r="B995">
        <v>18097370306</v>
      </c>
      <c r="C995">
        <v>2027</v>
      </c>
      <c r="D995">
        <v>0.4680780413593828</v>
      </c>
      <c r="E995">
        <v>0.85624566075078679</v>
      </c>
      <c r="F995">
        <v>0.68619785038137204</v>
      </c>
      <c r="I995">
        <v>-0.1035071465321061</v>
      </c>
      <c r="J995">
        <v>0.2138925122248935</v>
      </c>
      <c r="K995">
        <v>-0.66920051208155551</v>
      </c>
      <c r="M995">
        <f t="shared" si="46"/>
        <v>1.4517064061027738</v>
      </c>
      <c r="N995">
        <f t="shared" si="47"/>
        <v>6</v>
      </c>
    </row>
    <row r="996" spans="1:14" x14ac:dyDescent="0.35">
      <c r="A996" t="str">
        <f t="shared" si="45"/>
        <v>18097370306_2028</v>
      </c>
      <c r="B996">
        <v>18097370306</v>
      </c>
      <c r="C996">
        <v>2028</v>
      </c>
      <c r="D996">
        <v>0.237071758220949</v>
      </c>
      <c r="E996">
        <v>0.96262132477417239</v>
      </c>
      <c r="F996">
        <v>-1.9743275168416921</v>
      </c>
      <c r="I996">
        <v>-0.200699294463767</v>
      </c>
      <c r="J996">
        <v>0.19640003276756809</v>
      </c>
      <c r="K996">
        <v>-0.69416689849679925</v>
      </c>
      <c r="M996">
        <f t="shared" si="46"/>
        <v>-1.4731005940395687</v>
      </c>
      <c r="N996">
        <f t="shared" si="47"/>
        <v>6</v>
      </c>
    </row>
    <row r="997" spans="1:14" x14ac:dyDescent="0.35">
      <c r="A997" t="str">
        <f t="shared" si="45"/>
        <v>18097380101_2024</v>
      </c>
      <c r="B997">
        <v>18097380101</v>
      </c>
      <c r="C997">
        <v>2024</v>
      </c>
      <c r="D997">
        <v>0.18867917481995439</v>
      </c>
      <c r="E997">
        <v>-0.23518193268484919</v>
      </c>
      <c r="F997">
        <v>-1.416266705591946</v>
      </c>
      <c r="G997">
        <v>0.38238112591118439</v>
      </c>
      <c r="I997">
        <v>-1.0135787698113481</v>
      </c>
      <c r="J997">
        <v>-0.60961278005691222</v>
      </c>
      <c r="M997">
        <f t="shared" si="46"/>
        <v>-2.7035798874139165</v>
      </c>
      <c r="N997">
        <f t="shared" si="47"/>
        <v>6</v>
      </c>
    </row>
    <row r="998" spans="1:14" x14ac:dyDescent="0.35">
      <c r="A998" t="str">
        <f t="shared" si="45"/>
        <v>18097380101_2025</v>
      </c>
      <c r="B998">
        <v>18097380101</v>
      </c>
      <c r="C998">
        <v>2025</v>
      </c>
      <c r="D998">
        <v>1.677081561161972</v>
      </c>
      <c r="E998">
        <v>-0.1842370870578067</v>
      </c>
      <c r="F998">
        <v>-3.4208689305408568</v>
      </c>
      <c r="G998">
        <v>-0.34704385888295458</v>
      </c>
      <c r="I998">
        <v>-0.35142110080344358</v>
      </c>
      <c r="J998">
        <v>-0.66383882183085519</v>
      </c>
      <c r="M998">
        <f t="shared" si="46"/>
        <v>-3.2903282379539447</v>
      </c>
      <c r="N998">
        <f t="shared" si="47"/>
        <v>6</v>
      </c>
    </row>
    <row r="999" spans="1:14" x14ac:dyDescent="0.35">
      <c r="A999" t="str">
        <f t="shared" si="45"/>
        <v>18097380101_2026</v>
      </c>
      <c r="B999">
        <v>18097380101</v>
      </c>
      <c r="C999">
        <v>2026</v>
      </c>
      <c r="D999">
        <v>0.988596807264713</v>
      </c>
      <c r="E999">
        <v>-0.34059151683601641</v>
      </c>
      <c r="F999">
        <v>0.85058756530874291</v>
      </c>
      <c r="G999">
        <v>0.98581996223480195</v>
      </c>
      <c r="I999">
        <v>-1.1517015046460839</v>
      </c>
      <c r="J999">
        <v>-0.71714155521000489</v>
      </c>
      <c r="M999">
        <f t="shared" si="46"/>
        <v>0.61556975811615255</v>
      </c>
      <c r="N999">
        <f t="shared" si="47"/>
        <v>6</v>
      </c>
    </row>
    <row r="1000" spans="1:14" x14ac:dyDescent="0.35">
      <c r="A1000" t="str">
        <f t="shared" si="45"/>
        <v>18097380101_2027</v>
      </c>
      <c r="B1000">
        <v>18097380101</v>
      </c>
      <c r="C1000">
        <v>2027</v>
      </c>
      <c r="D1000">
        <v>1.681927306950797</v>
      </c>
      <c r="E1000">
        <v>-0.21581862586705569</v>
      </c>
      <c r="F1000">
        <v>-3.477592867696099</v>
      </c>
      <c r="G1000">
        <v>-0.27509819622309611</v>
      </c>
      <c r="I1000">
        <v>-0.25923256347783252</v>
      </c>
      <c r="J1000">
        <v>-0.73837996796342964</v>
      </c>
      <c r="M1000">
        <f t="shared" si="46"/>
        <v>-3.2841949142767159</v>
      </c>
      <c r="N1000">
        <f t="shared" si="47"/>
        <v>6</v>
      </c>
    </row>
    <row r="1001" spans="1:14" x14ac:dyDescent="0.35">
      <c r="A1001" t="str">
        <f t="shared" si="45"/>
        <v>18097380101_2028</v>
      </c>
      <c r="B1001">
        <v>18097380101</v>
      </c>
      <c r="C1001">
        <v>2028</v>
      </c>
      <c r="D1001">
        <v>1.4570809710748629</v>
      </c>
      <c r="E1001">
        <v>-0.16136621015967709</v>
      </c>
      <c r="F1001">
        <v>1.7832294566527851E-2</v>
      </c>
      <c r="G1001">
        <v>0.98444160624445598</v>
      </c>
      <c r="I1001">
        <v>-0.65951779677989719</v>
      </c>
      <c r="J1001">
        <v>-0.7465259578807566</v>
      </c>
      <c r="M1001">
        <f t="shared" si="46"/>
        <v>0.89194490706551566</v>
      </c>
      <c r="N1001">
        <f t="shared" si="47"/>
        <v>6</v>
      </c>
    </row>
    <row r="1002" spans="1:14" x14ac:dyDescent="0.35">
      <c r="A1002" t="str">
        <f t="shared" si="45"/>
        <v>18097380102_2024</v>
      </c>
      <c r="B1002">
        <v>18097380102</v>
      </c>
      <c r="C1002">
        <v>2024</v>
      </c>
      <c r="D1002">
        <v>0.188680915501997</v>
      </c>
      <c r="F1002">
        <v>-0.71844005126929866</v>
      </c>
      <c r="I1002">
        <v>-1.8126038568183529</v>
      </c>
      <c r="J1002">
        <v>-0.60961278005690445</v>
      </c>
      <c r="M1002">
        <f t="shared" si="46"/>
        <v>-2.9519757726425588</v>
      </c>
      <c r="N1002">
        <f t="shared" si="47"/>
        <v>4</v>
      </c>
    </row>
    <row r="1003" spans="1:14" x14ac:dyDescent="0.35">
      <c r="A1003" t="str">
        <f t="shared" si="45"/>
        <v>18097380102_2025</v>
      </c>
      <c r="B1003">
        <v>18097380102</v>
      </c>
      <c r="C1003">
        <v>2025</v>
      </c>
      <c r="D1003">
        <v>1.6770777212992261</v>
      </c>
      <c r="F1003">
        <v>-1.028326589697411</v>
      </c>
      <c r="I1003">
        <v>-0.41942774192834131</v>
      </c>
      <c r="J1003">
        <v>-0.66383882183085519</v>
      </c>
      <c r="M1003">
        <f t="shared" si="46"/>
        <v>-0.43451543215738142</v>
      </c>
      <c r="N1003">
        <f t="shared" si="47"/>
        <v>4</v>
      </c>
    </row>
    <row r="1004" spans="1:14" x14ac:dyDescent="0.35">
      <c r="A1004" t="str">
        <f t="shared" si="45"/>
        <v>18097380102_2026</v>
      </c>
      <c r="B1004">
        <v>18097380102</v>
      </c>
      <c r="C1004">
        <v>2026</v>
      </c>
      <c r="D1004">
        <v>0.98859677250895917</v>
      </c>
      <c r="F1004">
        <v>-1.094021468986063</v>
      </c>
      <c r="I1004">
        <v>-2.3241808212502439</v>
      </c>
      <c r="J1004">
        <v>-0.71714155521000489</v>
      </c>
      <c r="M1004">
        <f t="shared" si="46"/>
        <v>-3.1467470729373526</v>
      </c>
      <c r="N1004">
        <f t="shared" si="47"/>
        <v>4</v>
      </c>
    </row>
    <row r="1005" spans="1:14" x14ac:dyDescent="0.35">
      <c r="A1005" t="str">
        <f t="shared" si="45"/>
        <v>18097380102_2027</v>
      </c>
      <c r="B1005">
        <v>18097380102</v>
      </c>
      <c r="C1005">
        <v>2027</v>
      </c>
      <c r="D1005">
        <v>1.681925097049692</v>
      </c>
      <c r="F1005">
        <v>-1.251939228166389</v>
      </c>
      <c r="I1005">
        <v>-0.42023693366902343</v>
      </c>
      <c r="J1005">
        <v>-0.73837996796342964</v>
      </c>
      <c r="M1005">
        <f t="shared" si="46"/>
        <v>-0.72863103274915009</v>
      </c>
      <c r="N1005">
        <f t="shared" si="47"/>
        <v>4</v>
      </c>
    </row>
    <row r="1006" spans="1:14" x14ac:dyDescent="0.35">
      <c r="A1006" t="str">
        <f t="shared" si="45"/>
        <v>18097380102_2028</v>
      </c>
      <c r="B1006">
        <v>18097380102</v>
      </c>
      <c r="C1006">
        <v>2028</v>
      </c>
      <c r="D1006">
        <v>1.457079395108803</v>
      </c>
      <c r="F1006">
        <v>-1.318710208688874</v>
      </c>
      <c r="I1006">
        <v>-1.6389785824599199</v>
      </c>
      <c r="J1006">
        <v>-0.7465259578807566</v>
      </c>
      <c r="M1006">
        <f t="shared" si="46"/>
        <v>-2.2471353539207475</v>
      </c>
      <c r="N1006">
        <f t="shared" si="47"/>
        <v>4</v>
      </c>
    </row>
    <row r="1007" spans="1:14" x14ac:dyDescent="0.35">
      <c r="A1007" t="str">
        <f t="shared" si="45"/>
        <v>18097380103_2024</v>
      </c>
      <c r="B1007">
        <v>18097380103</v>
      </c>
      <c r="C1007">
        <v>2024</v>
      </c>
      <c r="D1007">
        <v>0.18798081320587531</v>
      </c>
      <c r="E1007">
        <v>-0.84003802634201097</v>
      </c>
      <c r="F1007">
        <v>-0.71460722412240829</v>
      </c>
      <c r="G1007">
        <v>0.19806139092914221</v>
      </c>
      <c r="I1007">
        <v>1.2301884065547599</v>
      </c>
      <c r="J1007">
        <v>-0.60439538543356985</v>
      </c>
      <c r="M1007">
        <f t="shared" si="46"/>
        <v>-0.54281002520821164</v>
      </c>
      <c r="N1007">
        <f t="shared" si="47"/>
        <v>6</v>
      </c>
    </row>
    <row r="1008" spans="1:14" x14ac:dyDescent="0.35">
      <c r="A1008" t="str">
        <f t="shared" si="45"/>
        <v>18097380103_2025</v>
      </c>
      <c r="B1008">
        <v>18097380103</v>
      </c>
      <c r="C1008">
        <v>2025</v>
      </c>
      <c r="D1008">
        <v>1.6675086516657991</v>
      </c>
      <c r="E1008">
        <v>-0.19234349521400471</v>
      </c>
      <c r="F1008">
        <v>1.288329212019178</v>
      </c>
      <c r="G1008">
        <v>-0.45981116891349733</v>
      </c>
      <c r="I1008">
        <v>-1.939487794549563</v>
      </c>
      <c r="J1008">
        <v>-0.65777510480119838</v>
      </c>
      <c r="M1008">
        <f t="shared" si="46"/>
        <v>-0.29357969979328602</v>
      </c>
      <c r="N1008">
        <f t="shared" si="47"/>
        <v>6</v>
      </c>
    </row>
    <row r="1009" spans="1:14" x14ac:dyDescent="0.35">
      <c r="A1009" t="str">
        <f t="shared" si="45"/>
        <v>18097380103_2026</v>
      </c>
      <c r="B1009">
        <v>18097380103</v>
      </c>
      <c r="C1009">
        <v>2026</v>
      </c>
      <c r="D1009">
        <v>0.98266768381808922</v>
      </c>
      <c r="E1009">
        <v>-1.0360525778916629</v>
      </c>
      <c r="F1009">
        <v>-2.0394462026120181</v>
      </c>
      <c r="G1009">
        <v>0.58236059872879598</v>
      </c>
      <c r="I1009">
        <v>0.951366029628396</v>
      </c>
      <c r="J1009">
        <v>-0.71112323813010814</v>
      </c>
      <c r="M1009">
        <f t="shared" si="46"/>
        <v>-1.2702277064585081</v>
      </c>
      <c r="N1009">
        <f t="shared" si="47"/>
        <v>6</v>
      </c>
    </row>
    <row r="1010" spans="1:14" x14ac:dyDescent="0.35">
      <c r="A1010" t="str">
        <f t="shared" si="45"/>
        <v>18097380103_2027</v>
      </c>
      <c r="B1010">
        <v>18097380103</v>
      </c>
      <c r="C1010">
        <v>2027</v>
      </c>
      <c r="D1010">
        <v>1.673531981002842</v>
      </c>
      <c r="E1010">
        <v>-0.58536475249940778</v>
      </c>
      <c r="F1010">
        <v>1.555816076631966</v>
      </c>
      <c r="G1010">
        <v>-0.45638281083055032</v>
      </c>
      <c r="I1010">
        <v>-1.1122128348160061</v>
      </c>
      <c r="J1010">
        <v>-0.73244637206019958</v>
      </c>
      <c r="M1010">
        <f t="shared" si="46"/>
        <v>0.34294128742864405</v>
      </c>
      <c r="N1010">
        <f t="shared" si="47"/>
        <v>6</v>
      </c>
    </row>
    <row r="1011" spans="1:14" x14ac:dyDescent="0.35">
      <c r="A1011" t="str">
        <f t="shared" si="45"/>
        <v>18097380103_2028</v>
      </c>
      <c r="B1011">
        <v>18097380103</v>
      </c>
      <c r="C1011">
        <v>2028</v>
      </c>
      <c r="D1011">
        <v>1.4483143308184281</v>
      </c>
      <c r="E1011">
        <v>-0.68236504303600976</v>
      </c>
      <c r="F1011">
        <v>-2.4676858456594899</v>
      </c>
      <c r="G1011">
        <v>0.59379907607462667</v>
      </c>
      <c r="I1011">
        <v>0.44128120489142331</v>
      </c>
      <c r="J1011">
        <v>-0.7406483113027198</v>
      </c>
      <c r="M1011">
        <f t="shared" si="46"/>
        <v>-1.4073045882137412</v>
      </c>
      <c r="N1011">
        <f t="shared" si="47"/>
        <v>6</v>
      </c>
    </row>
    <row r="1012" spans="1:14" x14ac:dyDescent="0.35">
      <c r="A1012" t="str">
        <f t="shared" si="45"/>
        <v>18097380200_2024</v>
      </c>
      <c r="B1012">
        <v>18097380200</v>
      </c>
      <c r="C1012">
        <v>2024</v>
      </c>
      <c r="D1012">
        <v>0.90668689439403682</v>
      </c>
      <c r="E1012">
        <v>0.3944724724550327</v>
      </c>
      <c r="F1012">
        <v>0.40293734955781202</v>
      </c>
      <c r="G1012">
        <v>-0.2558928842279678</v>
      </c>
      <c r="H1012">
        <v>0.24076957234058061</v>
      </c>
      <c r="I1012">
        <v>-2.0198517491151209E-2</v>
      </c>
      <c r="J1012">
        <v>-9.7382321541455999E-2</v>
      </c>
      <c r="M1012">
        <f t="shared" si="46"/>
        <v>1.5713925654868874</v>
      </c>
      <c r="N1012">
        <f t="shared" si="47"/>
        <v>7</v>
      </c>
    </row>
    <row r="1013" spans="1:14" x14ac:dyDescent="0.35">
      <c r="A1013" t="str">
        <f t="shared" si="45"/>
        <v>18097380200_2025</v>
      </c>
      <c r="B1013">
        <v>18097380200</v>
      </c>
      <c r="C1013">
        <v>2025</v>
      </c>
      <c r="D1013">
        <v>-0.60331931843861952</v>
      </c>
      <c r="E1013">
        <v>0.67550223856310521</v>
      </c>
      <c r="F1013">
        <v>0.2410961965467886</v>
      </c>
      <c r="G1013">
        <v>-0.26491635286360699</v>
      </c>
      <c r="H1013">
        <v>1.620836136284283E-2</v>
      </c>
      <c r="I1013">
        <v>8.5470532371194313E-2</v>
      </c>
      <c r="J1013">
        <v>6.3325692106111123E-2</v>
      </c>
      <c r="M1013">
        <f t="shared" si="46"/>
        <v>0.21336734964781556</v>
      </c>
      <c r="N1013">
        <f t="shared" si="47"/>
        <v>7</v>
      </c>
    </row>
    <row r="1014" spans="1:14" x14ac:dyDescent="0.35">
      <c r="A1014" t="str">
        <f t="shared" si="45"/>
        <v>18097380200_2026</v>
      </c>
      <c r="B1014">
        <v>18097380200</v>
      </c>
      <c r="C1014">
        <v>2026</v>
      </c>
      <c r="D1014">
        <v>0.67847302621838934</v>
      </c>
      <c r="E1014">
        <v>0.67059609768929063</v>
      </c>
      <c r="F1014">
        <v>0.46246327136769122</v>
      </c>
      <c r="G1014">
        <v>-0.22108523628332069</v>
      </c>
      <c r="H1014">
        <v>0.26459592270441662</v>
      </c>
      <c r="I1014">
        <v>0.1144244763812072</v>
      </c>
      <c r="J1014">
        <v>5.0796735637395771E-2</v>
      </c>
      <c r="M1014">
        <f t="shared" si="46"/>
        <v>2.0202642937150701</v>
      </c>
      <c r="N1014">
        <f t="shared" si="47"/>
        <v>7</v>
      </c>
    </row>
    <row r="1015" spans="1:14" x14ac:dyDescent="0.35">
      <c r="A1015" t="str">
        <f t="shared" si="45"/>
        <v>18097380200_2027</v>
      </c>
      <c r="B1015">
        <v>18097380200</v>
      </c>
      <c r="C1015">
        <v>2027</v>
      </c>
      <c r="D1015">
        <v>-0.1128676681087529</v>
      </c>
      <c r="E1015">
        <v>0.68141945006192961</v>
      </c>
      <c r="F1015">
        <v>0.45891544518619842</v>
      </c>
      <c r="G1015">
        <v>-0.1734099273987553</v>
      </c>
      <c r="H1015">
        <v>4.1108652512891128E-2</v>
      </c>
      <c r="I1015">
        <v>0.16613476700628169</v>
      </c>
      <c r="J1015">
        <v>2.964827684111794E-2</v>
      </c>
      <c r="M1015">
        <f t="shared" si="46"/>
        <v>1.0909489961009105</v>
      </c>
      <c r="N1015">
        <f t="shared" si="47"/>
        <v>7</v>
      </c>
    </row>
    <row r="1016" spans="1:14" x14ac:dyDescent="0.35">
      <c r="A1016" t="str">
        <f t="shared" si="45"/>
        <v>18097380200_2028</v>
      </c>
      <c r="B1016">
        <v>18097380200</v>
      </c>
      <c r="C1016">
        <v>2028</v>
      </c>
      <c r="D1016">
        <v>0.30231945128596921</v>
      </c>
      <c r="E1016">
        <v>0.65000220578782808</v>
      </c>
      <c r="F1016">
        <v>0.57956674846278355</v>
      </c>
      <c r="G1016">
        <v>-0.1687086358034105</v>
      </c>
      <c r="H1016">
        <v>-5.7389857135548977E-2</v>
      </c>
      <c r="I1016">
        <v>0.1936518110871038</v>
      </c>
      <c r="J1016">
        <v>1.6501248370527119E-2</v>
      </c>
      <c r="M1016">
        <f t="shared" si="46"/>
        <v>1.5159429720552524</v>
      </c>
      <c r="N1016">
        <f t="shared" si="47"/>
        <v>7</v>
      </c>
    </row>
    <row r="1017" spans="1:14" x14ac:dyDescent="0.35">
      <c r="A1017" t="str">
        <f t="shared" si="45"/>
        <v>18097380301_2024</v>
      </c>
      <c r="B1017">
        <v>18097380301</v>
      </c>
      <c r="C1017">
        <v>2024</v>
      </c>
      <c r="D1017">
        <v>2.633641620369048</v>
      </c>
      <c r="F1017">
        <v>-0.73059820879555759</v>
      </c>
      <c r="G1017">
        <v>9.3549212667184634E-2</v>
      </c>
      <c r="I1017">
        <v>0.78681783392572446</v>
      </c>
      <c r="J1017">
        <v>-0.40208247274818931</v>
      </c>
      <c r="M1017">
        <f t="shared" si="46"/>
        <v>2.3813279854182099</v>
      </c>
      <c r="N1017">
        <f t="shared" si="47"/>
        <v>5</v>
      </c>
    </row>
    <row r="1018" spans="1:14" x14ac:dyDescent="0.35">
      <c r="A1018" t="str">
        <f t="shared" si="45"/>
        <v>18097380301_2025</v>
      </c>
      <c r="B1018">
        <v>18097380301</v>
      </c>
      <c r="C1018">
        <v>2025</v>
      </c>
      <c r="D1018">
        <v>-1.128108366834973</v>
      </c>
      <c r="F1018">
        <v>-0.64483491243587809</v>
      </c>
      <c r="G1018">
        <v>0.67581326970556055</v>
      </c>
      <c r="I1018">
        <v>0.36243904106604352</v>
      </c>
      <c r="J1018">
        <v>-0.43897197508326352</v>
      </c>
      <c r="M1018">
        <f t="shared" si="46"/>
        <v>-1.1736629435825106</v>
      </c>
      <c r="N1018">
        <f t="shared" si="47"/>
        <v>5</v>
      </c>
    </row>
    <row r="1019" spans="1:14" x14ac:dyDescent="0.35">
      <c r="A1019" t="str">
        <f t="shared" si="45"/>
        <v>18097380301_2026</v>
      </c>
      <c r="B1019">
        <v>18097380301</v>
      </c>
      <c r="C1019">
        <v>2026</v>
      </c>
      <c r="D1019">
        <v>2.7609730016974492</v>
      </c>
      <c r="F1019">
        <v>-7.3918243059239885E-2</v>
      </c>
      <c r="G1019">
        <v>0.56653209695343043</v>
      </c>
      <c r="I1019">
        <v>0.80394833918162467</v>
      </c>
      <c r="J1019">
        <v>-0.4946968473884919</v>
      </c>
      <c r="M1019">
        <f t="shared" si="46"/>
        <v>3.5628383473847718</v>
      </c>
      <c r="N1019">
        <f t="shared" si="47"/>
        <v>5</v>
      </c>
    </row>
    <row r="1020" spans="1:14" x14ac:dyDescent="0.35">
      <c r="A1020" t="str">
        <f t="shared" si="45"/>
        <v>18097380301_2027</v>
      </c>
      <c r="B1020">
        <v>18097380301</v>
      </c>
      <c r="C1020">
        <v>2027</v>
      </c>
      <c r="D1020">
        <v>-0.10871929938654661</v>
      </c>
      <c r="F1020">
        <v>-0.57419434435182393</v>
      </c>
      <c r="G1020">
        <v>0.71691895306281339</v>
      </c>
      <c r="I1020">
        <v>0.45714487811601567</v>
      </c>
      <c r="J1020">
        <v>-0.51901695837108353</v>
      </c>
      <c r="M1020">
        <f t="shared" si="46"/>
        <v>-2.7866770930624951E-2</v>
      </c>
      <c r="N1020">
        <f t="shared" si="47"/>
        <v>5</v>
      </c>
    </row>
    <row r="1021" spans="1:14" x14ac:dyDescent="0.35">
      <c r="A1021" t="str">
        <f t="shared" si="45"/>
        <v>18097380301_2028</v>
      </c>
      <c r="B1021">
        <v>18097380301</v>
      </c>
      <c r="C1021">
        <v>2028</v>
      </c>
      <c r="D1021">
        <v>1.889485124238244</v>
      </c>
      <c r="F1021">
        <v>-0.20250724626666231</v>
      </c>
      <c r="G1021">
        <v>0.64436324057731675</v>
      </c>
      <c r="I1021">
        <v>0.53550958250587766</v>
      </c>
      <c r="J1021">
        <v>-0.52920817019866495</v>
      </c>
      <c r="M1021">
        <f t="shared" si="46"/>
        <v>2.3376425308561108</v>
      </c>
      <c r="N1021">
        <f t="shared" si="47"/>
        <v>5</v>
      </c>
    </row>
    <row r="1022" spans="1:14" x14ac:dyDescent="0.35">
      <c r="A1022" t="str">
        <f t="shared" si="45"/>
        <v>18097380302_2024</v>
      </c>
      <c r="B1022">
        <v>18097380302</v>
      </c>
      <c r="C1022">
        <v>2024</v>
      </c>
      <c r="D1022">
        <v>1.3740479831153789</v>
      </c>
      <c r="F1022">
        <v>0.92986418046930119</v>
      </c>
      <c r="G1022">
        <v>1.0537736139766589</v>
      </c>
      <c r="H1022">
        <v>-6.3813761793831789E-2</v>
      </c>
      <c r="I1022">
        <v>-2.5713225227541062E-2</v>
      </c>
      <c r="J1022">
        <v>-0.17529387995037929</v>
      </c>
      <c r="M1022">
        <f t="shared" si="46"/>
        <v>3.0928649105895869</v>
      </c>
      <c r="N1022">
        <f t="shared" si="47"/>
        <v>6</v>
      </c>
    </row>
    <row r="1023" spans="1:14" x14ac:dyDescent="0.35">
      <c r="A1023" t="str">
        <f t="shared" si="45"/>
        <v>18097380302_2025</v>
      </c>
      <c r="B1023">
        <v>18097380302</v>
      </c>
      <c r="C1023">
        <v>2025</v>
      </c>
      <c r="D1023">
        <v>-0.99611937128018357</v>
      </c>
      <c r="F1023">
        <v>-1.5262930476432199</v>
      </c>
      <c r="G1023">
        <v>2.718072139916885</v>
      </c>
      <c r="H1023">
        <v>0.63359020262812216</v>
      </c>
      <c r="I1023">
        <v>4.2216228577804313E-2</v>
      </c>
      <c r="J1023">
        <v>-0.26750738694691312</v>
      </c>
      <c r="M1023">
        <f t="shared" si="46"/>
        <v>0.6039587652524947</v>
      </c>
      <c r="N1023">
        <f t="shared" si="47"/>
        <v>6</v>
      </c>
    </row>
    <row r="1024" spans="1:14" x14ac:dyDescent="0.35">
      <c r="A1024" t="str">
        <f t="shared" si="45"/>
        <v>18097380302_2026</v>
      </c>
      <c r="B1024">
        <v>18097380302</v>
      </c>
      <c r="C1024">
        <v>2026</v>
      </c>
      <c r="D1024">
        <v>0.69909477449318502</v>
      </c>
      <c r="F1024">
        <v>1.58011298310334</v>
      </c>
      <c r="G1024">
        <v>2.7437713847789542</v>
      </c>
      <c r="H1024">
        <v>2.1296267740499929E-2</v>
      </c>
      <c r="I1024">
        <v>7.2046874662323138E-2</v>
      </c>
      <c r="J1024">
        <v>-0.33755975099987579</v>
      </c>
      <c r="M1024">
        <f t="shared" si="46"/>
        <v>4.7787625337784263</v>
      </c>
      <c r="N1024">
        <f t="shared" si="47"/>
        <v>6</v>
      </c>
    </row>
    <row r="1025" spans="1:14" x14ac:dyDescent="0.35">
      <c r="A1025" t="str">
        <f t="shared" si="45"/>
        <v>18097380302_2027</v>
      </c>
      <c r="B1025">
        <v>18097380302</v>
      </c>
      <c r="C1025">
        <v>2027</v>
      </c>
      <c r="D1025">
        <v>-0.30493481623310548</v>
      </c>
      <c r="F1025">
        <v>-1.658665522862516</v>
      </c>
      <c r="G1025">
        <v>3.090622534779353</v>
      </c>
      <c r="H1025">
        <v>0.13956306111738009</v>
      </c>
      <c r="I1025">
        <v>0.1317453291890511</v>
      </c>
      <c r="J1025">
        <v>-0.36591787281396998</v>
      </c>
      <c r="M1025">
        <f t="shared" si="46"/>
        <v>1.0324127131761929</v>
      </c>
      <c r="N1025">
        <f t="shared" si="47"/>
        <v>6</v>
      </c>
    </row>
    <row r="1026" spans="1:14" x14ac:dyDescent="0.35">
      <c r="A1026" t="str">
        <f t="shared" si="45"/>
        <v>18097380302_2028</v>
      </c>
      <c r="B1026">
        <v>18097380302</v>
      </c>
      <c r="C1026">
        <v>2028</v>
      </c>
      <c r="D1026">
        <v>0.15413087365111161</v>
      </c>
      <c r="F1026">
        <v>1.7396565393143339</v>
      </c>
      <c r="G1026">
        <v>2.963870923980624</v>
      </c>
      <c r="H1026">
        <v>-8.5757591585258156E-2</v>
      </c>
      <c r="I1026">
        <v>0.16755365455682261</v>
      </c>
      <c r="J1026">
        <v>-0.3777986094521163</v>
      </c>
      <c r="M1026">
        <f t="shared" si="46"/>
        <v>4.5616557904655179</v>
      </c>
      <c r="N1026">
        <f t="shared" si="47"/>
        <v>6</v>
      </c>
    </row>
    <row r="1027" spans="1:14" x14ac:dyDescent="0.35">
      <c r="A1027" t="str">
        <f t="shared" ref="A1027:A1090" si="48">TEXT(B1027,0)&amp;"_"&amp;TEXT(C1027,0)</f>
        <v>18097380402_2024</v>
      </c>
      <c r="B1027">
        <v>18097380402</v>
      </c>
      <c r="C1027">
        <v>2024</v>
      </c>
      <c r="D1027">
        <v>2.909095161486063</v>
      </c>
      <c r="E1027">
        <v>0.1233333440689704</v>
      </c>
      <c r="F1027">
        <v>0.64915951037897235</v>
      </c>
      <c r="G1027">
        <v>7.7204046610651597E-2</v>
      </c>
      <c r="H1027">
        <v>-2.6155991523781411E-2</v>
      </c>
      <c r="I1027">
        <v>-0.33222166164513972</v>
      </c>
      <c r="J1027">
        <v>-0.48923440500276011</v>
      </c>
      <c r="M1027">
        <f t="shared" ref="M1027:M1090" si="49">SUM(D1027:K1027)</f>
        <v>2.9111800043729761</v>
      </c>
      <c r="N1027">
        <f t="shared" ref="N1027:N1090" si="50">IF(D1027=0,0,1)+IF(E1027=0,0,1)+IF(F1027=0,0,1)+IF(G1027=0,0,1)+IF(H1027=0,0,1)+IF(I1027=0,0,1)++IF(J1027=0,0,1)++IF(K1027=0,0,1)</f>
        <v>7</v>
      </c>
    </row>
    <row r="1028" spans="1:14" x14ac:dyDescent="0.35">
      <c r="A1028" t="str">
        <f t="shared" si="48"/>
        <v>18097380402_2025</v>
      </c>
      <c r="B1028">
        <v>18097380402</v>
      </c>
      <c r="C1028">
        <v>2025</v>
      </c>
      <c r="D1028">
        <v>-0.97330149979280201</v>
      </c>
      <c r="E1028">
        <v>0.91010070298886181</v>
      </c>
      <c r="F1028">
        <v>0.16464321282655181</v>
      </c>
      <c r="G1028">
        <v>-1.003886744811862</v>
      </c>
      <c r="H1028">
        <v>-0.42845094174143472</v>
      </c>
      <c r="I1028">
        <v>5.8401782406250338E-2</v>
      </c>
      <c r="J1028">
        <v>-0.51533098634653651</v>
      </c>
      <c r="M1028">
        <f t="shared" si="49"/>
        <v>-1.7878244744709713</v>
      </c>
      <c r="N1028">
        <f t="shared" si="50"/>
        <v>7</v>
      </c>
    </row>
    <row r="1029" spans="1:14" x14ac:dyDescent="0.35">
      <c r="A1029" t="str">
        <f t="shared" si="48"/>
        <v>18097380402_2026</v>
      </c>
      <c r="B1029">
        <v>18097380402</v>
      </c>
      <c r="C1029">
        <v>2026</v>
      </c>
      <c r="D1029">
        <v>2.9725388858121979</v>
      </c>
      <c r="E1029">
        <v>0.58587010313660715</v>
      </c>
      <c r="F1029">
        <v>-7.7039311096553265E-2</v>
      </c>
      <c r="G1029">
        <v>0.13274306931287139</v>
      </c>
      <c r="H1029">
        <v>-0.30505605860178109</v>
      </c>
      <c r="I1029">
        <v>0.22655150182480291</v>
      </c>
      <c r="J1029">
        <v>-0.56415369054239106</v>
      </c>
      <c r="M1029">
        <f t="shared" si="49"/>
        <v>2.9714544998457537</v>
      </c>
      <c r="N1029">
        <f t="shared" si="50"/>
        <v>7</v>
      </c>
    </row>
    <row r="1030" spans="1:14" x14ac:dyDescent="0.35">
      <c r="A1030" t="str">
        <f t="shared" si="48"/>
        <v>18097380402_2027</v>
      </c>
      <c r="B1030">
        <v>18097380402</v>
      </c>
      <c r="C1030">
        <v>2027</v>
      </c>
      <c r="D1030">
        <v>0.17060417366456149</v>
      </c>
      <c r="E1030">
        <v>0.73039282206511758</v>
      </c>
      <c r="F1030">
        <v>2.446332472895775E-2</v>
      </c>
      <c r="G1030">
        <v>-0.94028919014638923</v>
      </c>
      <c r="H1030">
        <v>-0.41836352851111402</v>
      </c>
      <c r="I1030">
        <v>0.29829199769508591</v>
      </c>
      <c r="J1030">
        <v>-0.58625807625064164</v>
      </c>
      <c r="M1030">
        <f t="shared" si="49"/>
        <v>-0.72115847675442213</v>
      </c>
      <c r="N1030">
        <f t="shared" si="50"/>
        <v>7</v>
      </c>
    </row>
    <row r="1031" spans="1:14" x14ac:dyDescent="0.35">
      <c r="A1031" t="str">
        <f t="shared" si="48"/>
        <v>18097380402_2028</v>
      </c>
      <c r="B1031">
        <v>18097380402</v>
      </c>
      <c r="C1031">
        <v>2028</v>
      </c>
      <c r="D1031">
        <v>2.1009177438503381</v>
      </c>
      <c r="E1031">
        <v>0.64443472302254456</v>
      </c>
      <c r="F1031">
        <v>3.3332929862568132E-2</v>
      </c>
      <c r="G1031">
        <v>9.9131459346224905E-3</v>
      </c>
      <c r="H1031">
        <v>-0.42540367309102961</v>
      </c>
      <c r="I1031">
        <v>0.30446814404465772</v>
      </c>
      <c r="J1031">
        <v>-0.59560083610711612</v>
      </c>
      <c r="M1031">
        <f t="shared" si="49"/>
        <v>2.0720621775165853</v>
      </c>
      <c r="N1031">
        <f t="shared" si="50"/>
        <v>7</v>
      </c>
    </row>
    <row r="1032" spans="1:14" x14ac:dyDescent="0.35">
      <c r="A1032" t="str">
        <f t="shared" si="48"/>
        <v>18097380403_2024</v>
      </c>
      <c r="B1032">
        <v>18097380403</v>
      </c>
      <c r="C1032">
        <v>2024</v>
      </c>
      <c r="D1032">
        <v>-0.26005767888256992</v>
      </c>
      <c r="E1032">
        <v>0.1871791010058364</v>
      </c>
      <c r="F1032">
        <v>-0.97933420201703758</v>
      </c>
      <c r="G1032">
        <v>-5.8197800944784411E-2</v>
      </c>
      <c r="H1032">
        <v>0.1578699832754645</v>
      </c>
      <c r="I1032">
        <v>-2.9968213689717301E-2</v>
      </c>
      <c r="J1032">
        <v>0.17375710936423849</v>
      </c>
      <c r="K1032">
        <v>8.0582228420722768E-2</v>
      </c>
      <c r="M1032">
        <f t="shared" si="49"/>
        <v>-0.72816947346784677</v>
      </c>
      <c r="N1032">
        <f t="shared" si="50"/>
        <v>8</v>
      </c>
    </row>
    <row r="1033" spans="1:14" x14ac:dyDescent="0.35">
      <c r="A1033" t="str">
        <f t="shared" si="48"/>
        <v>18097380403_2025</v>
      </c>
      <c r="B1033">
        <v>18097380403</v>
      </c>
      <c r="C1033">
        <v>2025</v>
      </c>
      <c r="D1033">
        <v>-1.534438392310211</v>
      </c>
      <c r="E1033">
        <v>2.7687292185950459E-2</v>
      </c>
      <c r="F1033">
        <v>-0.4831069064492714</v>
      </c>
      <c r="G1033">
        <v>0.15277192817182561</v>
      </c>
      <c r="H1033">
        <v>-4.1640804071147709E-2</v>
      </c>
      <c r="I1033">
        <v>3.69923377394627E-3</v>
      </c>
      <c r="J1033">
        <v>0.84839850735241162</v>
      </c>
      <c r="K1033">
        <v>-0.13368722421508619</v>
      </c>
      <c r="M1033">
        <f t="shared" si="49"/>
        <v>-1.1603163655615822</v>
      </c>
      <c r="N1033">
        <f t="shared" si="50"/>
        <v>8</v>
      </c>
    </row>
    <row r="1034" spans="1:14" x14ac:dyDescent="0.35">
      <c r="A1034" t="str">
        <f t="shared" si="48"/>
        <v>18097380403_2026</v>
      </c>
      <c r="B1034">
        <v>18097380403</v>
      </c>
      <c r="C1034">
        <v>2026</v>
      </c>
      <c r="D1034">
        <v>5.8779744031726561E-2</v>
      </c>
      <c r="E1034">
        <v>0.17111596169263349</v>
      </c>
      <c r="F1034">
        <v>-0.55601706657924344</v>
      </c>
      <c r="G1034">
        <v>0.1132971572685658</v>
      </c>
      <c r="H1034">
        <v>-9.5738078542964705E-3</v>
      </c>
      <c r="I1034">
        <v>5.8071463240564357E-2</v>
      </c>
      <c r="J1034">
        <v>1.07359439533558</v>
      </c>
      <c r="K1034">
        <v>-0.22109316534838719</v>
      </c>
      <c r="M1034">
        <f t="shared" si="49"/>
        <v>0.68817468178714314</v>
      </c>
      <c r="N1034">
        <f t="shared" si="50"/>
        <v>8</v>
      </c>
    </row>
    <row r="1035" spans="1:14" x14ac:dyDescent="0.35">
      <c r="A1035" t="str">
        <f t="shared" si="48"/>
        <v>18097380403_2027</v>
      </c>
      <c r="B1035">
        <v>18097380403</v>
      </c>
      <c r="C1035">
        <v>2027</v>
      </c>
      <c r="D1035">
        <v>-1.7655974322315009</v>
      </c>
      <c r="E1035">
        <v>0.1505518291100304</v>
      </c>
      <c r="F1035">
        <v>-0.64507467386322992</v>
      </c>
      <c r="G1035">
        <v>0.1820873039264605</v>
      </c>
      <c r="H1035">
        <v>-0.16482474212714629</v>
      </c>
      <c r="I1035">
        <v>0.1114943654074247</v>
      </c>
      <c r="J1035">
        <v>1.13495760856878</v>
      </c>
      <c r="K1035">
        <v>-0.17919711858646861</v>
      </c>
      <c r="M1035">
        <f t="shared" si="49"/>
        <v>-1.1756028597956498</v>
      </c>
      <c r="N1035">
        <f t="shared" si="50"/>
        <v>8</v>
      </c>
    </row>
    <row r="1036" spans="1:14" x14ac:dyDescent="0.35">
      <c r="A1036" t="str">
        <f t="shared" si="48"/>
        <v>18097380403_2028</v>
      </c>
      <c r="B1036">
        <v>18097380403</v>
      </c>
      <c r="C1036">
        <v>2028</v>
      </c>
      <c r="D1036">
        <v>-0.27615769528679651</v>
      </c>
      <c r="E1036">
        <v>0.22729856608757171</v>
      </c>
      <c r="F1036">
        <v>-0.65720830284172949</v>
      </c>
      <c r="G1036">
        <v>0.14889733637442951</v>
      </c>
      <c r="H1036">
        <v>-0.23866054501529321</v>
      </c>
      <c r="I1036">
        <v>0.15527210482923309</v>
      </c>
      <c r="J1036">
        <v>1.146586814712063</v>
      </c>
      <c r="K1036">
        <v>-0.1739932250741997</v>
      </c>
      <c r="M1036">
        <f t="shared" si="49"/>
        <v>0.33203505378527842</v>
      </c>
      <c r="N1036">
        <f t="shared" si="50"/>
        <v>8</v>
      </c>
    </row>
    <row r="1037" spans="1:14" x14ac:dyDescent="0.35">
      <c r="A1037" t="str">
        <f t="shared" si="48"/>
        <v>18097380404_2024</v>
      </c>
      <c r="B1037">
        <v>18097380404</v>
      </c>
      <c r="C1037">
        <v>2024</v>
      </c>
      <c r="D1037">
        <v>2.6229751069654301</v>
      </c>
      <c r="E1037">
        <v>5.9690411228048579E-2</v>
      </c>
      <c r="F1037">
        <v>-0.97963730732599519</v>
      </c>
      <c r="G1037">
        <v>-0.31977030797212641</v>
      </c>
      <c r="H1037">
        <v>-0.29046140318645453</v>
      </c>
      <c r="I1037">
        <v>-5.1647597914270572E-2</v>
      </c>
      <c r="J1037">
        <v>-0.44842422089694661</v>
      </c>
      <c r="M1037">
        <f t="shared" si="49"/>
        <v>0.5927246808976856</v>
      </c>
      <c r="N1037">
        <f t="shared" si="50"/>
        <v>7</v>
      </c>
    </row>
    <row r="1038" spans="1:14" x14ac:dyDescent="0.35">
      <c r="A1038" t="str">
        <f t="shared" si="48"/>
        <v>18097380404_2025</v>
      </c>
      <c r="B1038">
        <v>18097380404</v>
      </c>
      <c r="C1038">
        <v>2025</v>
      </c>
      <c r="D1038">
        <v>-0.97572773415623282</v>
      </c>
      <c r="E1038">
        <v>-0.1799636940411147</v>
      </c>
      <c r="F1038">
        <v>-0.12624147370950969</v>
      </c>
      <c r="G1038">
        <v>-0.72514545778999495</v>
      </c>
      <c r="H1038">
        <v>-3.020512821460835E-2</v>
      </c>
      <c r="I1038">
        <v>7.8557695199798314E-2</v>
      </c>
      <c r="J1038">
        <v>-0.48162656546974197</v>
      </c>
      <c r="M1038">
        <f t="shared" si="49"/>
        <v>-2.4403523581814039</v>
      </c>
      <c r="N1038">
        <f t="shared" si="50"/>
        <v>7</v>
      </c>
    </row>
    <row r="1039" spans="1:14" x14ac:dyDescent="0.35">
      <c r="A1039" t="str">
        <f t="shared" si="48"/>
        <v>18097380404_2026</v>
      </c>
      <c r="B1039">
        <v>18097380404</v>
      </c>
      <c r="C1039">
        <v>2026</v>
      </c>
      <c r="D1039">
        <v>2.5369281804576689</v>
      </c>
      <c r="E1039">
        <v>-7.6766338394753053E-2</v>
      </c>
      <c r="F1039">
        <v>-0.1221117295089121</v>
      </c>
      <c r="G1039">
        <v>-0.73075976473627036</v>
      </c>
      <c r="H1039">
        <v>-0.49638950526239489</v>
      </c>
      <c r="I1039">
        <v>0.13119712744574549</v>
      </c>
      <c r="J1039">
        <v>-0.53286267576642765</v>
      </c>
      <c r="M1039">
        <f t="shared" si="49"/>
        <v>0.70923529423465625</v>
      </c>
      <c r="N1039">
        <f t="shared" si="50"/>
        <v>7</v>
      </c>
    </row>
    <row r="1040" spans="1:14" x14ac:dyDescent="0.35">
      <c r="A1040" t="str">
        <f t="shared" si="48"/>
        <v>18097380404_2027</v>
      </c>
      <c r="B1040">
        <v>18097380404</v>
      </c>
      <c r="C1040">
        <v>2027</v>
      </c>
      <c r="D1040">
        <v>9.5886211726465664E-2</v>
      </c>
      <c r="E1040">
        <v>-7.153597866128393E-2</v>
      </c>
      <c r="F1040">
        <v>-0.13691939671120851</v>
      </c>
      <c r="G1040">
        <v>-0.80517735496266396</v>
      </c>
      <c r="H1040">
        <v>-0.43770414402454177</v>
      </c>
      <c r="I1040">
        <v>0.1898939846814984</v>
      </c>
      <c r="J1040">
        <v>-0.5557578331224009</v>
      </c>
      <c r="M1040">
        <f t="shared" si="49"/>
        <v>-1.721314511074135</v>
      </c>
      <c r="N1040">
        <f t="shared" si="50"/>
        <v>7</v>
      </c>
    </row>
    <row r="1041" spans="1:14" x14ac:dyDescent="0.35">
      <c r="A1041" t="str">
        <f t="shared" si="48"/>
        <v>18097380404_2028</v>
      </c>
      <c r="B1041">
        <v>18097380404</v>
      </c>
      <c r="C1041">
        <v>2028</v>
      </c>
      <c r="D1041">
        <v>1.7229859309439119</v>
      </c>
      <c r="E1041">
        <v>2.1119060846315891E-2</v>
      </c>
      <c r="F1041">
        <v>-9.9739546012571553E-2</v>
      </c>
      <c r="G1041">
        <v>-0.76804900161003975</v>
      </c>
      <c r="H1041">
        <v>-0.47210035852740062</v>
      </c>
      <c r="I1041">
        <v>0.21562127524934899</v>
      </c>
      <c r="J1041">
        <v>-0.56544388153361758</v>
      </c>
      <c r="M1041">
        <f t="shared" si="49"/>
        <v>5.4393479355947294E-2</v>
      </c>
      <c r="N1041">
        <f t="shared" si="50"/>
        <v>7</v>
      </c>
    </row>
    <row r="1042" spans="1:14" x14ac:dyDescent="0.35">
      <c r="A1042" t="str">
        <f t="shared" si="48"/>
        <v>18097380501_2024</v>
      </c>
      <c r="B1042">
        <v>18097380501</v>
      </c>
      <c r="C1042">
        <v>2024</v>
      </c>
      <c r="D1042">
        <v>1.3779318400844249</v>
      </c>
      <c r="E1042">
        <v>-1.0630771305510249</v>
      </c>
      <c r="F1042">
        <v>-0.11963952020205371</v>
      </c>
      <c r="G1042">
        <v>-0.21804500246902059</v>
      </c>
      <c r="H1042">
        <v>3.3888169264442249E-2</v>
      </c>
      <c r="I1042">
        <v>0.2314167428987913</v>
      </c>
      <c r="J1042">
        <v>-0.17948852262011111</v>
      </c>
      <c r="M1042">
        <f t="shared" si="49"/>
        <v>6.2986576405448136E-2</v>
      </c>
      <c r="N1042">
        <f t="shared" si="50"/>
        <v>7</v>
      </c>
    </row>
    <row r="1043" spans="1:14" x14ac:dyDescent="0.35">
      <c r="A1043" t="str">
        <f t="shared" si="48"/>
        <v>18097380501_2025</v>
      </c>
      <c r="B1043">
        <v>18097380501</v>
      </c>
      <c r="C1043">
        <v>2025</v>
      </c>
      <c r="D1043">
        <v>-0.99145756363301085</v>
      </c>
      <c r="E1043">
        <v>0.30585971855451338</v>
      </c>
      <c r="F1043">
        <v>0.70584020912752454</v>
      </c>
      <c r="G1043">
        <v>-0.46287421789134658</v>
      </c>
      <c r="H1043">
        <v>-0.85206641960511997</v>
      </c>
      <c r="I1043">
        <v>-0.20732795652664879</v>
      </c>
      <c r="J1043">
        <v>-0.27101692109894809</v>
      </c>
      <c r="M1043">
        <f t="shared" si="49"/>
        <v>-1.7730431510730364</v>
      </c>
      <c r="N1043">
        <f t="shared" si="50"/>
        <v>7</v>
      </c>
    </row>
    <row r="1044" spans="1:14" x14ac:dyDescent="0.35">
      <c r="A1044" t="str">
        <f t="shared" si="48"/>
        <v>18097380501_2026</v>
      </c>
      <c r="B1044">
        <v>18097380501</v>
      </c>
      <c r="C1044">
        <v>2026</v>
      </c>
      <c r="D1044">
        <v>0.69882633818045359</v>
      </c>
      <c r="E1044">
        <v>-1.1673085521028559</v>
      </c>
      <c r="F1044">
        <v>0.58882760153482505</v>
      </c>
      <c r="G1044">
        <v>-0.50881913755090324</v>
      </c>
      <c r="H1044">
        <v>-0.57789423176039456</v>
      </c>
      <c r="I1044">
        <v>2.8044930152069419E-2</v>
      </c>
      <c r="J1044">
        <v>-0.34074724612087331</v>
      </c>
      <c r="M1044">
        <f t="shared" si="49"/>
        <v>-1.2790702976676789</v>
      </c>
      <c r="N1044">
        <f t="shared" si="50"/>
        <v>7</v>
      </c>
    </row>
    <row r="1045" spans="1:14" x14ac:dyDescent="0.35">
      <c r="A1045" t="str">
        <f t="shared" si="48"/>
        <v>18097380501_2027</v>
      </c>
      <c r="B1045">
        <v>18097380501</v>
      </c>
      <c r="C1045">
        <v>2027</v>
      </c>
      <c r="D1045">
        <v>-0.29865628092883251</v>
      </c>
      <c r="E1045">
        <v>-0.30288180713065288</v>
      </c>
      <c r="F1045">
        <v>0.76248155889867475</v>
      </c>
      <c r="G1045">
        <v>-0.54904829010221512</v>
      </c>
      <c r="H1045">
        <v>-0.6616765835634334</v>
      </c>
      <c r="I1045">
        <v>3.8001690980924818E-2</v>
      </c>
      <c r="J1045">
        <v>-0.36901316729391082</v>
      </c>
      <c r="M1045">
        <f t="shared" si="49"/>
        <v>-1.380792879139445</v>
      </c>
      <c r="N1045">
        <f t="shared" si="50"/>
        <v>7</v>
      </c>
    </row>
    <row r="1046" spans="1:14" x14ac:dyDescent="0.35">
      <c r="A1046" t="str">
        <f t="shared" si="48"/>
        <v>18097380501_2028</v>
      </c>
      <c r="B1046">
        <v>18097380501</v>
      </c>
      <c r="C1046">
        <v>2028</v>
      </c>
      <c r="D1046">
        <v>0.15561521627989711</v>
      </c>
      <c r="E1046">
        <v>-0.65018817196183354</v>
      </c>
      <c r="F1046">
        <v>0.84681404308478259</v>
      </c>
      <c r="G1046">
        <v>-0.53139533204076528</v>
      </c>
      <c r="H1046">
        <v>-0.58453592236648244</v>
      </c>
      <c r="I1046">
        <v>0.11133760324805179</v>
      </c>
      <c r="J1046">
        <v>-0.38085808746891281</v>
      </c>
      <c r="M1046">
        <f t="shared" si="49"/>
        <v>-1.0332106512252626</v>
      </c>
      <c r="N1046">
        <f t="shared" si="50"/>
        <v>7</v>
      </c>
    </row>
    <row r="1047" spans="1:14" x14ac:dyDescent="0.35">
      <c r="A1047" t="str">
        <f t="shared" si="48"/>
        <v>18097380502_2024</v>
      </c>
      <c r="B1047">
        <v>18097380502</v>
      </c>
      <c r="C1047">
        <v>2024</v>
      </c>
      <c r="D1047">
        <v>1.3779299522463271</v>
      </c>
      <c r="E1047">
        <v>0.94018068394172805</v>
      </c>
      <c r="F1047">
        <v>1.00124035012083</v>
      </c>
      <c r="G1047">
        <v>-0.36147994640164449</v>
      </c>
      <c r="H1047">
        <v>-1.1891308210175189E-2</v>
      </c>
      <c r="I1047">
        <v>-0.47120757206696728</v>
      </c>
      <c r="J1047">
        <v>-0.17948852262011111</v>
      </c>
      <c r="M1047">
        <f t="shared" si="49"/>
        <v>2.2952836370099874</v>
      </c>
      <c r="N1047">
        <f t="shared" si="50"/>
        <v>7</v>
      </c>
    </row>
    <row r="1048" spans="1:14" x14ac:dyDescent="0.35">
      <c r="A1048" t="str">
        <f t="shared" si="48"/>
        <v>18097380502_2025</v>
      </c>
      <c r="B1048">
        <v>18097380502</v>
      </c>
      <c r="C1048">
        <v>2025</v>
      </c>
      <c r="D1048">
        <v>-0.99145468795359581</v>
      </c>
      <c r="E1048">
        <v>-0.25382345261006861</v>
      </c>
      <c r="F1048">
        <v>0.1512467139165169</v>
      </c>
      <c r="G1048">
        <v>-0.61234470461959101</v>
      </c>
      <c r="H1048">
        <v>-0.63644338935853106</v>
      </c>
      <c r="I1048">
        <v>-0.25798551075948528</v>
      </c>
      <c r="J1048">
        <v>-0.27101692109894809</v>
      </c>
      <c r="M1048">
        <f t="shared" si="49"/>
        <v>-2.8718219524837028</v>
      </c>
      <c r="N1048">
        <f t="shared" si="50"/>
        <v>7</v>
      </c>
    </row>
    <row r="1049" spans="1:14" x14ac:dyDescent="0.35">
      <c r="A1049" t="str">
        <f t="shared" si="48"/>
        <v>18097380502_2026</v>
      </c>
      <c r="B1049">
        <v>18097380502</v>
      </c>
      <c r="C1049">
        <v>2026</v>
      </c>
      <c r="D1049">
        <v>0.69882360794799658</v>
      </c>
      <c r="E1049">
        <v>0.6889887649277241</v>
      </c>
      <c r="F1049">
        <v>0.41938572422504838</v>
      </c>
      <c r="G1049">
        <v>-0.6615199666165491</v>
      </c>
      <c r="H1049">
        <v>-0.50855916738993645</v>
      </c>
      <c r="I1049">
        <v>-0.34049735828779309</v>
      </c>
      <c r="J1049">
        <v>-0.34074724612087331</v>
      </c>
      <c r="M1049">
        <f t="shared" si="49"/>
        <v>-4.4125641314382791E-2</v>
      </c>
      <c r="N1049">
        <f t="shared" si="50"/>
        <v>7</v>
      </c>
    </row>
    <row r="1050" spans="1:14" x14ac:dyDescent="0.35">
      <c r="A1050" t="str">
        <f t="shared" si="48"/>
        <v>18097380502_2027</v>
      </c>
      <c r="B1050">
        <v>18097380502</v>
      </c>
      <c r="C1050">
        <v>2027</v>
      </c>
      <c r="D1050">
        <v>-0.29865406611585199</v>
      </c>
      <c r="E1050">
        <v>0.24106040101322779</v>
      </c>
      <c r="F1050">
        <v>0.37511108541692451</v>
      </c>
      <c r="G1050">
        <v>-0.7158807695091024</v>
      </c>
      <c r="H1050">
        <v>-0.58634282291366546</v>
      </c>
      <c r="I1050">
        <v>-0.16562031891271231</v>
      </c>
      <c r="J1050">
        <v>-0.36901316729391082</v>
      </c>
      <c r="M1050">
        <f t="shared" si="49"/>
        <v>-1.5193396583150907</v>
      </c>
      <c r="N1050">
        <f t="shared" si="50"/>
        <v>7</v>
      </c>
    </row>
    <row r="1051" spans="1:14" x14ac:dyDescent="0.35">
      <c r="A1051" t="str">
        <f t="shared" si="48"/>
        <v>18097380502_2028</v>
      </c>
      <c r="B1051">
        <v>18097380502</v>
      </c>
      <c r="C1051">
        <v>2028</v>
      </c>
      <c r="D1051">
        <v>0.15561405365595801</v>
      </c>
      <c r="E1051">
        <v>0.48048357729965019</v>
      </c>
      <c r="F1051">
        <v>0.50630750820270498</v>
      </c>
      <c r="G1051">
        <v>-0.68661416961424215</v>
      </c>
      <c r="H1051">
        <v>-0.53985886188603971</v>
      </c>
      <c r="I1051">
        <v>-8.3422600739155528E-2</v>
      </c>
      <c r="J1051">
        <v>-0.38085808746891281</v>
      </c>
      <c r="M1051">
        <f t="shared" si="49"/>
        <v>-0.54834858055003699</v>
      </c>
      <c r="N1051">
        <f t="shared" si="50"/>
        <v>7</v>
      </c>
    </row>
    <row r="1052" spans="1:14" x14ac:dyDescent="0.35">
      <c r="A1052" t="str">
        <f t="shared" si="48"/>
        <v>18097380600_2024</v>
      </c>
      <c r="B1052">
        <v>18097380600</v>
      </c>
      <c r="C1052">
        <v>2024</v>
      </c>
      <c r="D1052">
        <v>1.042824509615017</v>
      </c>
      <c r="E1052">
        <v>-0.43144510724118817</v>
      </c>
      <c r="F1052">
        <v>0.17756331580297921</v>
      </c>
      <c r="G1052">
        <v>0.49743793755062687</v>
      </c>
      <c r="H1052">
        <v>-4.8391058076584503E-3</v>
      </c>
      <c r="I1052">
        <v>-0.37731870464113842</v>
      </c>
      <c r="J1052">
        <v>-0.33885104764072838</v>
      </c>
      <c r="M1052">
        <f t="shared" si="49"/>
        <v>0.56537179763790968</v>
      </c>
      <c r="N1052">
        <f t="shared" si="50"/>
        <v>7</v>
      </c>
    </row>
    <row r="1053" spans="1:14" x14ac:dyDescent="0.35">
      <c r="A1053" t="str">
        <f t="shared" si="48"/>
        <v>18097380600_2025</v>
      </c>
      <c r="B1053">
        <v>18097380600</v>
      </c>
      <c r="C1053">
        <v>2025</v>
      </c>
      <c r="D1053">
        <v>-0.43561985159795541</v>
      </c>
      <c r="E1053">
        <v>-0.1080894360951527</v>
      </c>
      <c r="F1053">
        <v>-0.22028973233767871</v>
      </c>
      <c r="G1053">
        <v>0.72918450212075703</v>
      </c>
      <c r="H1053">
        <v>-0.61889420212779511</v>
      </c>
      <c r="I1053">
        <v>-0.38443190602456268</v>
      </c>
      <c r="J1053">
        <v>-0.41207364145158321</v>
      </c>
      <c r="M1053">
        <f t="shared" si="49"/>
        <v>-1.4502142675139709</v>
      </c>
      <c r="N1053">
        <f t="shared" si="50"/>
        <v>7</v>
      </c>
    </row>
    <row r="1054" spans="1:14" x14ac:dyDescent="0.35">
      <c r="A1054" t="str">
        <f t="shared" si="48"/>
        <v>18097380600_2026</v>
      </c>
      <c r="B1054">
        <v>18097380600</v>
      </c>
      <c r="C1054">
        <v>2026</v>
      </c>
      <c r="D1054">
        <v>0.60812120776585177</v>
      </c>
      <c r="E1054">
        <v>-0.31612175921125901</v>
      </c>
      <c r="F1054">
        <v>-0.2336796587152844</v>
      </c>
      <c r="G1054">
        <v>0.89292491711739519</v>
      </c>
      <c r="H1054">
        <v>-0.494247277109507</v>
      </c>
      <c r="I1054">
        <v>-0.35046109975714951</v>
      </c>
      <c r="J1054">
        <v>-0.47459537056973811</v>
      </c>
      <c r="M1054">
        <f t="shared" si="49"/>
        <v>-0.36805904047969101</v>
      </c>
      <c r="N1054">
        <f t="shared" si="50"/>
        <v>7</v>
      </c>
    </row>
    <row r="1055" spans="1:14" x14ac:dyDescent="0.35">
      <c r="A1055" t="str">
        <f t="shared" si="48"/>
        <v>18097380600_2027</v>
      </c>
      <c r="B1055">
        <v>18097380600</v>
      </c>
      <c r="C1055">
        <v>2027</v>
      </c>
      <c r="D1055">
        <v>0.11254405325480681</v>
      </c>
      <c r="E1055">
        <v>-0.2179047443243923</v>
      </c>
      <c r="F1055">
        <v>-0.26658965648008431</v>
      </c>
      <c r="G1055">
        <v>1.0000729095037151</v>
      </c>
      <c r="H1055">
        <v>-0.57516948404435186</v>
      </c>
      <c r="I1055">
        <v>-0.2221826777314275</v>
      </c>
      <c r="J1055">
        <v>-0.50014376635984026</v>
      </c>
      <c r="M1055">
        <f t="shared" si="49"/>
        <v>-0.66937336618157439</v>
      </c>
      <c r="N1055">
        <f t="shared" si="50"/>
        <v>7</v>
      </c>
    </row>
    <row r="1056" spans="1:14" x14ac:dyDescent="0.35">
      <c r="A1056" t="str">
        <f t="shared" si="48"/>
        <v>18097380600_2028</v>
      </c>
      <c r="B1056">
        <v>18097380600</v>
      </c>
      <c r="C1056">
        <v>2028</v>
      </c>
      <c r="D1056">
        <v>0.30295260624531212</v>
      </c>
      <c r="E1056">
        <v>-0.13688528263103289</v>
      </c>
      <c r="F1056">
        <v>-0.24169330228401559</v>
      </c>
      <c r="G1056">
        <v>0.93555841368655279</v>
      </c>
      <c r="H1056">
        <v>-0.5325004560810469</v>
      </c>
      <c r="I1056">
        <v>-0.1109213802687178</v>
      </c>
      <c r="J1056">
        <v>-0.51064490384555306</v>
      </c>
      <c r="M1056">
        <f t="shared" si="49"/>
        <v>-0.29413430517850125</v>
      </c>
      <c r="N1056">
        <f t="shared" si="50"/>
        <v>7</v>
      </c>
    </row>
    <row r="1057" spans="1:14" x14ac:dyDescent="0.35">
      <c r="A1057" t="str">
        <f t="shared" si="48"/>
        <v>18097380700_2024</v>
      </c>
      <c r="B1057">
        <v>18097380700</v>
      </c>
      <c r="C1057">
        <v>2024</v>
      </c>
      <c r="D1057">
        <v>0.78237771340648288</v>
      </c>
      <c r="E1057">
        <v>1.961021427809833</v>
      </c>
      <c r="F1057">
        <v>-6.3107597692696749E-2</v>
      </c>
      <c r="G1057">
        <v>0.1545239863907418</v>
      </c>
      <c r="I1057">
        <v>-0.4344319056240743</v>
      </c>
      <c r="J1057">
        <v>-0.43001235247064501</v>
      </c>
      <c r="M1057">
        <f t="shared" si="49"/>
        <v>1.9703712718196418</v>
      </c>
      <c r="N1057">
        <f t="shared" si="50"/>
        <v>6</v>
      </c>
    </row>
    <row r="1058" spans="1:14" x14ac:dyDescent="0.35">
      <c r="A1058" t="str">
        <f t="shared" si="48"/>
        <v>18097380700_2025</v>
      </c>
      <c r="B1058">
        <v>18097380700</v>
      </c>
      <c r="C1058">
        <v>2025</v>
      </c>
      <c r="D1058">
        <v>4.5807463202185851E-2</v>
      </c>
      <c r="E1058">
        <v>-0.73543911510936599</v>
      </c>
      <c r="F1058">
        <v>-4.8048883172020239E-2</v>
      </c>
      <c r="G1058">
        <v>0.27380305290511331</v>
      </c>
      <c r="I1058">
        <v>-0.2805973572538184</v>
      </c>
      <c r="J1058">
        <v>-0.49537574697895009</v>
      </c>
      <c r="M1058">
        <f t="shared" si="49"/>
        <v>-1.2398505864068556</v>
      </c>
      <c r="N1058">
        <f t="shared" si="50"/>
        <v>6</v>
      </c>
    </row>
    <row r="1059" spans="1:14" x14ac:dyDescent="0.35">
      <c r="A1059" t="str">
        <f t="shared" si="48"/>
        <v>18097380700_2026</v>
      </c>
      <c r="B1059">
        <v>18097380700</v>
      </c>
      <c r="C1059">
        <v>2026</v>
      </c>
      <c r="D1059">
        <v>0.57567069422675909</v>
      </c>
      <c r="E1059">
        <v>1.653157215492967</v>
      </c>
      <c r="F1059">
        <v>-2.5019074728074481E-2</v>
      </c>
      <c r="G1059">
        <v>0.38726765754660142</v>
      </c>
      <c r="I1059">
        <v>-0.18411840898481541</v>
      </c>
      <c r="J1059">
        <v>-0.55437295706162593</v>
      </c>
      <c r="M1059">
        <f t="shared" si="49"/>
        <v>1.8525851264918116</v>
      </c>
      <c r="N1059">
        <f t="shared" si="50"/>
        <v>6</v>
      </c>
    </row>
    <row r="1060" spans="1:14" x14ac:dyDescent="0.35">
      <c r="A1060" t="str">
        <f t="shared" si="48"/>
        <v>18097380700_2027</v>
      </c>
      <c r="B1060">
        <v>18097380700</v>
      </c>
      <c r="C1060">
        <v>2027</v>
      </c>
      <c r="D1060">
        <v>0.4623723170072383</v>
      </c>
      <c r="E1060">
        <v>0.1632065714933961</v>
      </c>
      <c r="F1060">
        <v>-2.722837805128267E-2</v>
      </c>
      <c r="G1060">
        <v>0.39332867429746232</v>
      </c>
      <c r="I1060">
        <v>-6.2224897859873549E-2</v>
      </c>
      <c r="J1060">
        <v>-0.57841649284155883</v>
      </c>
      <c r="M1060">
        <f t="shared" si="49"/>
        <v>0.35103779404538171</v>
      </c>
      <c r="N1060">
        <f t="shared" si="50"/>
        <v>6</v>
      </c>
    </row>
    <row r="1061" spans="1:14" x14ac:dyDescent="0.35">
      <c r="A1061" t="str">
        <f t="shared" si="48"/>
        <v>18097380700_2028</v>
      </c>
      <c r="B1061">
        <v>18097380700</v>
      </c>
      <c r="C1061">
        <v>2028</v>
      </c>
      <c r="D1061">
        <v>0.46898525664666862</v>
      </c>
      <c r="E1061">
        <v>0.95035355317056336</v>
      </c>
      <c r="F1061">
        <v>2.0389750891203699E-2</v>
      </c>
      <c r="G1061">
        <v>0.39882200762957998</v>
      </c>
      <c r="I1061">
        <v>2.2172337253597119E-2</v>
      </c>
      <c r="J1061">
        <v>-0.58813026203677365</v>
      </c>
      <c r="M1061">
        <f t="shared" si="49"/>
        <v>1.2725926435548389</v>
      </c>
      <c r="N1061">
        <f t="shared" si="50"/>
        <v>6</v>
      </c>
    </row>
    <row r="1062" spans="1:14" x14ac:dyDescent="0.35">
      <c r="A1062" t="str">
        <f t="shared" si="48"/>
        <v>18097380800_2024</v>
      </c>
      <c r="B1062">
        <v>18097380800</v>
      </c>
      <c r="C1062">
        <v>2024</v>
      </c>
      <c r="D1062">
        <v>1.3779317156622239</v>
      </c>
      <c r="F1062">
        <v>-0.41340833983718689</v>
      </c>
      <c r="G1062">
        <v>-0.27062281914466729</v>
      </c>
      <c r="H1062">
        <v>0.40272776196000121</v>
      </c>
      <c r="I1062">
        <v>-0.12712675490087399</v>
      </c>
      <c r="J1062">
        <v>-0.17948852262011111</v>
      </c>
      <c r="M1062">
        <f t="shared" si="49"/>
        <v>0.79001304111938575</v>
      </c>
      <c r="N1062">
        <f t="shared" si="50"/>
        <v>6</v>
      </c>
    </row>
    <row r="1063" spans="1:14" x14ac:dyDescent="0.35">
      <c r="A1063" t="str">
        <f t="shared" si="48"/>
        <v>18097380800_2025</v>
      </c>
      <c r="B1063">
        <v>18097380800</v>
      </c>
      <c r="C1063">
        <v>2025</v>
      </c>
      <c r="D1063">
        <v>-0.99145736974272836</v>
      </c>
      <c r="F1063">
        <v>0.49366328324873221</v>
      </c>
      <c r="G1063">
        <v>-0.61693807093020792</v>
      </c>
      <c r="H1063">
        <v>1.1412180478034819</v>
      </c>
      <c r="I1063">
        <v>-5.5508496951982053E-2</v>
      </c>
      <c r="J1063">
        <v>-0.27101692109894809</v>
      </c>
      <c r="M1063">
        <f t="shared" si="49"/>
        <v>-0.30003952767165221</v>
      </c>
      <c r="N1063">
        <f t="shared" si="50"/>
        <v>6</v>
      </c>
    </row>
    <row r="1064" spans="1:14" x14ac:dyDescent="0.35">
      <c r="A1064" t="str">
        <f t="shared" si="48"/>
        <v>18097380800_2026</v>
      </c>
      <c r="B1064">
        <v>18097380800</v>
      </c>
      <c r="C1064">
        <v>2026</v>
      </c>
      <c r="D1064">
        <v>0.69882615792308855</v>
      </c>
      <c r="F1064">
        <v>0.77066010898388071</v>
      </c>
      <c r="G1064">
        <v>-0.66100351401359358</v>
      </c>
      <c r="H1064">
        <v>1.5787437460754039</v>
      </c>
      <c r="I1064">
        <v>-2.1785476730812759E-2</v>
      </c>
      <c r="J1064">
        <v>-0.34074724612087331</v>
      </c>
      <c r="M1064">
        <f t="shared" si="49"/>
        <v>2.0246937761170938</v>
      </c>
      <c r="N1064">
        <f t="shared" si="50"/>
        <v>6</v>
      </c>
    </row>
    <row r="1065" spans="1:14" x14ac:dyDescent="0.35">
      <c r="A1065" t="str">
        <f t="shared" si="48"/>
        <v>18097380800_2027</v>
      </c>
      <c r="B1065">
        <v>18097380800</v>
      </c>
      <c r="C1065">
        <v>2027</v>
      </c>
      <c r="D1065">
        <v>-0.29865613057932933</v>
      </c>
      <c r="F1065">
        <v>0.81881624680002807</v>
      </c>
      <c r="G1065">
        <v>-0.72749418603697258</v>
      </c>
      <c r="H1065">
        <v>1.7561543207784061</v>
      </c>
      <c r="I1065">
        <v>5.5114154187383267E-2</v>
      </c>
      <c r="J1065">
        <v>-0.36901316729391082</v>
      </c>
      <c r="M1065">
        <f t="shared" si="49"/>
        <v>1.2349212378556047</v>
      </c>
      <c r="N1065">
        <f t="shared" si="50"/>
        <v>6</v>
      </c>
    </row>
    <row r="1066" spans="1:14" x14ac:dyDescent="0.35">
      <c r="A1066" t="str">
        <f t="shared" si="48"/>
        <v>18097380800_2028</v>
      </c>
      <c r="B1066">
        <v>18097380800</v>
      </c>
      <c r="C1066">
        <v>2028</v>
      </c>
      <c r="D1066">
        <v>0.15561514108439589</v>
      </c>
      <c r="F1066">
        <v>0.9646541507299492</v>
      </c>
      <c r="G1066">
        <v>-0.69740095525963219</v>
      </c>
      <c r="H1066">
        <v>2.2699783669786009</v>
      </c>
      <c r="I1066">
        <v>0.10881746301870759</v>
      </c>
      <c r="J1066">
        <v>-0.38085808746891281</v>
      </c>
      <c r="M1066">
        <f t="shared" si="49"/>
        <v>2.4208060790831083</v>
      </c>
      <c r="N1066">
        <f t="shared" si="50"/>
        <v>6</v>
      </c>
    </row>
    <row r="1067" spans="1:14" x14ac:dyDescent="0.35">
      <c r="A1067" t="str">
        <f t="shared" si="48"/>
        <v>18097380901_2024</v>
      </c>
      <c r="B1067">
        <v>18097380901</v>
      </c>
      <c r="C1067">
        <v>2024</v>
      </c>
      <c r="D1067">
        <v>1.952716193461725</v>
      </c>
      <c r="E1067">
        <v>0.3461315864713097</v>
      </c>
      <c r="G1067">
        <v>-1.43895380534248E-2</v>
      </c>
      <c r="I1067">
        <v>-0.27687149639728598</v>
      </c>
      <c r="J1067">
        <v>-0.32813063866235459</v>
      </c>
      <c r="M1067">
        <f t="shared" si="49"/>
        <v>1.6794561068199696</v>
      </c>
      <c r="N1067">
        <f t="shared" si="50"/>
        <v>5</v>
      </c>
    </row>
    <row r="1068" spans="1:14" x14ac:dyDescent="0.35">
      <c r="A1068" t="str">
        <f t="shared" si="48"/>
        <v>18097380901_2025</v>
      </c>
      <c r="B1068">
        <v>18097380901</v>
      </c>
      <c r="C1068">
        <v>2025</v>
      </c>
      <c r="D1068">
        <v>-0.97758469504202161</v>
      </c>
      <c r="E1068">
        <v>0.1304396141020395</v>
      </c>
      <c r="F1068">
        <v>-2.6162664941769158</v>
      </c>
      <c r="G1068">
        <v>-2.424288025157333E-2</v>
      </c>
      <c r="I1068">
        <v>-0.35044946876713962</v>
      </c>
      <c r="J1068">
        <v>-0.3847486601847056</v>
      </c>
      <c r="M1068">
        <f t="shared" si="49"/>
        <v>-4.2228525843203162</v>
      </c>
      <c r="N1068">
        <f t="shared" si="50"/>
        <v>6</v>
      </c>
    </row>
    <row r="1069" spans="1:14" x14ac:dyDescent="0.35">
      <c r="A1069" t="str">
        <f t="shared" si="48"/>
        <v>18097380901_2026</v>
      </c>
      <c r="B1069">
        <v>18097380901</v>
      </c>
      <c r="C1069">
        <v>2026</v>
      </c>
      <c r="D1069">
        <v>1.5332519151847539</v>
      </c>
      <c r="E1069">
        <v>9.6710366024826619E-2</v>
      </c>
      <c r="F1069">
        <v>-2.7409484781018718</v>
      </c>
      <c r="G1069">
        <v>-0.1570339493973274</v>
      </c>
      <c r="I1069">
        <v>-0.30615365792376709</v>
      </c>
      <c r="J1069">
        <v>-0.44378087967944818</v>
      </c>
      <c r="M1069">
        <f t="shared" si="49"/>
        <v>-2.0179546838928339</v>
      </c>
      <c r="N1069">
        <f t="shared" si="50"/>
        <v>6</v>
      </c>
    </row>
    <row r="1070" spans="1:14" x14ac:dyDescent="0.35">
      <c r="A1070" t="str">
        <f t="shared" si="48"/>
        <v>18097380901_2027</v>
      </c>
      <c r="B1070">
        <v>18097380901</v>
      </c>
      <c r="C1070">
        <v>2027</v>
      </c>
      <c r="D1070">
        <v>-9.5545549218236797E-2</v>
      </c>
      <c r="E1070">
        <v>6.4176527353562579E-2</v>
      </c>
      <c r="F1070">
        <v>-3.114458995156649</v>
      </c>
      <c r="G1070">
        <v>-0.18767164713430401</v>
      </c>
      <c r="I1070">
        <v>-0.18485233198425399</v>
      </c>
      <c r="J1070">
        <v>-0.46908049448236783</v>
      </c>
      <c r="M1070">
        <f t="shared" si="49"/>
        <v>-3.9874324906222491</v>
      </c>
      <c r="N1070">
        <f t="shared" si="50"/>
        <v>6</v>
      </c>
    </row>
    <row r="1071" spans="1:14" x14ac:dyDescent="0.35">
      <c r="A1071" t="str">
        <f t="shared" si="48"/>
        <v>18097380901_2028</v>
      </c>
      <c r="B1071">
        <v>18097380901</v>
      </c>
      <c r="C1071">
        <v>2028</v>
      </c>
      <c r="D1071">
        <v>0.86347209132990499</v>
      </c>
      <c r="E1071">
        <v>0.12734236422477829</v>
      </c>
      <c r="F1071">
        <v>-3.3422818398723249</v>
      </c>
      <c r="G1071">
        <v>-0.2202940240017596</v>
      </c>
      <c r="I1071">
        <v>-8.0603369186367818E-2</v>
      </c>
      <c r="J1071">
        <v>-0.47976371500539389</v>
      </c>
      <c r="M1071">
        <f t="shared" si="49"/>
        <v>-3.1321284925111628</v>
      </c>
      <c r="N1071">
        <f t="shared" si="50"/>
        <v>6</v>
      </c>
    </row>
    <row r="1072" spans="1:14" x14ac:dyDescent="0.35">
      <c r="A1072" t="str">
        <f t="shared" si="48"/>
        <v>18097380902_2024</v>
      </c>
      <c r="B1072">
        <v>18097380902</v>
      </c>
      <c r="C1072">
        <v>2024</v>
      </c>
      <c r="D1072">
        <v>2.9090896576445568</v>
      </c>
      <c r="E1072">
        <v>-0.55990335602628705</v>
      </c>
      <c r="F1072">
        <v>-0.52588338658059686</v>
      </c>
      <c r="G1072">
        <v>-0.6191161734180689</v>
      </c>
      <c r="I1072">
        <v>-0.1084150788585809</v>
      </c>
      <c r="J1072">
        <v>-0.48923327292937591</v>
      </c>
      <c r="M1072">
        <f t="shared" si="49"/>
        <v>0.60653838983164754</v>
      </c>
      <c r="N1072">
        <f t="shared" si="50"/>
        <v>6</v>
      </c>
    </row>
    <row r="1073" spans="1:14" x14ac:dyDescent="0.35">
      <c r="A1073" t="str">
        <f t="shared" si="48"/>
        <v>18097380902_2025</v>
      </c>
      <c r="B1073">
        <v>18097380902</v>
      </c>
      <c r="C1073">
        <v>2025</v>
      </c>
      <c r="D1073">
        <v>-0.9732930008647962</v>
      </c>
      <c r="E1073">
        <v>-0.86569566135093712</v>
      </c>
      <c r="F1073">
        <v>-0.1939395229350519</v>
      </c>
      <c r="G1073">
        <v>-0.70593965620093913</v>
      </c>
      <c r="I1073">
        <v>-2.6440662584214149E-2</v>
      </c>
      <c r="J1073">
        <v>-0.51532958962044695</v>
      </c>
      <c r="M1073">
        <f t="shared" si="49"/>
        <v>-3.2806380935563859</v>
      </c>
      <c r="N1073">
        <f t="shared" si="50"/>
        <v>6</v>
      </c>
    </row>
    <row r="1074" spans="1:14" x14ac:dyDescent="0.35">
      <c r="A1074" t="str">
        <f t="shared" si="48"/>
        <v>18097380902_2026</v>
      </c>
      <c r="B1074">
        <v>18097380902</v>
      </c>
      <c r="C1074">
        <v>2026</v>
      </c>
      <c r="D1074">
        <v>2.9725279503569002</v>
      </c>
      <c r="E1074">
        <v>-0.63008634328072621</v>
      </c>
      <c r="F1074">
        <v>0.38232441265212269</v>
      </c>
      <c r="G1074">
        <v>-0.92424408343483799</v>
      </c>
      <c r="I1074">
        <v>2.5517553211586602E-3</v>
      </c>
      <c r="J1074">
        <v>-0.56415228566854636</v>
      </c>
      <c r="M1074">
        <f t="shared" si="49"/>
        <v>1.2389214059460714</v>
      </c>
      <c r="N1074">
        <f t="shared" si="50"/>
        <v>6</v>
      </c>
    </row>
    <row r="1075" spans="1:14" x14ac:dyDescent="0.35">
      <c r="A1075" t="str">
        <f t="shared" si="48"/>
        <v>18097380902_2027</v>
      </c>
      <c r="B1075">
        <v>18097380902</v>
      </c>
      <c r="C1075">
        <v>2027</v>
      </c>
      <c r="D1075">
        <v>0.17061277135576849</v>
      </c>
      <c r="E1075">
        <v>-0.48357234170167102</v>
      </c>
      <c r="F1075">
        <v>0.165917889036512</v>
      </c>
      <c r="G1075">
        <v>-0.96241773589683399</v>
      </c>
      <c r="I1075">
        <v>7.5502297599918861E-2</v>
      </c>
      <c r="J1075">
        <v>-0.58625668776692208</v>
      </c>
      <c r="M1075">
        <f t="shared" si="49"/>
        <v>-1.6202138073732275</v>
      </c>
      <c r="N1075">
        <f t="shared" si="50"/>
        <v>6</v>
      </c>
    </row>
    <row r="1076" spans="1:14" x14ac:dyDescent="0.35">
      <c r="A1076" t="str">
        <f t="shared" si="48"/>
        <v>18097380902_2028</v>
      </c>
      <c r="B1076">
        <v>18097380902</v>
      </c>
      <c r="C1076">
        <v>2028</v>
      </c>
      <c r="D1076">
        <v>2.100910780213225</v>
      </c>
      <c r="E1076">
        <v>-0.29356169088999351</v>
      </c>
      <c r="F1076">
        <v>0.35370857049881749</v>
      </c>
      <c r="G1076">
        <v>-0.93194731842832723</v>
      </c>
      <c r="I1076">
        <v>0.1244420907556978</v>
      </c>
      <c r="J1076">
        <v>-0.59559946016646703</v>
      </c>
      <c r="M1076">
        <f t="shared" si="49"/>
        <v>0.75795297198295242</v>
      </c>
      <c r="N1076">
        <f t="shared" si="50"/>
        <v>6</v>
      </c>
    </row>
    <row r="1077" spans="1:14" x14ac:dyDescent="0.35">
      <c r="A1077" t="str">
        <f t="shared" si="48"/>
        <v>18097381002_2024</v>
      </c>
      <c r="B1077">
        <v>18097381002</v>
      </c>
      <c r="C1077">
        <v>2024</v>
      </c>
      <c r="D1077">
        <v>0.93618341116660164</v>
      </c>
      <c r="E1077">
        <v>0.29702512797125469</v>
      </c>
      <c r="F1077">
        <v>-1.355163356460223</v>
      </c>
      <c r="G1077">
        <v>8.8301074569983092E-3</v>
      </c>
      <c r="H1077">
        <v>0.1777538102745107</v>
      </c>
      <c r="I1077">
        <v>4.9369770693782122E-2</v>
      </c>
      <c r="J1077">
        <v>-0.37859290944868701</v>
      </c>
      <c r="M1077">
        <f t="shared" si="49"/>
        <v>-0.26459403834576245</v>
      </c>
      <c r="N1077">
        <f t="shared" si="50"/>
        <v>7</v>
      </c>
    </row>
    <row r="1078" spans="1:14" x14ac:dyDescent="0.35">
      <c r="A1078" t="str">
        <f t="shared" si="48"/>
        <v>18097381002_2025</v>
      </c>
      <c r="B1078">
        <v>18097381002</v>
      </c>
      <c r="C1078">
        <v>2025</v>
      </c>
      <c r="D1078">
        <v>-0.24498714288826201</v>
      </c>
      <c r="E1078">
        <v>0.26308938323778708</v>
      </c>
      <c r="F1078">
        <v>-1.560448438497718</v>
      </c>
      <c r="G1078">
        <v>-0.244497684489214</v>
      </c>
      <c r="H1078">
        <v>0.24814049370461699</v>
      </c>
      <c r="I1078">
        <v>0.26472324105338157</v>
      </c>
      <c r="J1078">
        <v>-0.4481818270924437</v>
      </c>
      <c r="M1078">
        <f t="shared" si="49"/>
        <v>-1.722161974971852</v>
      </c>
      <c r="N1078">
        <f t="shared" si="50"/>
        <v>7</v>
      </c>
    </row>
    <row r="1079" spans="1:14" x14ac:dyDescent="0.35">
      <c r="A1079" t="str">
        <f t="shared" si="48"/>
        <v>18097381002_2026</v>
      </c>
      <c r="B1079">
        <v>18097381002</v>
      </c>
      <c r="C1079">
        <v>2026</v>
      </c>
      <c r="D1079">
        <v>0.58932114043308803</v>
      </c>
      <c r="E1079">
        <v>0.35883154340655521</v>
      </c>
      <c r="F1079">
        <v>0.4881469804386831</v>
      </c>
      <c r="G1079">
        <v>-7.1050580025722402E-3</v>
      </c>
      <c r="H1079">
        <v>0.30362856154274559</v>
      </c>
      <c r="I1079">
        <v>0.32376830055736422</v>
      </c>
      <c r="J1079">
        <v>-0.50911254801090888</v>
      </c>
      <c r="M1079">
        <f t="shared" si="49"/>
        <v>1.547478920364955</v>
      </c>
      <c r="N1079">
        <f t="shared" si="50"/>
        <v>7</v>
      </c>
    </row>
    <row r="1080" spans="1:14" x14ac:dyDescent="0.35">
      <c r="A1080" t="str">
        <f t="shared" si="48"/>
        <v>18097381002_2027</v>
      </c>
      <c r="B1080">
        <v>18097381002</v>
      </c>
      <c r="C1080">
        <v>2027</v>
      </c>
      <c r="D1080">
        <v>0.25161837415932881</v>
      </c>
      <c r="E1080">
        <v>0.35200704134748467</v>
      </c>
      <c r="F1080">
        <v>-1.0158703330374219</v>
      </c>
      <c r="G1080">
        <v>-0.15679764993674469</v>
      </c>
      <c r="H1080">
        <v>0.1369621920001525</v>
      </c>
      <c r="I1080">
        <v>0.3452965836059842</v>
      </c>
      <c r="J1080">
        <v>-0.53399888233509241</v>
      </c>
      <c r="M1080">
        <f t="shared" si="49"/>
        <v>-0.62078267419630895</v>
      </c>
      <c r="N1080">
        <f t="shared" si="50"/>
        <v>7</v>
      </c>
    </row>
    <row r="1081" spans="1:14" x14ac:dyDescent="0.35">
      <c r="A1081" t="str">
        <f t="shared" si="48"/>
        <v>18097381002_2028</v>
      </c>
      <c r="B1081">
        <v>18097381002</v>
      </c>
      <c r="C1081">
        <v>2028</v>
      </c>
      <c r="D1081">
        <v>0.36373663280355262</v>
      </c>
      <c r="E1081">
        <v>0.39300672541189502</v>
      </c>
      <c r="F1081">
        <v>-4.4772431341091913E-2</v>
      </c>
      <c r="G1081">
        <v>-5.2975272351183059E-2</v>
      </c>
      <c r="H1081">
        <v>1.18909413866411E-2</v>
      </c>
      <c r="I1081">
        <v>0.33064275215281203</v>
      </c>
      <c r="J1081">
        <v>-0.54415786968522728</v>
      </c>
      <c r="M1081">
        <f t="shared" si="49"/>
        <v>0.45737147837739867</v>
      </c>
      <c r="N1081">
        <f t="shared" si="50"/>
        <v>7</v>
      </c>
    </row>
    <row r="1082" spans="1:14" x14ac:dyDescent="0.35">
      <c r="A1082" t="str">
        <f t="shared" si="48"/>
        <v>18097381003_2024</v>
      </c>
      <c r="B1082">
        <v>18097381003</v>
      </c>
      <c r="C1082">
        <v>2024</v>
      </c>
      <c r="D1082">
        <v>1.3779309042973999</v>
      </c>
      <c r="E1082">
        <v>-1.3259198491764299</v>
      </c>
      <c r="F1082">
        <v>0.65569941751298577</v>
      </c>
      <c r="G1082">
        <v>-0.46501743486437302</v>
      </c>
      <c r="H1082">
        <v>-5.7396631873959318E-2</v>
      </c>
      <c r="I1082">
        <v>0.38400782421158658</v>
      </c>
      <c r="J1082">
        <v>-0.17948852264005791</v>
      </c>
      <c r="M1082">
        <f t="shared" si="49"/>
        <v>0.38981570746715211</v>
      </c>
      <c r="N1082">
        <f t="shared" si="50"/>
        <v>7</v>
      </c>
    </row>
    <row r="1083" spans="1:14" x14ac:dyDescent="0.35">
      <c r="A1083" t="str">
        <f t="shared" si="48"/>
        <v>18097381003_2025</v>
      </c>
      <c r="B1083">
        <v>18097381003</v>
      </c>
      <c r="C1083">
        <v>2025</v>
      </c>
      <c r="D1083">
        <v>-0.99145613624305839</v>
      </c>
      <c r="E1083">
        <v>-0.997923974013465</v>
      </c>
      <c r="F1083">
        <v>0.98042336728674795</v>
      </c>
      <c r="G1083">
        <v>-1.2919989360251309</v>
      </c>
      <c r="H1083">
        <v>-0.4535018337156681</v>
      </c>
      <c r="I1083">
        <v>0.51384153060617321</v>
      </c>
      <c r="J1083">
        <v>-0.27101692111983022</v>
      </c>
      <c r="M1083">
        <f t="shared" si="49"/>
        <v>-2.5116329032242315</v>
      </c>
      <c r="N1083">
        <f t="shared" si="50"/>
        <v>7</v>
      </c>
    </row>
    <row r="1084" spans="1:14" x14ac:dyDescent="0.35">
      <c r="A1084" t="str">
        <f t="shared" si="48"/>
        <v>18097381003_2026</v>
      </c>
      <c r="B1084">
        <v>18097381003</v>
      </c>
      <c r="C1084">
        <v>2026</v>
      </c>
      <c r="D1084">
        <v>0.69882498468437015</v>
      </c>
      <c r="E1084">
        <v>-3.163474156805175</v>
      </c>
      <c r="F1084">
        <v>0.84888329221357317</v>
      </c>
      <c r="G1084">
        <v>-1.2479379498933809</v>
      </c>
      <c r="H1084">
        <v>-0.62273621660783485</v>
      </c>
      <c r="I1084">
        <v>0.51274628527130595</v>
      </c>
      <c r="J1084">
        <v>-0.34074724614091001</v>
      </c>
      <c r="M1084">
        <f t="shared" si="49"/>
        <v>-3.3144410072780515</v>
      </c>
      <c r="N1084">
        <f t="shared" si="50"/>
        <v>7</v>
      </c>
    </row>
    <row r="1085" spans="1:14" x14ac:dyDescent="0.35">
      <c r="A1085" t="str">
        <f t="shared" si="48"/>
        <v>18097381003_2027</v>
      </c>
      <c r="B1085">
        <v>18097381003</v>
      </c>
      <c r="C1085">
        <v>2027</v>
      </c>
      <c r="D1085">
        <v>-0.29865518111835621</v>
      </c>
      <c r="E1085">
        <v>-1.4801802751864961</v>
      </c>
      <c r="F1085">
        <v>1.1148121580150649</v>
      </c>
      <c r="G1085">
        <v>-1.413313381708758</v>
      </c>
      <c r="H1085">
        <v>-0.50653402799507752</v>
      </c>
      <c r="I1085">
        <v>0.47872031597442027</v>
      </c>
      <c r="J1085">
        <v>-0.36901316731382722</v>
      </c>
      <c r="M1085">
        <f t="shared" si="49"/>
        <v>-2.4741635593330296</v>
      </c>
      <c r="N1085">
        <f t="shared" si="50"/>
        <v>7</v>
      </c>
    </row>
    <row r="1086" spans="1:14" x14ac:dyDescent="0.35">
      <c r="A1086" t="str">
        <f t="shared" si="48"/>
        <v>18097381003_2028</v>
      </c>
      <c r="B1086">
        <v>18097381003</v>
      </c>
      <c r="C1086">
        <v>2028</v>
      </c>
      <c r="D1086">
        <v>0.15561464061050539</v>
      </c>
      <c r="E1086">
        <v>-3.413029214000975</v>
      </c>
      <c r="F1086">
        <v>1.185389013730096</v>
      </c>
      <c r="G1086">
        <v>-1.3321930089489049</v>
      </c>
      <c r="H1086">
        <v>-0.57920558637725639</v>
      </c>
      <c r="I1086">
        <v>0.42350327550508787</v>
      </c>
      <c r="J1086">
        <v>-0.38085808748836641</v>
      </c>
      <c r="M1086">
        <f t="shared" si="49"/>
        <v>-3.9407789669698134</v>
      </c>
      <c r="N1086">
        <f t="shared" si="50"/>
        <v>7</v>
      </c>
    </row>
    <row r="1087" spans="1:14" x14ac:dyDescent="0.35">
      <c r="A1087" t="str">
        <f t="shared" si="48"/>
        <v>18097381004_2024</v>
      </c>
      <c r="B1087">
        <v>18097381004</v>
      </c>
      <c r="C1087">
        <v>2024</v>
      </c>
      <c r="D1087">
        <v>1.3779304449660199</v>
      </c>
      <c r="E1087">
        <v>-1.3297342714497831</v>
      </c>
      <c r="F1087">
        <v>0.83468857276624164</v>
      </c>
      <c r="G1087">
        <v>0.21712354018995919</v>
      </c>
      <c r="I1087">
        <v>-0.54930824988177274</v>
      </c>
      <c r="J1087">
        <v>-0.17948852262011111</v>
      </c>
      <c r="M1087">
        <f t="shared" si="49"/>
        <v>0.3712115139705538</v>
      </c>
      <c r="N1087">
        <f t="shared" si="50"/>
        <v>6</v>
      </c>
    </row>
    <row r="1088" spans="1:14" x14ac:dyDescent="0.35">
      <c r="A1088" t="str">
        <f t="shared" si="48"/>
        <v>18097381004_2025</v>
      </c>
      <c r="B1088">
        <v>18097381004</v>
      </c>
      <c r="C1088">
        <v>2025</v>
      </c>
      <c r="D1088">
        <v>-0.99145543567146177</v>
      </c>
      <c r="E1088">
        <v>4.343503123253436</v>
      </c>
      <c r="F1088">
        <v>-0.24344371284232719</v>
      </c>
      <c r="G1088">
        <v>-9.3256706687658716E-2</v>
      </c>
      <c r="I1088">
        <v>-0.80462172215396344</v>
      </c>
      <c r="J1088">
        <v>-0.27101692109894809</v>
      </c>
      <c r="M1088">
        <f t="shared" si="49"/>
        <v>1.9397086247990769</v>
      </c>
      <c r="N1088">
        <f t="shared" si="50"/>
        <v>6</v>
      </c>
    </row>
    <row r="1089" spans="1:14" x14ac:dyDescent="0.35">
      <c r="A1089" t="str">
        <f t="shared" si="48"/>
        <v>18097381004_2026</v>
      </c>
      <c r="B1089">
        <v>18097381004</v>
      </c>
      <c r="C1089">
        <v>2026</v>
      </c>
      <c r="D1089">
        <v>0.69882432032536523</v>
      </c>
      <c r="E1089">
        <v>-2.04778832803642</v>
      </c>
      <c r="F1089">
        <v>-0.42109513418255662</v>
      </c>
      <c r="G1089">
        <v>0.57703748344150096</v>
      </c>
      <c r="I1089">
        <v>-0.77914461664156798</v>
      </c>
      <c r="J1089">
        <v>-0.34074724612087331</v>
      </c>
      <c r="M1089">
        <f t="shared" si="49"/>
        <v>-2.312913521214552</v>
      </c>
      <c r="N1089">
        <f t="shared" si="50"/>
        <v>6</v>
      </c>
    </row>
    <row r="1090" spans="1:14" x14ac:dyDescent="0.35">
      <c r="A1090" t="str">
        <f t="shared" si="48"/>
        <v>18097381004_2027</v>
      </c>
      <c r="B1090">
        <v>18097381004</v>
      </c>
      <c r="C1090">
        <v>2027</v>
      </c>
      <c r="D1090">
        <v>-0.2986546413397092</v>
      </c>
      <c r="E1090">
        <v>3.568951963187736</v>
      </c>
      <c r="F1090">
        <v>-0.2965922116910385</v>
      </c>
      <c r="G1090">
        <v>-3.4470307921389941E-4</v>
      </c>
      <c r="I1090">
        <v>-0.60523893426149777</v>
      </c>
      <c r="J1090">
        <v>-0.36901316729391082</v>
      </c>
      <c r="M1090">
        <f t="shared" si="49"/>
        <v>1.9991083055223655</v>
      </c>
      <c r="N1090">
        <f t="shared" si="50"/>
        <v>6</v>
      </c>
    </row>
    <row r="1091" spans="1:14" x14ac:dyDescent="0.35">
      <c r="A1091" t="str">
        <f t="shared" ref="A1091:A1154" si="51">TEXT(B1091,0)&amp;"_"&amp;TEXT(C1091,0)</f>
        <v>18097381004_2028</v>
      </c>
      <c r="B1091">
        <v>18097381004</v>
      </c>
      <c r="C1091">
        <v>2028</v>
      </c>
      <c r="D1091">
        <v>0.1556143580227034</v>
      </c>
      <c r="E1091">
        <v>-1.272350691380842</v>
      </c>
      <c r="F1091">
        <v>-0.45892018114970923</v>
      </c>
      <c r="G1091">
        <v>0.55996532547498523</v>
      </c>
      <c r="I1091">
        <v>-0.43420212500326621</v>
      </c>
      <c r="J1091">
        <v>-0.38085808746891281</v>
      </c>
      <c r="M1091">
        <f t="shared" ref="M1091:M1154" si="52">SUM(D1091:K1091)</f>
        <v>-1.8307514015050415</v>
      </c>
      <c r="N1091">
        <f t="shared" ref="N1091:N1154" si="53">IF(D1091=0,0,1)+IF(E1091=0,0,1)+IF(F1091=0,0,1)+IF(G1091=0,0,1)+IF(H1091=0,0,1)+IF(I1091=0,0,1)++IF(J1091=0,0,1)++IF(K1091=0,0,1)</f>
        <v>6</v>
      </c>
    </row>
    <row r="1092" spans="1:14" x14ac:dyDescent="0.35">
      <c r="A1092" t="str">
        <f t="shared" si="51"/>
        <v>18097381101_2024</v>
      </c>
      <c r="B1092">
        <v>18097381101</v>
      </c>
      <c r="C1092">
        <v>2024</v>
      </c>
      <c r="D1092">
        <v>0.67034302820210667</v>
      </c>
      <c r="E1092">
        <v>-0.81900166918188932</v>
      </c>
      <c r="F1092">
        <v>-0.60440040840463394</v>
      </c>
      <c r="G1092">
        <v>-4.4773046539825251E-2</v>
      </c>
      <c r="H1092">
        <v>2.4864896908326311E-2</v>
      </c>
      <c r="I1092">
        <v>0.4028002803564435</v>
      </c>
      <c r="J1092">
        <v>-0.46421360652229038</v>
      </c>
      <c r="M1092">
        <f t="shared" si="52"/>
        <v>-0.83438052518176242</v>
      </c>
      <c r="N1092">
        <f t="shared" si="53"/>
        <v>7</v>
      </c>
    </row>
    <row r="1093" spans="1:14" x14ac:dyDescent="0.35">
      <c r="A1093" t="str">
        <f t="shared" si="51"/>
        <v>18097381101_2025</v>
      </c>
      <c r="B1093">
        <v>18097381101</v>
      </c>
      <c r="C1093">
        <v>2025</v>
      </c>
      <c r="D1093">
        <v>0.27267875095344968</v>
      </c>
      <c r="E1093">
        <v>-1.2549035255006851</v>
      </c>
      <c r="F1093">
        <v>0.26534847794515981</v>
      </c>
      <c r="G1093">
        <v>7.4287607438781239E-2</v>
      </c>
      <c r="H1093">
        <v>-0.57522917616185854</v>
      </c>
      <c r="I1093">
        <v>-1.080444061195764</v>
      </c>
      <c r="J1093">
        <v>-0.52704340875940003</v>
      </c>
      <c r="M1093">
        <f t="shared" si="52"/>
        <v>-2.825305335280317</v>
      </c>
      <c r="N1093">
        <f t="shared" si="53"/>
        <v>7</v>
      </c>
    </row>
    <row r="1094" spans="1:14" x14ac:dyDescent="0.35">
      <c r="A1094" t="str">
        <f t="shared" si="51"/>
        <v>18097381101_2026</v>
      </c>
      <c r="B1094">
        <v>18097381101</v>
      </c>
      <c r="C1094">
        <v>2026</v>
      </c>
      <c r="D1094">
        <v>0.57936544944759905</v>
      </c>
      <c r="E1094">
        <v>-0.99068013821159318</v>
      </c>
      <c r="F1094">
        <v>-0.43757864505305177</v>
      </c>
      <c r="G1094">
        <v>2.6781869387204879E-2</v>
      </c>
      <c r="H1094">
        <v>-0.43952682762282591</v>
      </c>
      <c r="I1094">
        <v>0.24789123201946209</v>
      </c>
      <c r="J1094">
        <v>-0.58483169239816446</v>
      </c>
      <c r="M1094">
        <f t="shared" si="52"/>
        <v>-1.5985787524313693</v>
      </c>
      <c r="N1094">
        <f t="shared" si="53"/>
        <v>7</v>
      </c>
    </row>
    <row r="1095" spans="1:14" x14ac:dyDescent="0.35">
      <c r="A1095" t="str">
        <f t="shared" si="51"/>
        <v>18097381101_2027</v>
      </c>
      <c r="B1095">
        <v>18097381101</v>
      </c>
      <c r="C1095">
        <v>2027</v>
      </c>
      <c r="D1095">
        <v>0.62612401029273657</v>
      </c>
      <c r="E1095">
        <v>-0.81051718750085155</v>
      </c>
      <c r="F1095">
        <v>-8.8810443599227254E-2</v>
      </c>
      <c r="G1095">
        <v>7.995147251257291E-2</v>
      </c>
      <c r="H1095">
        <v>-0.53551432843104985</v>
      </c>
      <c r="I1095">
        <v>-0.57048963284280219</v>
      </c>
      <c r="J1095">
        <v>-0.60832404945352381</v>
      </c>
      <c r="M1095">
        <f t="shared" si="52"/>
        <v>-1.9075801590221453</v>
      </c>
      <c r="N1095">
        <f t="shared" si="53"/>
        <v>7</v>
      </c>
    </row>
    <row r="1096" spans="1:14" x14ac:dyDescent="0.35">
      <c r="A1096" t="str">
        <f t="shared" si="51"/>
        <v>18097381101_2028</v>
      </c>
      <c r="B1096">
        <v>18097381101</v>
      </c>
      <c r="C1096">
        <v>2028</v>
      </c>
      <c r="D1096">
        <v>0.56298778325536036</v>
      </c>
      <c r="E1096">
        <v>-0.58232702480462439</v>
      </c>
      <c r="F1096">
        <v>-0.27184925834716273</v>
      </c>
      <c r="G1096">
        <v>5.3894195028892519E-2</v>
      </c>
      <c r="H1096">
        <v>-0.505591085210219</v>
      </c>
      <c r="I1096">
        <v>0.13328741039985259</v>
      </c>
      <c r="J1096">
        <v>-0.61774047769218687</v>
      </c>
      <c r="M1096">
        <f t="shared" si="52"/>
        <v>-1.2273384573700876</v>
      </c>
      <c r="N1096">
        <f t="shared" si="53"/>
        <v>7</v>
      </c>
    </row>
    <row r="1097" spans="1:14" x14ac:dyDescent="0.35">
      <c r="A1097" t="str">
        <f t="shared" si="51"/>
        <v>18097381102_2024</v>
      </c>
      <c r="B1097">
        <v>18097381102</v>
      </c>
      <c r="C1097">
        <v>2024</v>
      </c>
      <c r="D1097">
        <v>0.38294425392241982</v>
      </c>
      <c r="E1097">
        <v>-0.48309891589327381</v>
      </c>
      <c r="F1097">
        <v>-1.246977538078031</v>
      </c>
      <c r="G1097">
        <v>-0.1007297945499738</v>
      </c>
      <c r="I1097">
        <v>-0.49529472421115178</v>
      </c>
      <c r="J1097">
        <v>-0.54568711656851354</v>
      </c>
      <c r="M1097">
        <f t="shared" si="52"/>
        <v>-2.4888438353785243</v>
      </c>
      <c r="N1097">
        <f t="shared" si="53"/>
        <v>6</v>
      </c>
    </row>
    <row r="1098" spans="1:14" x14ac:dyDescent="0.35">
      <c r="A1098" t="str">
        <f t="shared" si="51"/>
        <v>18097381102_2025</v>
      </c>
      <c r="B1098">
        <v>18097381102</v>
      </c>
      <c r="C1098">
        <v>2025</v>
      </c>
      <c r="D1098">
        <v>0.95432899787435943</v>
      </c>
      <c r="E1098">
        <v>-0.99955240521609223</v>
      </c>
      <c r="F1098">
        <v>-0.96810153953597378</v>
      </c>
      <c r="G1098">
        <v>-4.160290174752538E-2</v>
      </c>
      <c r="I1098">
        <v>-0.50996612626709525</v>
      </c>
      <c r="J1098">
        <v>-0.60329002317615144</v>
      </c>
      <c r="M1098">
        <f t="shared" si="52"/>
        <v>-2.1681839980684789</v>
      </c>
      <c r="N1098">
        <f t="shared" si="53"/>
        <v>6</v>
      </c>
    </row>
    <row r="1099" spans="1:14" x14ac:dyDescent="0.35">
      <c r="A1099" t="str">
        <f t="shared" si="51"/>
        <v>18097381102_2026</v>
      </c>
      <c r="B1099">
        <v>18097381102</v>
      </c>
      <c r="C1099">
        <v>2026</v>
      </c>
      <c r="D1099">
        <v>0.68278477454477005</v>
      </c>
      <c r="E1099">
        <v>-1.0468967892302561</v>
      </c>
      <c r="F1099">
        <v>-1.0318469061303199</v>
      </c>
      <c r="G1099">
        <v>-8.9738238356568259E-2</v>
      </c>
      <c r="I1099">
        <v>-0.48122871305721687</v>
      </c>
      <c r="J1099">
        <v>-0.65843839264055004</v>
      </c>
      <c r="M1099">
        <f t="shared" si="52"/>
        <v>-2.6253642648701412</v>
      </c>
      <c r="N1099">
        <f t="shared" si="53"/>
        <v>6</v>
      </c>
    </row>
    <row r="1100" spans="1:14" x14ac:dyDescent="0.35">
      <c r="A1100" t="str">
        <f t="shared" si="51"/>
        <v>18097381102_2027</v>
      </c>
      <c r="B1100">
        <v>18097381102</v>
      </c>
      <c r="C1100">
        <v>2027</v>
      </c>
      <c r="D1100">
        <v>1.1217850985092639</v>
      </c>
      <c r="E1100">
        <v>-1.070096668805498</v>
      </c>
      <c r="F1100">
        <v>-1.1801129840670259</v>
      </c>
      <c r="G1100">
        <v>-5.4817199381116219E-2</v>
      </c>
      <c r="I1100">
        <v>-0.33613893102837489</v>
      </c>
      <c r="J1100">
        <v>-0.68064978999654135</v>
      </c>
      <c r="M1100">
        <f t="shared" si="52"/>
        <v>-2.2000304747692923</v>
      </c>
      <c r="N1100">
        <f t="shared" si="53"/>
        <v>6</v>
      </c>
    </row>
    <row r="1101" spans="1:14" x14ac:dyDescent="0.35">
      <c r="A1101" t="str">
        <f t="shared" si="51"/>
        <v>18097381102_2028</v>
      </c>
      <c r="B1101">
        <v>18097381102</v>
      </c>
      <c r="C1101">
        <v>2028</v>
      </c>
      <c r="D1101">
        <v>0.92077080282287205</v>
      </c>
      <c r="E1101">
        <v>-0.94362023228202618</v>
      </c>
      <c r="F1101">
        <v>-1.240246346227037</v>
      </c>
      <c r="G1101">
        <v>-7.1476330310917588E-2</v>
      </c>
      <c r="I1101">
        <v>-0.20462216038770151</v>
      </c>
      <c r="J1101">
        <v>-0.68935527553766029</v>
      </c>
      <c r="M1101">
        <f t="shared" si="52"/>
        <v>-2.2285495419224706</v>
      </c>
      <c r="N1101">
        <f t="shared" si="53"/>
        <v>6</v>
      </c>
    </row>
    <row r="1102" spans="1:14" x14ac:dyDescent="0.35">
      <c r="A1102" t="str">
        <f t="shared" si="51"/>
        <v>18097381203_2024</v>
      </c>
      <c r="B1102">
        <v>18097381203</v>
      </c>
      <c r="C1102">
        <v>2024</v>
      </c>
      <c r="D1102">
        <v>1.377932543807348</v>
      </c>
      <c r="E1102">
        <v>-0.25974171698735737</v>
      </c>
      <c r="F1102">
        <v>0.98217356333732375</v>
      </c>
      <c r="G1102">
        <v>-0.14256960177437819</v>
      </c>
      <c r="H1102">
        <v>-0.14878114560562691</v>
      </c>
      <c r="I1102">
        <v>-1.0054468164047221</v>
      </c>
      <c r="J1102">
        <v>-0.17948852262011111</v>
      </c>
      <c r="M1102">
        <f t="shared" si="52"/>
        <v>0.62407830375247597</v>
      </c>
      <c r="N1102">
        <f t="shared" si="53"/>
        <v>7</v>
      </c>
    </row>
    <row r="1103" spans="1:14" x14ac:dyDescent="0.35">
      <c r="A1103" t="str">
        <f t="shared" si="51"/>
        <v>18097381203_2025</v>
      </c>
      <c r="B1103">
        <v>18097381203</v>
      </c>
      <c r="C1103">
        <v>2025</v>
      </c>
      <c r="D1103">
        <v>-0.99145862904420556</v>
      </c>
      <c r="E1103">
        <v>-0.83105997636913809</v>
      </c>
      <c r="F1103">
        <v>2.18080529858077E-3</v>
      </c>
      <c r="G1103">
        <v>-0.18108657863103789</v>
      </c>
      <c r="H1103">
        <v>-1.1508609501574101</v>
      </c>
      <c r="I1103">
        <v>-0.68338529930992176</v>
      </c>
      <c r="J1103">
        <v>-0.27101692109894809</v>
      </c>
      <c r="M1103">
        <f t="shared" si="52"/>
        <v>-4.1066875493120802</v>
      </c>
      <c r="N1103">
        <f t="shared" si="53"/>
        <v>7</v>
      </c>
    </row>
    <row r="1104" spans="1:14" x14ac:dyDescent="0.35">
      <c r="A1104" t="str">
        <f t="shared" si="51"/>
        <v>18097381203_2026</v>
      </c>
      <c r="B1104">
        <v>18097381203</v>
      </c>
      <c r="C1104">
        <v>2026</v>
      </c>
      <c r="D1104">
        <v>0.69882735544812336</v>
      </c>
      <c r="E1104">
        <v>-0.81678736238512095</v>
      </c>
      <c r="F1104">
        <v>6.3749372855104819E-2</v>
      </c>
      <c r="G1104">
        <v>-0.21973614705661931</v>
      </c>
      <c r="H1104">
        <v>-0.88432835562258394</v>
      </c>
      <c r="I1104">
        <v>-0.832720665990204</v>
      </c>
      <c r="J1104">
        <v>-0.34074724612087331</v>
      </c>
      <c r="M1104">
        <f t="shared" si="52"/>
        <v>-2.3317430488721733</v>
      </c>
      <c r="N1104">
        <f t="shared" si="53"/>
        <v>7</v>
      </c>
    </row>
    <row r="1105" spans="1:14" x14ac:dyDescent="0.35">
      <c r="A1105" t="str">
        <f t="shared" si="51"/>
        <v>18097381203_2027</v>
      </c>
      <c r="B1105">
        <v>18097381203</v>
      </c>
      <c r="C1105">
        <v>2027</v>
      </c>
      <c r="D1105">
        <v>-0.29865709996924322</v>
      </c>
      <c r="E1105">
        <v>-0.82326135043716231</v>
      </c>
      <c r="F1105">
        <v>5.9967902965506033E-2</v>
      </c>
      <c r="G1105">
        <v>-0.20761371484681171</v>
      </c>
      <c r="H1105">
        <v>-0.8623265969292262</v>
      </c>
      <c r="I1105">
        <v>-0.60867984863905655</v>
      </c>
      <c r="J1105">
        <v>-0.36901316729391082</v>
      </c>
      <c r="M1105">
        <f t="shared" si="52"/>
        <v>-3.1095838751499052</v>
      </c>
      <c r="N1105">
        <f t="shared" si="53"/>
        <v>7</v>
      </c>
    </row>
    <row r="1106" spans="1:14" x14ac:dyDescent="0.35">
      <c r="A1106" t="str">
        <f t="shared" si="51"/>
        <v>18097381203_2028</v>
      </c>
      <c r="B1106">
        <v>18097381203</v>
      </c>
      <c r="C1106">
        <v>2028</v>
      </c>
      <c r="D1106">
        <v>0.155615651814415</v>
      </c>
      <c r="E1106">
        <v>-0.69400077449378694</v>
      </c>
      <c r="F1106">
        <v>0.1208586677561691</v>
      </c>
      <c r="G1106">
        <v>-0.2133155938398506</v>
      </c>
      <c r="H1106">
        <v>-0.71209225631567907</v>
      </c>
      <c r="I1106">
        <v>-0.44860298745948191</v>
      </c>
      <c r="J1106">
        <v>-0.38085808746891281</v>
      </c>
      <c r="M1106">
        <f t="shared" si="52"/>
        <v>-2.1723953800071274</v>
      </c>
      <c r="N1106">
        <f t="shared" si="53"/>
        <v>7</v>
      </c>
    </row>
    <row r="1107" spans="1:14" x14ac:dyDescent="0.35">
      <c r="A1107" t="str">
        <f t="shared" si="51"/>
        <v>18097381204_2024</v>
      </c>
      <c r="B1107">
        <v>18097381204</v>
      </c>
      <c r="C1107">
        <v>2024</v>
      </c>
      <c r="D1107">
        <v>1.377929872273159</v>
      </c>
      <c r="E1107">
        <v>1.263894825945268</v>
      </c>
      <c r="F1107">
        <v>1.982846889401966</v>
      </c>
      <c r="G1107">
        <v>-0.32617695615962428</v>
      </c>
      <c r="H1107">
        <v>5.129176582423145E-2</v>
      </c>
      <c r="I1107">
        <v>-0.58794464779220423</v>
      </c>
      <c r="J1107">
        <v>-0.17948852262011111</v>
      </c>
      <c r="M1107">
        <f t="shared" si="52"/>
        <v>3.5823532268726841</v>
      </c>
      <c r="N1107">
        <f t="shared" si="53"/>
        <v>7</v>
      </c>
    </row>
    <row r="1108" spans="1:14" x14ac:dyDescent="0.35">
      <c r="A1108" t="str">
        <f t="shared" si="51"/>
        <v>18097381204_2025</v>
      </c>
      <c r="B1108">
        <v>18097381204</v>
      </c>
      <c r="C1108">
        <v>2025</v>
      </c>
      <c r="D1108">
        <v>-0.99145456492082285</v>
      </c>
      <c r="E1108">
        <v>-2.8995810676103568</v>
      </c>
      <c r="F1108">
        <v>0.4801178820246082</v>
      </c>
      <c r="G1108">
        <v>-0.64655354939108034</v>
      </c>
      <c r="H1108">
        <v>-0.34701580141133048</v>
      </c>
      <c r="I1108">
        <v>0.27083740153723479</v>
      </c>
      <c r="J1108">
        <v>-0.27101692109894809</v>
      </c>
      <c r="M1108">
        <f t="shared" si="52"/>
        <v>-4.404666620870695</v>
      </c>
      <c r="N1108">
        <f t="shared" si="53"/>
        <v>7</v>
      </c>
    </row>
    <row r="1109" spans="1:14" x14ac:dyDescent="0.35">
      <c r="A1109" t="str">
        <f t="shared" si="51"/>
        <v>18097381204_2026</v>
      </c>
      <c r="B1109">
        <v>18097381204</v>
      </c>
      <c r="C1109">
        <v>2026</v>
      </c>
      <c r="D1109">
        <v>0.69882349220155315</v>
      </c>
      <c r="E1109">
        <v>0.32429476476734492</v>
      </c>
      <c r="F1109">
        <v>0.45144044036401931</v>
      </c>
      <c r="G1109">
        <v>-0.66684176807428819</v>
      </c>
      <c r="H1109">
        <v>-0.26943287126781601</v>
      </c>
      <c r="I1109">
        <v>7.0199260441533504E-3</v>
      </c>
      <c r="J1109">
        <v>-0.34074724612087331</v>
      </c>
      <c r="M1109">
        <f t="shared" si="52"/>
        <v>0.20455673791409329</v>
      </c>
      <c r="N1109">
        <f t="shared" si="53"/>
        <v>7</v>
      </c>
    </row>
    <row r="1110" spans="1:14" x14ac:dyDescent="0.35">
      <c r="A1110" t="str">
        <f t="shared" si="51"/>
        <v>18097381204_2027</v>
      </c>
      <c r="B1110">
        <v>18097381204</v>
      </c>
      <c r="C1110">
        <v>2027</v>
      </c>
      <c r="D1110">
        <v>-0.29865397107481823</v>
      </c>
      <c r="E1110">
        <v>-2.1400434122996428</v>
      </c>
      <c r="F1110">
        <v>0.45565767866066259</v>
      </c>
      <c r="G1110">
        <v>-0.72847843656825528</v>
      </c>
      <c r="H1110">
        <v>-0.39262369980975392</v>
      </c>
      <c r="I1110">
        <v>0.1519304737012418</v>
      </c>
      <c r="J1110">
        <v>-0.36901316729391082</v>
      </c>
      <c r="M1110">
        <f t="shared" si="52"/>
        <v>-3.3212245346844766</v>
      </c>
      <c r="N1110">
        <f t="shared" si="53"/>
        <v>7</v>
      </c>
    </row>
    <row r="1111" spans="1:14" x14ac:dyDescent="0.35">
      <c r="A1111" t="str">
        <f t="shared" si="51"/>
        <v>18097381204_2028</v>
      </c>
      <c r="B1111">
        <v>18097381204</v>
      </c>
      <c r="C1111">
        <v>2028</v>
      </c>
      <c r="D1111">
        <v>0.1556140048020449</v>
      </c>
      <c r="E1111">
        <v>-0.47923081377842591</v>
      </c>
      <c r="F1111">
        <v>0.49636743178580311</v>
      </c>
      <c r="G1111">
        <v>-0.69710724030512361</v>
      </c>
      <c r="H1111">
        <v>-0.40767187194517979</v>
      </c>
      <c r="I1111">
        <v>0.1651389960596292</v>
      </c>
      <c r="J1111">
        <v>-0.38085808746891281</v>
      </c>
      <c r="M1111">
        <f t="shared" si="52"/>
        <v>-1.1477475808501647</v>
      </c>
      <c r="N1111">
        <f t="shared" si="53"/>
        <v>7</v>
      </c>
    </row>
    <row r="1112" spans="1:14" x14ac:dyDescent="0.35">
      <c r="A1112" t="str">
        <f t="shared" si="51"/>
        <v>18097381205_2024</v>
      </c>
      <c r="B1112">
        <v>18097381205</v>
      </c>
      <c r="C1112">
        <v>2024</v>
      </c>
      <c r="D1112">
        <v>1.92934249712328</v>
      </c>
      <c r="E1112">
        <v>1.089370737374574</v>
      </c>
      <c r="F1112">
        <v>0.50267354057688773</v>
      </c>
      <c r="G1112">
        <v>0.32815296701973368</v>
      </c>
      <c r="I1112">
        <v>0.25295390937677148</v>
      </c>
      <c r="J1112">
        <v>-0.32310549959295048</v>
      </c>
      <c r="M1112">
        <f t="shared" si="52"/>
        <v>3.779388151878297</v>
      </c>
      <c r="N1112">
        <f t="shared" si="53"/>
        <v>6</v>
      </c>
    </row>
    <row r="1113" spans="1:14" x14ac:dyDescent="0.35">
      <c r="A1113" t="str">
        <f t="shared" si="51"/>
        <v>18097381205_2025</v>
      </c>
      <c r="B1113">
        <v>18097381205</v>
      </c>
      <c r="C1113">
        <v>2025</v>
      </c>
      <c r="D1113">
        <v>-0.97778775238774718</v>
      </c>
      <c r="E1113">
        <v>1.0541402104674751</v>
      </c>
      <c r="F1113">
        <v>-0.1564873625446925</v>
      </c>
      <c r="G1113">
        <v>-0.4052830745253701</v>
      </c>
      <c r="I1113">
        <v>-3.2936620799784627E-2</v>
      </c>
      <c r="J1113">
        <v>-0.38078981785205013</v>
      </c>
      <c r="M1113">
        <f t="shared" si="52"/>
        <v>-0.89914441764216946</v>
      </c>
      <c r="N1113">
        <f t="shared" si="53"/>
        <v>6</v>
      </c>
    </row>
    <row r="1114" spans="1:14" x14ac:dyDescent="0.35">
      <c r="A1114" t="str">
        <f t="shared" si="51"/>
        <v>18097381205_2026</v>
      </c>
      <c r="B1114">
        <v>18097381205</v>
      </c>
      <c r="C1114">
        <v>2026</v>
      </c>
      <c r="D1114">
        <v>1.4988023586333801</v>
      </c>
      <c r="E1114">
        <v>0.74961222846337561</v>
      </c>
      <c r="F1114">
        <v>-0.20496379596508529</v>
      </c>
      <c r="G1114">
        <v>0.15582632669441071</v>
      </c>
      <c r="I1114">
        <v>0.11818005960229459</v>
      </c>
      <c r="J1114">
        <v>-0.44016784515057061</v>
      </c>
      <c r="M1114">
        <f t="shared" si="52"/>
        <v>1.877289332277805</v>
      </c>
      <c r="N1114">
        <f t="shared" si="53"/>
        <v>6</v>
      </c>
    </row>
    <row r="1115" spans="1:14" x14ac:dyDescent="0.35">
      <c r="A1115" t="str">
        <f t="shared" si="51"/>
        <v>18097381205_2027</v>
      </c>
      <c r="B1115">
        <v>18097381205</v>
      </c>
      <c r="C1115">
        <v>2027</v>
      </c>
      <c r="D1115">
        <v>-0.10294465808112831</v>
      </c>
      <c r="E1115">
        <v>0.47946660286006898</v>
      </c>
      <c r="F1115">
        <v>-0.24471533456821279</v>
      </c>
      <c r="G1115">
        <v>-6.8578018603481977E-2</v>
      </c>
      <c r="I1115">
        <v>0.14137772338732871</v>
      </c>
      <c r="J1115">
        <v>-0.46556916220746042</v>
      </c>
      <c r="M1115">
        <f t="shared" si="52"/>
        <v>-0.26096284721288576</v>
      </c>
      <c r="N1115">
        <f t="shared" si="53"/>
        <v>6</v>
      </c>
    </row>
    <row r="1116" spans="1:14" x14ac:dyDescent="0.35">
      <c r="A1116" t="str">
        <f t="shared" si="51"/>
        <v>18097381205_2028</v>
      </c>
      <c r="B1116">
        <v>18097381205</v>
      </c>
      <c r="C1116">
        <v>2028</v>
      </c>
      <c r="D1116">
        <v>0.83418465325980196</v>
      </c>
      <c r="E1116">
        <v>0.36677296789714209</v>
      </c>
      <c r="F1116">
        <v>-0.22055219779000529</v>
      </c>
      <c r="G1116">
        <v>3.4954546119104653E-2</v>
      </c>
      <c r="I1116">
        <v>0.18094108894480801</v>
      </c>
      <c r="J1116">
        <v>-0.47629323695444609</v>
      </c>
      <c r="M1116">
        <f t="shared" si="52"/>
        <v>0.72000782147640519</v>
      </c>
      <c r="N1116">
        <f t="shared" si="53"/>
        <v>6</v>
      </c>
    </row>
    <row r="1117" spans="1:14" x14ac:dyDescent="0.35">
      <c r="A1117" t="str">
        <f t="shared" si="51"/>
        <v>18097381206_2024</v>
      </c>
      <c r="B1117">
        <v>18097381206</v>
      </c>
      <c r="C1117">
        <v>2024</v>
      </c>
      <c r="D1117">
        <v>1.3708893010156289</v>
      </c>
      <c r="E1117">
        <v>-0.14228017589194189</v>
      </c>
      <c r="F1117">
        <v>0.34215457854720821</v>
      </c>
      <c r="G1117">
        <v>0.22744549433649641</v>
      </c>
      <c r="I1117">
        <v>-0.8279082770231796</v>
      </c>
      <c r="J1117">
        <v>-0.1835718418700161</v>
      </c>
      <c r="M1117">
        <f t="shared" si="52"/>
        <v>0.78672907911419609</v>
      </c>
      <c r="N1117">
        <f t="shared" si="53"/>
        <v>6</v>
      </c>
    </row>
    <row r="1118" spans="1:14" x14ac:dyDescent="0.35">
      <c r="A1118" t="str">
        <f t="shared" si="51"/>
        <v>18097381206_2025</v>
      </c>
      <c r="B1118">
        <v>18097381206</v>
      </c>
      <c r="C1118">
        <v>2025</v>
      </c>
      <c r="D1118">
        <v>-0.98035112835901606</v>
      </c>
      <c r="E1118">
        <v>-0.32855132916206292</v>
      </c>
      <c r="F1118">
        <v>1.341432501477567</v>
      </c>
      <c r="G1118">
        <v>-0.80470606950112411</v>
      </c>
      <c r="I1118">
        <v>-0.68144175099200133</v>
      </c>
      <c r="J1118">
        <v>-0.27454779899418391</v>
      </c>
      <c r="M1118">
        <f t="shared" si="52"/>
        <v>-1.7281655755308214</v>
      </c>
      <c r="N1118">
        <f t="shared" si="53"/>
        <v>6</v>
      </c>
    </row>
    <row r="1119" spans="1:14" x14ac:dyDescent="0.35">
      <c r="A1119" t="str">
        <f t="shared" si="51"/>
        <v>18097381206_2026</v>
      </c>
      <c r="B1119">
        <v>18097381206</v>
      </c>
      <c r="C1119">
        <v>2026</v>
      </c>
      <c r="D1119">
        <v>0.69655149746827816</v>
      </c>
      <c r="E1119">
        <v>-0.28424874662410188</v>
      </c>
      <c r="F1119">
        <v>1.4557098637132539</v>
      </c>
      <c r="G1119">
        <v>0.64833326851462703</v>
      </c>
      <c r="I1119">
        <v>-0.70858337646555736</v>
      </c>
      <c r="J1119">
        <v>-0.34407784467077612</v>
      </c>
      <c r="M1119">
        <f t="shared" si="52"/>
        <v>1.463684661935724</v>
      </c>
      <c r="N1119">
        <f t="shared" si="53"/>
        <v>6</v>
      </c>
    </row>
    <row r="1120" spans="1:14" x14ac:dyDescent="0.35">
      <c r="A1120" t="str">
        <f t="shared" si="51"/>
        <v>18097381206_2027</v>
      </c>
      <c r="B1120">
        <v>18097381206</v>
      </c>
      <c r="C1120">
        <v>2027</v>
      </c>
      <c r="D1120">
        <v>-0.29035140995911363</v>
      </c>
      <c r="E1120">
        <v>-0.26666810211922692</v>
      </c>
      <c r="F1120">
        <v>1.6732150366862011</v>
      </c>
      <c r="G1120">
        <v>-0.83906320143696789</v>
      </c>
      <c r="I1120">
        <v>-0.53316963519348237</v>
      </c>
      <c r="J1120">
        <v>-0.37227357411713952</v>
      </c>
      <c r="M1120">
        <f t="shared" si="52"/>
        <v>-0.6283108861397293</v>
      </c>
      <c r="N1120">
        <f t="shared" si="53"/>
        <v>6</v>
      </c>
    </row>
    <row r="1121" spans="1:14" x14ac:dyDescent="0.35">
      <c r="A1121" t="str">
        <f t="shared" si="51"/>
        <v>18097381206_2028</v>
      </c>
      <c r="B1121">
        <v>18097381206</v>
      </c>
      <c r="C1121">
        <v>2028</v>
      </c>
      <c r="D1121">
        <v>0.15817712989967811</v>
      </c>
      <c r="E1121">
        <v>-0.16009343891190669</v>
      </c>
      <c r="F1121">
        <v>1.8791675589092149</v>
      </c>
      <c r="G1121">
        <v>0.66216046644470472</v>
      </c>
      <c r="I1121">
        <v>-0.37243080340216239</v>
      </c>
      <c r="J1121">
        <v>-0.38408483627295598</v>
      </c>
      <c r="M1121">
        <f t="shared" si="52"/>
        <v>1.7828960766665731</v>
      </c>
      <c r="N1121">
        <f t="shared" si="53"/>
        <v>6</v>
      </c>
    </row>
    <row r="1122" spans="1:14" x14ac:dyDescent="0.35">
      <c r="A1122" t="str">
        <f t="shared" si="51"/>
        <v>18097381207_2024</v>
      </c>
      <c r="B1122">
        <v>18097381207</v>
      </c>
      <c r="C1122">
        <v>2024</v>
      </c>
      <c r="D1122">
        <v>0.1886810308293686</v>
      </c>
      <c r="E1122">
        <v>-0.2405742827920094</v>
      </c>
      <c r="I1122">
        <v>1.292440271920738</v>
      </c>
      <c r="J1122">
        <v>-0.60961278005690445</v>
      </c>
      <c r="M1122">
        <f t="shared" si="52"/>
        <v>0.63093423990119279</v>
      </c>
      <c r="N1122">
        <f t="shared" si="53"/>
        <v>4</v>
      </c>
    </row>
    <row r="1123" spans="1:14" x14ac:dyDescent="0.35">
      <c r="A1123" t="str">
        <f t="shared" si="51"/>
        <v>18097381207_2025</v>
      </c>
      <c r="B1123">
        <v>18097381207</v>
      </c>
      <c r="C1123">
        <v>2025</v>
      </c>
      <c r="D1123">
        <v>1.6770774811423581</v>
      </c>
      <c r="E1123">
        <v>5.2402189535808053E-2</v>
      </c>
      <c r="I1123">
        <v>-0.72476378176515011</v>
      </c>
      <c r="J1123">
        <v>-0.66383882183085519</v>
      </c>
      <c r="M1123">
        <f t="shared" si="52"/>
        <v>0.34087706708216092</v>
      </c>
      <c r="N1123">
        <f t="shared" si="53"/>
        <v>4</v>
      </c>
    </row>
    <row r="1124" spans="1:14" x14ac:dyDescent="0.35">
      <c r="A1124" t="str">
        <f t="shared" si="51"/>
        <v>18097381207_2026</v>
      </c>
      <c r="B1124">
        <v>18097381207</v>
      </c>
      <c r="C1124">
        <v>2026</v>
      </c>
      <c r="D1124">
        <v>0.98859677692307701</v>
      </c>
      <c r="E1124">
        <v>-0.51588787050790175</v>
      </c>
      <c r="I1124">
        <v>1.411062202178502</v>
      </c>
      <c r="J1124">
        <v>-0.71714155521000489</v>
      </c>
      <c r="M1124">
        <f t="shared" si="52"/>
        <v>1.1666295533836724</v>
      </c>
      <c r="N1124">
        <f t="shared" si="53"/>
        <v>4</v>
      </c>
    </row>
    <row r="1125" spans="1:14" x14ac:dyDescent="0.35">
      <c r="A1125" t="str">
        <f t="shared" si="51"/>
        <v>18097381207_2027</v>
      </c>
      <c r="B1125">
        <v>18097381207</v>
      </c>
      <c r="C1125">
        <v>2027</v>
      </c>
      <c r="D1125">
        <v>1.68192496222487</v>
      </c>
      <c r="E1125">
        <v>9.0353684807539955E-2</v>
      </c>
      <c r="I1125">
        <v>-0.33159500996109292</v>
      </c>
      <c r="J1125">
        <v>-0.73837996796342964</v>
      </c>
      <c r="M1125">
        <f t="shared" si="52"/>
        <v>0.70230366910788733</v>
      </c>
      <c r="N1125">
        <f t="shared" si="53"/>
        <v>4</v>
      </c>
    </row>
    <row r="1126" spans="1:14" x14ac:dyDescent="0.35">
      <c r="A1126" t="str">
        <f t="shared" si="51"/>
        <v>18097381207_2028</v>
      </c>
      <c r="B1126">
        <v>18097381207</v>
      </c>
      <c r="C1126">
        <v>2028</v>
      </c>
      <c r="D1126">
        <v>1.4570793020594139</v>
      </c>
      <c r="E1126">
        <v>-0.32024182536138501</v>
      </c>
      <c r="I1126">
        <v>0.87295478981762697</v>
      </c>
      <c r="J1126">
        <v>-0.7465259578807566</v>
      </c>
      <c r="M1126">
        <f t="shared" si="52"/>
        <v>1.2632663086348992</v>
      </c>
      <c r="N1126">
        <f t="shared" si="53"/>
        <v>4</v>
      </c>
    </row>
    <row r="1127" spans="1:14" x14ac:dyDescent="0.35">
      <c r="A1127" t="str">
        <f t="shared" si="51"/>
        <v>18097390102_2024</v>
      </c>
      <c r="B1127">
        <v>18097390102</v>
      </c>
      <c r="C1127">
        <v>2024</v>
      </c>
      <c r="D1127">
        <v>0.47388873217517552</v>
      </c>
      <c r="E1127">
        <v>-4.405817805673528E-2</v>
      </c>
      <c r="F1127">
        <v>0.75343186518347383</v>
      </c>
      <c r="G1127">
        <v>-0.20184524951591459</v>
      </c>
      <c r="I1127">
        <v>1.760015690850973</v>
      </c>
      <c r="J1127">
        <v>1.145892283653857</v>
      </c>
      <c r="K1127">
        <v>0.43505411290548718</v>
      </c>
      <c r="M1127">
        <f t="shared" si="52"/>
        <v>4.3223792571963164</v>
      </c>
      <c r="N1127">
        <f t="shared" si="53"/>
        <v>7</v>
      </c>
    </row>
    <row r="1128" spans="1:14" x14ac:dyDescent="0.35">
      <c r="A1128" t="str">
        <f t="shared" si="51"/>
        <v>18097390102_2025</v>
      </c>
      <c r="B1128">
        <v>18097390102</v>
      </c>
      <c r="C1128">
        <v>2025</v>
      </c>
      <c r="D1128">
        <v>-1.6253317246454699</v>
      </c>
      <c r="E1128">
        <v>-0.29058080159322491</v>
      </c>
      <c r="F1128">
        <v>0.33101069692118051</v>
      </c>
      <c r="G1128">
        <v>-0.5434785016938789</v>
      </c>
      <c r="I1128">
        <v>1.4761013822445921</v>
      </c>
      <c r="J1128">
        <v>0.71393237410495436</v>
      </c>
      <c r="K1128">
        <v>1.308154597506541</v>
      </c>
      <c r="M1128">
        <f t="shared" si="52"/>
        <v>1.3698080228446941</v>
      </c>
      <c r="N1128">
        <f t="shared" si="53"/>
        <v>7</v>
      </c>
    </row>
    <row r="1129" spans="1:14" x14ac:dyDescent="0.35">
      <c r="A1129" t="str">
        <f t="shared" si="51"/>
        <v>18097390102_2026</v>
      </c>
      <c r="B1129">
        <v>18097390102</v>
      </c>
      <c r="C1129">
        <v>2026</v>
      </c>
      <c r="D1129">
        <v>0.8684237390987275</v>
      </c>
      <c r="E1129">
        <v>-0.22477476299527421</v>
      </c>
      <c r="F1129">
        <v>0.37301772393806731</v>
      </c>
      <c r="G1129">
        <v>-0.60936813656752375</v>
      </c>
      <c r="I1129">
        <v>1.046959300188834</v>
      </c>
      <c r="J1129">
        <v>0.62610453680370737</v>
      </c>
      <c r="K1129">
        <v>1.22335443243294</v>
      </c>
      <c r="M1129">
        <f t="shared" si="52"/>
        <v>3.3037168328994779</v>
      </c>
      <c r="N1129">
        <f t="shared" si="53"/>
        <v>7</v>
      </c>
    </row>
    <row r="1130" spans="1:14" x14ac:dyDescent="0.35">
      <c r="A1130" t="str">
        <f t="shared" si="51"/>
        <v>18097390102_2027</v>
      </c>
      <c r="B1130">
        <v>18097390102</v>
      </c>
      <c r="C1130">
        <v>2027</v>
      </c>
      <c r="D1130">
        <v>-1.5698386605186221</v>
      </c>
      <c r="E1130">
        <v>-0.20929996856199201</v>
      </c>
      <c r="F1130">
        <v>0.43079438471471848</v>
      </c>
      <c r="G1130">
        <v>-0.67142436886893098</v>
      </c>
      <c r="I1130">
        <v>0.73390790129090933</v>
      </c>
      <c r="J1130">
        <v>0.58157708199640956</v>
      </c>
      <c r="K1130">
        <v>1.2512027790823359</v>
      </c>
      <c r="M1130">
        <f t="shared" si="52"/>
        <v>0.54691914913482831</v>
      </c>
      <c r="N1130">
        <f t="shared" si="53"/>
        <v>7</v>
      </c>
    </row>
    <row r="1131" spans="1:14" x14ac:dyDescent="0.35">
      <c r="A1131" t="str">
        <f t="shared" si="51"/>
        <v>18097390102_2028</v>
      </c>
      <c r="B1131">
        <v>18097390102</v>
      </c>
      <c r="C1131">
        <v>2028</v>
      </c>
      <c r="D1131">
        <v>0.34386868949298183</v>
      </c>
      <c r="E1131">
        <v>-0.106844968027513</v>
      </c>
      <c r="F1131">
        <v>0.52093374216451738</v>
      </c>
      <c r="G1131">
        <v>-0.64600465943255392</v>
      </c>
      <c r="I1131">
        <v>0.53816419484184541</v>
      </c>
      <c r="J1131">
        <v>0.56072560434267371</v>
      </c>
      <c r="K1131">
        <v>1.237992972350908</v>
      </c>
      <c r="M1131">
        <f t="shared" si="52"/>
        <v>2.4488355757328595</v>
      </c>
      <c r="N1131">
        <f t="shared" si="53"/>
        <v>7</v>
      </c>
    </row>
    <row r="1132" spans="1:14" x14ac:dyDescent="0.35">
      <c r="A1132" t="str">
        <f t="shared" si="51"/>
        <v>18097390103_2024</v>
      </c>
      <c r="B1132">
        <v>18097390103</v>
      </c>
      <c r="C1132">
        <v>2024</v>
      </c>
      <c r="D1132">
        <v>1.783763584423528</v>
      </c>
      <c r="E1132">
        <v>-0.5703941322278272</v>
      </c>
      <c r="F1132">
        <v>-1.2674145368225269</v>
      </c>
      <c r="G1132">
        <v>0.54328495017494149</v>
      </c>
      <c r="I1132">
        <v>0.4349611173224775</v>
      </c>
      <c r="J1132">
        <v>-8.846917297517741E-2</v>
      </c>
      <c r="K1132">
        <v>0.76432542393285963</v>
      </c>
      <c r="M1132">
        <f t="shared" si="52"/>
        <v>1.600057233828275</v>
      </c>
      <c r="N1132">
        <f t="shared" si="53"/>
        <v>7</v>
      </c>
    </row>
    <row r="1133" spans="1:14" x14ac:dyDescent="0.35">
      <c r="A1133" t="str">
        <f t="shared" si="51"/>
        <v>18097390103_2025</v>
      </c>
      <c r="B1133">
        <v>18097390103</v>
      </c>
      <c r="C1133">
        <v>2025</v>
      </c>
      <c r="D1133">
        <v>-1.334464075734527</v>
      </c>
      <c r="E1133">
        <v>0.81209558972327045</v>
      </c>
      <c r="F1133">
        <v>-4.9883986108535004E-3</v>
      </c>
      <c r="G1133">
        <v>1.5186368372033869</v>
      </c>
      <c r="I1133">
        <v>0.54691313661221919</v>
      </c>
      <c r="J1133">
        <v>-0.2126210725573191</v>
      </c>
      <c r="K1133">
        <v>2.7262916011682741</v>
      </c>
      <c r="M1133">
        <f t="shared" si="52"/>
        <v>4.0518636178044511</v>
      </c>
      <c r="N1133">
        <f t="shared" si="53"/>
        <v>7</v>
      </c>
    </row>
    <row r="1134" spans="1:14" x14ac:dyDescent="0.35">
      <c r="A1134" t="str">
        <f t="shared" si="51"/>
        <v>18097390103_2026</v>
      </c>
      <c r="B1134">
        <v>18097390103</v>
      </c>
      <c r="C1134">
        <v>2026</v>
      </c>
      <c r="D1134">
        <v>2.0575743347464459</v>
      </c>
      <c r="E1134">
        <v>-0.52858884321321653</v>
      </c>
      <c r="F1134">
        <v>8.8676733564547802E-3</v>
      </c>
      <c r="G1134">
        <v>1.420614983481036</v>
      </c>
      <c r="I1134">
        <v>0.55804628101307796</v>
      </c>
      <c r="J1134">
        <v>-0.29513933427424588</v>
      </c>
      <c r="K1134">
        <v>2.6710714548012811</v>
      </c>
      <c r="M1134">
        <f t="shared" si="52"/>
        <v>5.8924465499108329</v>
      </c>
      <c r="N1134">
        <f t="shared" si="53"/>
        <v>7</v>
      </c>
    </row>
    <row r="1135" spans="1:14" x14ac:dyDescent="0.35">
      <c r="A1135" t="str">
        <f t="shared" si="51"/>
        <v>18097390103_2027</v>
      </c>
      <c r="B1135">
        <v>18097390103</v>
      </c>
      <c r="C1135">
        <v>2027</v>
      </c>
      <c r="D1135">
        <v>-0.67711214279223053</v>
      </c>
      <c r="E1135">
        <v>0.43347765632356822</v>
      </c>
      <c r="F1135">
        <v>1.3255882009030809E-2</v>
      </c>
      <c r="G1135">
        <v>1.704404480821911</v>
      </c>
      <c r="I1135">
        <v>0.50923435691274099</v>
      </c>
      <c r="J1135">
        <v>-0.32579912507658282</v>
      </c>
      <c r="K1135">
        <v>2.6934214775795779</v>
      </c>
      <c r="M1135">
        <f t="shared" si="52"/>
        <v>4.3508825857780158</v>
      </c>
      <c r="N1135">
        <f t="shared" si="53"/>
        <v>7</v>
      </c>
    </row>
    <row r="1136" spans="1:14" x14ac:dyDescent="0.35">
      <c r="A1136" t="str">
        <f t="shared" si="51"/>
        <v>18097390103_2028</v>
      </c>
      <c r="B1136">
        <v>18097390103</v>
      </c>
      <c r="C1136">
        <v>2028</v>
      </c>
      <c r="D1136">
        <v>1.2929711034160349</v>
      </c>
      <c r="E1136">
        <v>-9.4590902480010342E-2</v>
      </c>
      <c r="F1136">
        <v>6.4447461353890539E-2</v>
      </c>
      <c r="G1136">
        <v>1.562956387267747</v>
      </c>
      <c r="I1136">
        <v>0.44614995644066502</v>
      </c>
      <c r="J1136">
        <v>-0.33826224447493353</v>
      </c>
      <c r="K1136">
        <v>2.6641754572947498</v>
      </c>
      <c r="M1136">
        <f t="shared" si="52"/>
        <v>5.5978472188181438</v>
      </c>
      <c r="N1136">
        <f t="shared" si="53"/>
        <v>7</v>
      </c>
    </row>
    <row r="1137" spans="1:14" x14ac:dyDescent="0.35">
      <c r="A1137" t="str">
        <f t="shared" si="51"/>
        <v>18097390104_2024</v>
      </c>
      <c r="B1137">
        <v>18097390104</v>
      </c>
      <c r="C1137">
        <v>2024</v>
      </c>
      <c r="D1137">
        <v>1.1389730029374829</v>
      </c>
      <c r="E1137">
        <v>0.78659906642883648</v>
      </c>
      <c r="F1137">
        <v>-1.0422104172689131</v>
      </c>
      <c r="G1137">
        <v>0.10148983162456419</v>
      </c>
      <c r="I1137">
        <v>0.21729580660921799</v>
      </c>
      <c r="J1137">
        <v>-0.42426746138226501</v>
      </c>
      <c r="K1137">
        <v>-0.1092405674747205</v>
      </c>
      <c r="M1137">
        <f t="shared" si="52"/>
        <v>0.66863926147420294</v>
      </c>
      <c r="N1137">
        <f t="shared" si="53"/>
        <v>7</v>
      </c>
    </row>
    <row r="1138" spans="1:14" x14ac:dyDescent="0.35">
      <c r="A1138" t="str">
        <f t="shared" si="51"/>
        <v>18097390104_2025</v>
      </c>
      <c r="B1138">
        <v>18097390104</v>
      </c>
      <c r="C1138">
        <v>2025</v>
      </c>
      <c r="D1138">
        <v>1.43624827748586</v>
      </c>
      <c r="E1138">
        <v>2.4117835371646641E-2</v>
      </c>
      <c r="F1138">
        <v>0.94623109172986242</v>
      </c>
      <c r="G1138">
        <v>0.18328853407644261</v>
      </c>
      <c r="I1138">
        <v>-0.48669003592657939</v>
      </c>
      <c r="J1138">
        <v>-0.61228974549648996</v>
      </c>
      <c r="K1138">
        <v>-0.77687416997680925</v>
      </c>
      <c r="M1138">
        <f t="shared" si="52"/>
        <v>0.71403178726393313</v>
      </c>
      <c r="N1138">
        <f t="shared" si="53"/>
        <v>7</v>
      </c>
    </row>
    <row r="1139" spans="1:14" x14ac:dyDescent="0.35">
      <c r="A1139" t="str">
        <f t="shared" si="51"/>
        <v>18097390104_2026</v>
      </c>
      <c r="B1139">
        <v>18097390104</v>
      </c>
      <c r="C1139">
        <v>2026</v>
      </c>
      <c r="D1139">
        <v>1.4121557123613711</v>
      </c>
      <c r="E1139">
        <v>1.099196962848126</v>
      </c>
      <c r="F1139">
        <v>1.030911049007587</v>
      </c>
      <c r="G1139">
        <v>0.23401865288793</v>
      </c>
      <c r="I1139">
        <v>0.30445705437486531</v>
      </c>
      <c r="J1139">
        <v>-0.69597637811415103</v>
      </c>
      <c r="K1139">
        <v>-0.85790885836781916</v>
      </c>
      <c r="M1139">
        <f t="shared" si="52"/>
        <v>2.5268541949979095</v>
      </c>
      <c r="N1139">
        <f t="shared" si="53"/>
        <v>7</v>
      </c>
    </row>
    <row r="1140" spans="1:14" x14ac:dyDescent="0.35">
      <c r="A1140" t="str">
        <f t="shared" si="51"/>
        <v>18097390104_2027</v>
      </c>
      <c r="B1140">
        <v>18097390104</v>
      </c>
      <c r="C1140">
        <v>2027</v>
      </c>
      <c r="D1140">
        <v>1.830151782565778</v>
      </c>
      <c r="E1140">
        <v>0.25000235767633638</v>
      </c>
      <c r="F1140">
        <v>1.1858451697024199</v>
      </c>
      <c r="G1140">
        <v>0.27520271904608701</v>
      </c>
      <c r="I1140">
        <v>-0.23338157423573069</v>
      </c>
      <c r="J1140">
        <v>-0.7216497329181395</v>
      </c>
      <c r="K1140">
        <v>-0.81637260951369606</v>
      </c>
      <c r="M1140">
        <f t="shared" si="52"/>
        <v>1.7697981123230544</v>
      </c>
      <c r="N1140">
        <f t="shared" si="53"/>
        <v>7</v>
      </c>
    </row>
    <row r="1141" spans="1:14" x14ac:dyDescent="0.35">
      <c r="A1141" t="str">
        <f t="shared" si="51"/>
        <v>18097390104_2028</v>
      </c>
      <c r="B1141">
        <v>18097390104</v>
      </c>
      <c r="C1141">
        <v>2028</v>
      </c>
      <c r="D1141">
        <v>1.744052249044894</v>
      </c>
      <c r="E1141">
        <v>0.87141490631355989</v>
      </c>
      <c r="F1141">
        <v>1.3463593293471789</v>
      </c>
      <c r="G1141">
        <v>0.25193659892359571</v>
      </c>
      <c r="I1141">
        <v>0.27349099024310852</v>
      </c>
      <c r="J1141">
        <v>-0.7304805377731034</v>
      </c>
      <c r="K1141">
        <v>-0.80939898023682355</v>
      </c>
      <c r="M1141">
        <f t="shared" si="52"/>
        <v>2.9473745558624098</v>
      </c>
      <c r="N1141">
        <f t="shared" si="53"/>
        <v>7</v>
      </c>
    </row>
    <row r="1142" spans="1:14" x14ac:dyDescent="0.35">
      <c r="A1142" t="str">
        <f t="shared" si="51"/>
        <v>18097390200_2024</v>
      </c>
      <c r="B1142">
        <v>18097390200</v>
      </c>
      <c r="C1142">
        <v>2024</v>
      </c>
      <c r="D1142">
        <v>1.124320038311728</v>
      </c>
      <c r="E1142">
        <v>-0.16962556915317689</v>
      </c>
      <c r="F1142">
        <v>-1.4264414492526141</v>
      </c>
      <c r="G1142">
        <v>-0.17627449993973909</v>
      </c>
      <c r="H1142">
        <v>0.27344043042997968</v>
      </c>
      <c r="I1142">
        <v>-0.25424528330917823</v>
      </c>
      <c r="J1142">
        <v>-0.43605479810168207</v>
      </c>
      <c r="K1142">
        <v>-0.11015143805733819</v>
      </c>
      <c r="M1142">
        <f t="shared" si="52"/>
        <v>-1.1750325690720209</v>
      </c>
      <c r="N1142">
        <f t="shared" si="53"/>
        <v>8</v>
      </c>
    </row>
    <row r="1143" spans="1:14" x14ac:dyDescent="0.35">
      <c r="A1143" t="str">
        <f t="shared" si="51"/>
        <v>18097390200_2025</v>
      </c>
      <c r="B1143">
        <v>18097390200</v>
      </c>
      <c r="C1143">
        <v>2025</v>
      </c>
      <c r="D1143">
        <v>1.5765328254683559</v>
      </c>
      <c r="E1143">
        <v>-4.5125384622833373E-2</v>
      </c>
      <c r="F1143">
        <v>-1.0239793515175331</v>
      </c>
      <c r="G1143">
        <v>-0.3869882696929503</v>
      </c>
      <c r="H1143">
        <v>1.188381792585155</v>
      </c>
      <c r="I1143">
        <v>0.17216903874620029</v>
      </c>
      <c r="J1143">
        <v>-0.62165353723838346</v>
      </c>
      <c r="K1143">
        <v>-0.77977937897277994</v>
      </c>
      <c r="M1143">
        <f t="shared" si="52"/>
        <v>7.955773475523098E-2</v>
      </c>
      <c r="N1143">
        <f t="shared" si="53"/>
        <v>8</v>
      </c>
    </row>
    <row r="1144" spans="1:14" x14ac:dyDescent="0.35">
      <c r="A1144" t="str">
        <f t="shared" si="51"/>
        <v>18097390200_2026</v>
      </c>
      <c r="B1144">
        <v>18097390200</v>
      </c>
      <c r="C1144">
        <v>2026</v>
      </c>
      <c r="D1144">
        <v>1.4578758469188711</v>
      </c>
      <c r="E1144">
        <v>-7.6682086423795842E-2</v>
      </c>
      <c r="F1144">
        <v>-0.85593060122819253</v>
      </c>
      <c r="G1144">
        <v>-0.44830922742513418</v>
      </c>
      <c r="H1144">
        <v>1.475099445904001</v>
      </c>
      <c r="I1144">
        <v>-7.6503502966303219E-2</v>
      </c>
      <c r="J1144">
        <v>-0.70493064279615469</v>
      </c>
      <c r="K1144">
        <v>-0.86067903960754655</v>
      </c>
      <c r="M1144">
        <f t="shared" si="52"/>
        <v>-9.0059807624255028E-2</v>
      </c>
      <c r="N1144">
        <f t="shared" si="53"/>
        <v>8</v>
      </c>
    </row>
    <row r="1145" spans="1:14" x14ac:dyDescent="0.35">
      <c r="A1145" t="str">
        <f t="shared" si="51"/>
        <v>18097390200_2027</v>
      </c>
      <c r="B1145">
        <v>18097390200</v>
      </c>
      <c r="C1145">
        <v>2027</v>
      </c>
      <c r="D1145">
        <v>1.937817670267296</v>
      </c>
      <c r="E1145">
        <v>-3.7753256551206822E-2</v>
      </c>
      <c r="F1145">
        <v>-0.88368035753497254</v>
      </c>
      <c r="G1145">
        <v>-0.4834857457768596</v>
      </c>
      <c r="H1145">
        <v>1.689197450292846</v>
      </c>
      <c r="I1145">
        <v>0.17070286810732679</v>
      </c>
      <c r="J1145">
        <v>-0.73046150372377883</v>
      </c>
      <c r="K1145">
        <v>-0.81907338086599313</v>
      </c>
      <c r="M1145">
        <f t="shared" si="52"/>
        <v>0.843263744214658</v>
      </c>
      <c r="N1145">
        <f t="shared" si="53"/>
        <v>8</v>
      </c>
    </row>
    <row r="1146" spans="1:14" x14ac:dyDescent="0.35">
      <c r="A1146" t="str">
        <f t="shared" si="51"/>
        <v>18097390200_2028</v>
      </c>
      <c r="B1146">
        <v>18097390200</v>
      </c>
      <c r="C1146">
        <v>2028</v>
      </c>
      <c r="D1146">
        <v>1.840420476690722</v>
      </c>
      <c r="E1146">
        <v>4.4289559600122291E-2</v>
      </c>
      <c r="F1146">
        <v>-0.87898664641963298</v>
      </c>
      <c r="G1146">
        <v>-0.47194272936944193</v>
      </c>
      <c r="H1146">
        <v>2.1139801695123901</v>
      </c>
      <c r="I1146">
        <v>0.1092406045300736</v>
      </c>
      <c r="J1146">
        <v>-0.73920946387251296</v>
      </c>
      <c r="K1146">
        <v>-0.8120425212943726</v>
      </c>
      <c r="M1146">
        <f t="shared" si="52"/>
        <v>1.2057494493773477</v>
      </c>
      <c r="N1146">
        <f t="shared" si="53"/>
        <v>8</v>
      </c>
    </row>
    <row r="1147" spans="1:14" x14ac:dyDescent="0.35">
      <c r="A1147" t="str">
        <f t="shared" si="51"/>
        <v>18097390300_2024</v>
      </c>
      <c r="B1147">
        <v>18097390300</v>
      </c>
      <c r="C1147">
        <v>2024</v>
      </c>
      <c r="D1147">
        <v>1.1243406217006771</v>
      </c>
      <c r="E1147">
        <v>0.1224508562421063</v>
      </c>
      <c r="F1147">
        <v>-1.466671806008615</v>
      </c>
      <c r="G1147">
        <v>-0.24405864581043801</v>
      </c>
      <c r="H1147">
        <v>0.21609583641468899</v>
      </c>
      <c r="I1147">
        <v>-5.5410889192551958E-2</v>
      </c>
      <c r="J1147">
        <v>-0.43605479810168207</v>
      </c>
      <c r="K1147">
        <v>-0.11015143805733819</v>
      </c>
      <c r="M1147">
        <f t="shared" si="52"/>
        <v>-0.8494602628131529</v>
      </c>
      <c r="N1147">
        <f t="shared" si="53"/>
        <v>8</v>
      </c>
    </row>
    <row r="1148" spans="1:14" x14ac:dyDescent="0.35">
      <c r="A1148" t="str">
        <f t="shared" si="51"/>
        <v>18097390300_2025</v>
      </c>
      <c r="B1148">
        <v>18097390300</v>
      </c>
      <c r="C1148">
        <v>2025</v>
      </c>
      <c r="D1148">
        <v>1.5765361797947</v>
      </c>
      <c r="E1148">
        <v>0.1081891371054465</v>
      </c>
      <c r="F1148">
        <v>9.6774573765602265E-2</v>
      </c>
      <c r="G1148">
        <v>0.63949448618186089</v>
      </c>
      <c r="H1148">
        <v>0.7920024470562903</v>
      </c>
      <c r="I1148">
        <v>4.8205203367935101E-2</v>
      </c>
      <c r="J1148">
        <v>-0.62165353723838346</v>
      </c>
      <c r="K1148">
        <v>-0.77977937897277994</v>
      </c>
      <c r="M1148">
        <f t="shared" si="52"/>
        <v>1.8597691110606718</v>
      </c>
      <c r="N1148">
        <f t="shared" si="53"/>
        <v>8</v>
      </c>
    </row>
    <row r="1149" spans="1:14" x14ac:dyDescent="0.35">
      <c r="A1149" t="str">
        <f t="shared" si="51"/>
        <v>18097390300_2026</v>
      </c>
      <c r="B1149">
        <v>18097390300</v>
      </c>
      <c r="C1149">
        <v>2026</v>
      </c>
      <c r="D1149">
        <v>1.4578975262182099</v>
      </c>
      <c r="E1149">
        <v>0.18817403663997631</v>
      </c>
      <c r="F1149">
        <v>0.10421481457686051</v>
      </c>
      <c r="G1149">
        <v>0.1045621079597772</v>
      </c>
      <c r="H1149">
        <v>0.88018312281364541</v>
      </c>
      <c r="I1149">
        <v>7.8486222366918476E-2</v>
      </c>
      <c r="J1149">
        <v>-0.70493064279615469</v>
      </c>
      <c r="K1149">
        <v>-0.86067903960754655</v>
      </c>
      <c r="M1149">
        <f t="shared" si="52"/>
        <v>1.2479081481716865</v>
      </c>
      <c r="N1149">
        <f t="shared" si="53"/>
        <v>8</v>
      </c>
    </row>
    <row r="1150" spans="1:14" x14ac:dyDescent="0.35">
      <c r="A1150" t="str">
        <f t="shared" si="51"/>
        <v>18097390300_2027</v>
      </c>
      <c r="B1150">
        <v>18097390300</v>
      </c>
      <c r="C1150">
        <v>2027</v>
      </c>
      <c r="D1150">
        <v>1.9378306563418151</v>
      </c>
      <c r="E1150">
        <v>0.19289288993020859</v>
      </c>
      <c r="F1150">
        <v>0.1183271286165561</v>
      </c>
      <c r="G1150">
        <v>0.40836860050838059</v>
      </c>
      <c r="H1150">
        <v>0.79911621141267164</v>
      </c>
      <c r="I1150">
        <v>0.13701015487803911</v>
      </c>
      <c r="J1150">
        <v>-0.73046150372377883</v>
      </c>
      <c r="K1150">
        <v>-0.81907338086599313</v>
      </c>
      <c r="M1150">
        <f t="shared" si="52"/>
        <v>2.0440107570978991</v>
      </c>
      <c r="N1150">
        <f t="shared" si="53"/>
        <v>8</v>
      </c>
    </row>
    <row r="1151" spans="1:14" x14ac:dyDescent="0.35">
      <c r="A1151" t="str">
        <f t="shared" si="51"/>
        <v>18097390300_2028</v>
      </c>
      <c r="B1151">
        <v>18097390300</v>
      </c>
      <c r="C1151">
        <v>2028</v>
      </c>
      <c r="D1151">
        <v>1.840439908978253</v>
      </c>
      <c r="E1151">
        <v>0.25461428785399159</v>
      </c>
      <c r="F1151">
        <v>0.17806343345329409</v>
      </c>
      <c r="G1151">
        <v>0.26144899166178659</v>
      </c>
      <c r="H1151">
        <v>0.69771712143495423</v>
      </c>
      <c r="I1151">
        <v>0.17156031476364941</v>
      </c>
      <c r="J1151">
        <v>-0.73920946387251296</v>
      </c>
      <c r="K1151">
        <v>-0.8120425212943726</v>
      </c>
      <c r="M1151">
        <f t="shared" si="52"/>
        <v>1.8525920729790428</v>
      </c>
      <c r="N1151">
        <f t="shared" si="53"/>
        <v>8</v>
      </c>
    </row>
    <row r="1152" spans="1:14" x14ac:dyDescent="0.35">
      <c r="A1152" t="str">
        <f t="shared" si="51"/>
        <v>18097390405_2024</v>
      </c>
      <c r="B1152">
        <v>18097390405</v>
      </c>
      <c r="C1152">
        <v>2024</v>
      </c>
      <c r="D1152">
        <v>2.9090902459171741</v>
      </c>
      <c r="E1152">
        <v>1.448264582150171</v>
      </c>
      <c r="F1152">
        <v>0.67382452490744049</v>
      </c>
      <c r="G1152">
        <v>-9.8741910753251019E-2</v>
      </c>
      <c r="I1152">
        <v>-0.20566397151285529</v>
      </c>
      <c r="J1152">
        <v>-0.48923327292937591</v>
      </c>
      <c r="M1152">
        <f t="shared" si="52"/>
        <v>4.2375401977793041</v>
      </c>
      <c r="N1152">
        <f t="shared" si="53"/>
        <v>6</v>
      </c>
    </row>
    <row r="1153" spans="1:14" x14ac:dyDescent="0.35">
      <c r="A1153" t="str">
        <f t="shared" si="51"/>
        <v>18097390405_2025</v>
      </c>
      <c r="B1153">
        <v>18097390405</v>
      </c>
      <c r="C1153">
        <v>2025</v>
      </c>
      <c r="D1153">
        <v>-0.97329390601822119</v>
      </c>
      <c r="E1153">
        <v>-1.648170349964329</v>
      </c>
      <c r="F1153">
        <v>-0.18606027195983471</v>
      </c>
      <c r="G1153">
        <v>-0.2417259919200305</v>
      </c>
      <c r="I1153">
        <v>-0.29458463900575971</v>
      </c>
      <c r="J1153">
        <v>-0.51532958962044695</v>
      </c>
      <c r="M1153">
        <f t="shared" si="52"/>
        <v>-3.859164748488622</v>
      </c>
      <c r="N1153">
        <f t="shared" si="53"/>
        <v>6</v>
      </c>
    </row>
    <row r="1154" spans="1:14" x14ac:dyDescent="0.35">
      <c r="A1154" t="str">
        <f t="shared" si="51"/>
        <v>18097390405_2026</v>
      </c>
      <c r="B1154">
        <v>18097390405</v>
      </c>
      <c r="C1154">
        <v>2026</v>
      </c>
      <c r="D1154">
        <v>2.9725291180375129</v>
      </c>
      <c r="E1154">
        <v>1.291927753866666</v>
      </c>
      <c r="F1154">
        <v>-0.1853012722239997</v>
      </c>
      <c r="G1154">
        <v>-0.26065097940628812</v>
      </c>
      <c r="I1154">
        <v>-0.2244633456282781</v>
      </c>
      <c r="J1154">
        <v>-0.56415228566854636</v>
      </c>
      <c r="M1154">
        <f t="shared" si="52"/>
        <v>3.029888988977067</v>
      </c>
      <c r="N1154">
        <f t="shared" si="53"/>
        <v>6</v>
      </c>
    </row>
    <row r="1155" spans="1:14" x14ac:dyDescent="0.35">
      <c r="A1155" t="str">
        <f t="shared" ref="A1155:A1218" si="54">TEXT(B1155,0)&amp;"_"&amp;TEXT(C1155,0)</f>
        <v>18097390405_2027</v>
      </c>
      <c r="B1155">
        <v>18097390405</v>
      </c>
      <c r="C1155">
        <v>2027</v>
      </c>
      <c r="D1155">
        <v>0.17061185622839961</v>
      </c>
      <c r="E1155">
        <v>-0.84647579904836223</v>
      </c>
      <c r="F1155">
        <v>-0.20956844068198049</v>
      </c>
      <c r="G1155">
        <v>-0.25701499179126508</v>
      </c>
      <c r="I1155">
        <v>-0.12217864605480171</v>
      </c>
      <c r="J1155">
        <v>-0.58625668776692208</v>
      </c>
      <c r="M1155">
        <f t="shared" ref="M1155:M1218" si="55">SUM(D1155:K1155)</f>
        <v>-1.850882709114932</v>
      </c>
      <c r="N1155">
        <f t="shared" ref="N1155:N1218" si="56">IF(D1155=0,0,1)+IF(E1155=0,0,1)+IF(F1155=0,0,1)+IF(G1155=0,0,1)+IF(H1155=0,0,1)+IF(I1155=0,0,1)++IF(J1155=0,0,1)++IF(K1155=0,0,1)</f>
        <v>6</v>
      </c>
    </row>
    <row r="1156" spans="1:14" x14ac:dyDescent="0.35">
      <c r="A1156" t="str">
        <f t="shared" si="54"/>
        <v>18097390405_2028</v>
      </c>
      <c r="B1156">
        <v>18097390405</v>
      </c>
      <c r="C1156">
        <v>2028</v>
      </c>
      <c r="D1156">
        <v>2.1009115244702659</v>
      </c>
      <c r="E1156">
        <v>0.64627656352264329</v>
      </c>
      <c r="F1156">
        <v>-0.17913667439459741</v>
      </c>
      <c r="G1156">
        <v>-0.25895573529999538</v>
      </c>
      <c r="I1156">
        <v>-2.870843767765778E-2</v>
      </c>
      <c r="J1156">
        <v>-0.59559946016646703</v>
      </c>
      <c r="M1156">
        <f t="shared" si="55"/>
        <v>1.684787780454192</v>
      </c>
      <c r="N1156">
        <f t="shared" si="56"/>
        <v>6</v>
      </c>
    </row>
    <row r="1157" spans="1:14" x14ac:dyDescent="0.35">
      <c r="A1157" t="str">
        <f t="shared" si="54"/>
        <v>18097390406_2024</v>
      </c>
      <c r="B1157">
        <v>18097390406</v>
      </c>
      <c r="C1157">
        <v>2024</v>
      </c>
      <c r="D1157">
        <v>1.124337618031076</v>
      </c>
      <c r="E1157">
        <v>0.24275024341479831</v>
      </c>
      <c r="F1157">
        <v>-1.6104713131166919</v>
      </c>
      <c r="G1157">
        <v>6.7951467133603588E-2</v>
      </c>
      <c r="I1157">
        <v>-0.53492516795538225</v>
      </c>
      <c r="J1157">
        <v>-0.43605479810168207</v>
      </c>
      <c r="K1157">
        <v>-0.1101514380687571</v>
      </c>
      <c r="M1157">
        <f t="shared" si="55"/>
        <v>-1.2565633886630354</v>
      </c>
      <c r="N1157">
        <f t="shared" si="56"/>
        <v>7</v>
      </c>
    </row>
    <row r="1158" spans="1:14" x14ac:dyDescent="0.35">
      <c r="A1158" t="str">
        <f t="shared" si="54"/>
        <v>18097390406_2025</v>
      </c>
      <c r="B1158">
        <v>18097390406</v>
      </c>
      <c r="C1158">
        <v>2025</v>
      </c>
      <c r="D1158">
        <v>1.5765384274268159</v>
      </c>
      <c r="E1158">
        <v>-0.218868370315253</v>
      </c>
      <c r="F1158">
        <v>-0.90601339210409082</v>
      </c>
      <c r="G1158">
        <v>0.37095269349715598</v>
      </c>
      <c r="I1158">
        <v>-0.5697055624473667</v>
      </c>
      <c r="J1158">
        <v>-0.62165353723838346</v>
      </c>
      <c r="K1158">
        <v>-0.77977937909658723</v>
      </c>
      <c r="M1158">
        <f t="shared" si="55"/>
        <v>-1.1485291202777093</v>
      </c>
      <c r="N1158">
        <f t="shared" si="56"/>
        <v>7</v>
      </c>
    </row>
    <row r="1159" spans="1:14" x14ac:dyDescent="0.35">
      <c r="A1159" t="str">
        <f t="shared" si="54"/>
        <v>18097390406_2026</v>
      </c>
      <c r="B1159">
        <v>18097390406</v>
      </c>
      <c r="C1159">
        <v>2026</v>
      </c>
      <c r="D1159">
        <v>1.457895671436664</v>
      </c>
      <c r="E1159">
        <v>6.4944690601565547E-2</v>
      </c>
      <c r="F1159">
        <v>-1.083779460572335</v>
      </c>
      <c r="G1159">
        <v>0.31242855019990867</v>
      </c>
      <c r="I1159">
        <v>-0.54226835687114083</v>
      </c>
      <c r="J1159">
        <v>-0.70493064279615469</v>
      </c>
      <c r="K1159">
        <v>-0.86067903982124738</v>
      </c>
      <c r="M1159">
        <f t="shared" si="55"/>
        <v>-1.3563885878227397</v>
      </c>
      <c r="N1159">
        <f t="shared" si="56"/>
        <v>7</v>
      </c>
    </row>
    <row r="1160" spans="1:14" x14ac:dyDescent="0.35">
      <c r="A1160" t="str">
        <f t="shared" si="54"/>
        <v>18097390406_2027</v>
      </c>
      <c r="B1160">
        <v>18097390406</v>
      </c>
      <c r="C1160">
        <v>2027</v>
      </c>
      <c r="D1160">
        <v>1.9378310222067721</v>
      </c>
      <c r="E1160">
        <v>-1.4039225287665691E-2</v>
      </c>
      <c r="F1160">
        <v>-1.2147900169680259</v>
      </c>
      <c r="G1160">
        <v>0.41288609788220082</v>
      </c>
      <c r="I1160">
        <v>-0.39023786005367028</v>
      </c>
      <c r="J1160">
        <v>-0.73046150372377883</v>
      </c>
      <c r="K1160">
        <v>-0.81907338116291606</v>
      </c>
      <c r="M1160">
        <f t="shared" si="55"/>
        <v>-0.81788486710708386</v>
      </c>
      <c r="N1160">
        <f t="shared" si="56"/>
        <v>7</v>
      </c>
    </row>
    <row r="1161" spans="1:14" x14ac:dyDescent="0.35">
      <c r="A1161" t="str">
        <f t="shared" si="54"/>
        <v>18097390406_2028</v>
      </c>
      <c r="B1161">
        <v>18097390406</v>
      </c>
      <c r="C1161">
        <v>2028</v>
      </c>
      <c r="D1161">
        <v>1.8404392874530939</v>
      </c>
      <c r="E1161">
        <v>0.1046250502426192</v>
      </c>
      <c r="F1161">
        <v>-1.2831175698884889</v>
      </c>
      <c r="G1161">
        <v>0.36317844149808698</v>
      </c>
      <c r="I1161">
        <v>-0.24981872368464281</v>
      </c>
      <c r="J1161">
        <v>-0.73920946387251296</v>
      </c>
      <c r="K1161">
        <v>-0.8120425216602547</v>
      </c>
      <c r="M1161">
        <f t="shared" si="55"/>
        <v>-0.77594549991209927</v>
      </c>
      <c r="N1161">
        <f t="shared" si="56"/>
        <v>7</v>
      </c>
    </row>
    <row r="1162" spans="1:14" x14ac:dyDescent="0.35">
      <c r="A1162" t="str">
        <f t="shared" si="54"/>
        <v>18097390408_2024</v>
      </c>
      <c r="B1162">
        <v>18097390408</v>
      </c>
      <c r="C1162">
        <v>2024</v>
      </c>
      <c r="D1162">
        <v>2.904679568053139</v>
      </c>
      <c r="E1162">
        <v>-0.13393833631965091</v>
      </c>
      <c r="G1162">
        <v>0.13959448624529511</v>
      </c>
      <c r="I1162">
        <v>-1.0204770135557519</v>
      </c>
      <c r="J1162">
        <v>-0.4890817717949873</v>
      </c>
      <c r="M1162">
        <f t="shared" si="55"/>
        <v>1.4007769326280437</v>
      </c>
      <c r="N1162">
        <f t="shared" si="56"/>
        <v>5</v>
      </c>
    </row>
    <row r="1163" spans="1:14" x14ac:dyDescent="0.35">
      <c r="A1163" t="str">
        <f t="shared" si="54"/>
        <v>18097390408_2025</v>
      </c>
      <c r="B1163">
        <v>18097390408</v>
      </c>
      <c r="C1163">
        <v>2025</v>
      </c>
      <c r="D1163">
        <v>-0.96681380128100236</v>
      </c>
      <c r="E1163">
        <v>-0.27327256777589481</v>
      </c>
      <c r="G1163">
        <v>-0.99226368318500602</v>
      </c>
      <c r="I1163">
        <v>0.60296316096180436</v>
      </c>
      <c r="J1163">
        <v>-0.51607680335003647</v>
      </c>
      <c r="M1163">
        <f t="shared" si="55"/>
        <v>-2.145463694630136</v>
      </c>
      <c r="N1163">
        <f t="shared" si="56"/>
        <v>5</v>
      </c>
    </row>
    <row r="1164" spans="1:14" x14ac:dyDescent="0.35">
      <c r="A1164" t="str">
        <f t="shared" si="54"/>
        <v>18097390408_2026</v>
      </c>
      <c r="B1164">
        <v>18097390408</v>
      </c>
      <c r="C1164">
        <v>2026</v>
      </c>
      <c r="D1164">
        <v>2.968229309318942</v>
      </c>
      <c r="E1164">
        <v>-0.23766553514541239</v>
      </c>
      <c r="G1164">
        <v>0.39047684804181892</v>
      </c>
      <c r="I1164">
        <v>-1.0063454564991989</v>
      </c>
      <c r="J1164">
        <v>-0.56527557804364481</v>
      </c>
      <c r="M1164">
        <f t="shared" si="55"/>
        <v>1.5494195876725052</v>
      </c>
      <c r="N1164">
        <f t="shared" si="56"/>
        <v>5</v>
      </c>
    </row>
    <row r="1165" spans="1:14" x14ac:dyDescent="0.35">
      <c r="A1165" t="str">
        <f t="shared" si="54"/>
        <v>18097390408_2027</v>
      </c>
      <c r="B1165">
        <v>18097390408</v>
      </c>
      <c r="C1165">
        <v>2027</v>
      </c>
      <c r="D1165">
        <v>0.17634318111895789</v>
      </c>
      <c r="E1165">
        <v>-0.21718788908570019</v>
      </c>
      <c r="G1165">
        <v>-1.0138257129568069</v>
      </c>
      <c r="I1165">
        <v>0.48306471217054259</v>
      </c>
      <c r="J1165">
        <v>-0.58745035093629783</v>
      </c>
      <c r="M1165">
        <f t="shared" si="55"/>
        <v>-1.1590560596893043</v>
      </c>
      <c r="N1165">
        <f t="shared" si="56"/>
        <v>5</v>
      </c>
    </row>
    <row r="1166" spans="1:14" x14ac:dyDescent="0.35">
      <c r="A1166" t="str">
        <f t="shared" si="54"/>
        <v>18097390408_2028</v>
      </c>
      <c r="B1166">
        <v>18097390408</v>
      </c>
      <c r="C1166">
        <v>2028</v>
      </c>
      <c r="D1166">
        <v>2.0995322749615659</v>
      </c>
      <c r="E1166">
        <v>-0.11483307328204451</v>
      </c>
      <c r="G1166">
        <v>0.35173422792616599</v>
      </c>
      <c r="I1166">
        <v>-0.45980291774446658</v>
      </c>
      <c r="J1166">
        <v>-0.59679810413668277</v>
      </c>
      <c r="M1166">
        <f t="shared" si="55"/>
        <v>1.2798324077245382</v>
      </c>
      <c r="N1166">
        <f t="shared" si="56"/>
        <v>5</v>
      </c>
    </row>
    <row r="1167" spans="1:14" x14ac:dyDescent="0.35">
      <c r="A1167" t="str">
        <f t="shared" si="54"/>
        <v>18097390409_2024</v>
      </c>
      <c r="B1167">
        <v>18097390409</v>
      </c>
      <c r="C1167">
        <v>2024</v>
      </c>
      <c r="D1167">
        <v>2.909089368318778</v>
      </c>
      <c r="E1167">
        <v>-0.30722017384302569</v>
      </c>
      <c r="F1167">
        <v>-1.0850217826541111</v>
      </c>
      <c r="G1167">
        <v>-0.76340372101772092</v>
      </c>
      <c r="J1167">
        <v>-0.48923327292937591</v>
      </c>
      <c r="M1167">
        <f t="shared" si="55"/>
        <v>0.26421041787454425</v>
      </c>
      <c r="N1167">
        <f t="shared" si="56"/>
        <v>5</v>
      </c>
    </row>
    <row r="1168" spans="1:14" x14ac:dyDescent="0.35">
      <c r="A1168" t="str">
        <f t="shared" si="54"/>
        <v>18097390409_2025</v>
      </c>
      <c r="B1168">
        <v>18097390409</v>
      </c>
      <c r="C1168">
        <v>2025</v>
      </c>
      <c r="D1168">
        <v>-0.97329255546816185</v>
      </c>
      <c r="E1168">
        <v>-1.234624128243101</v>
      </c>
      <c r="F1168">
        <v>3.941422188713041</v>
      </c>
      <c r="G1168">
        <v>-1.4734205490631389</v>
      </c>
      <c r="J1168">
        <v>-0.51532958962044695</v>
      </c>
      <c r="M1168">
        <f t="shared" si="55"/>
        <v>-0.25524463368180761</v>
      </c>
      <c r="N1168">
        <f t="shared" si="56"/>
        <v>5</v>
      </c>
    </row>
    <row r="1169" spans="1:14" x14ac:dyDescent="0.35">
      <c r="A1169" t="str">
        <f t="shared" si="54"/>
        <v>18097390409_2026</v>
      </c>
      <c r="B1169">
        <v>18097390409</v>
      </c>
      <c r="C1169">
        <v>2026</v>
      </c>
      <c r="D1169">
        <v>2.9725273759872519</v>
      </c>
      <c r="E1169">
        <v>-0.82254298480739141</v>
      </c>
      <c r="F1169">
        <v>3.4999708626674289</v>
      </c>
      <c r="G1169">
        <v>-1.5525441175612431</v>
      </c>
      <c r="J1169">
        <v>-0.56415228566854636</v>
      </c>
      <c r="M1169">
        <f t="shared" si="55"/>
        <v>3.5332588506175</v>
      </c>
      <c r="N1169">
        <f t="shared" si="56"/>
        <v>5</v>
      </c>
    </row>
    <row r="1170" spans="1:14" x14ac:dyDescent="0.35">
      <c r="A1170" t="str">
        <f t="shared" si="54"/>
        <v>18097390409_2027</v>
      </c>
      <c r="B1170">
        <v>18097390409</v>
      </c>
      <c r="C1170">
        <v>2027</v>
      </c>
      <c r="D1170">
        <v>0.170613221697414</v>
      </c>
      <c r="E1170">
        <v>-1.300467056136964</v>
      </c>
      <c r="F1170">
        <v>4.3314094107230936</v>
      </c>
      <c r="G1170">
        <v>-1.731750294204816</v>
      </c>
      <c r="J1170">
        <v>-0.58625668776692208</v>
      </c>
      <c r="M1170">
        <f t="shared" si="55"/>
        <v>0.88354859431180544</v>
      </c>
      <c r="N1170">
        <f t="shared" si="56"/>
        <v>5</v>
      </c>
    </row>
    <row r="1171" spans="1:14" x14ac:dyDescent="0.35">
      <c r="A1171" t="str">
        <f t="shared" si="54"/>
        <v>18097390409_2028</v>
      </c>
      <c r="B1171">
        <v>18097390409</v>
      </c>
      <c r="C1171">
        <v>2028</v>
      </c>
      <c r="D1171">
        <v>2.100910414168113</v>
      </c>
      <c r="E1171">
        <v>-0.75787719186858316</v>
      </c>
      <c r="F1171">
        <v>4.6574596353651954</v>
      </c>
      <c r="G1171">
        <v>-1.6366940870395881</v>
      </c>
      <c r="J1171">
        <v>-0.59559946016646703</v>
      </c>
      <c r="M1171">
        <f t="shared" si="55"/>
        <v>3.76819931045867</v>
      </c>
      <c r="N1171">
        <f t="shared" si="56"/>
        <v>5</v>
      </c>
    </row>
    <row r="1172" spans="1:14" x14ac:dyDescent="0.35">
      <c r="A1172" t="str">
        <f t="shared" si="54"/>
        <v>18097390410_2024</v>
      </c>
      <c r="B1172">
        <v>18097390410</v>
      </c>
      <c r="C1172">
        <v>2024</v>
      </c>
      <c r="D1172">
        <v>2.9090950163180551</v>
      </c>
      <c r="E1172">
        <v>-1.0397740620802569</v>
      </c>
      <c r="F1172">
        <v>-0.91862341674155279</v>
      </c>
      <c r="G1172">
        <v>0.31490087633434333</v>
      </c>
      <c r="I1172">
        <v>-0.52106990634912154</v>
      </c>
      <c r="J1172">
        <v>-0.48923327292937591</v>
      </c>
      <c r="M1172">
        <f t="shared" si="55"/>
        <v>0.25529523455209124</v>
      </c>
      <c r="N1172">
        <f t="shared" si="56"/>
        <v>6</v>
      </c>
    </row>
    <row r="1173" spans="1:14" x14ac:dyDescent="0.35">
      <c r="A1173" t="str">
        <f t="shared" si="54"/>
        <v>18097390410_2025</v>
      </c>
      <c r="B1173">
        <v>18097390410</v>
      </c>
      <c r="C1173">
        <v>2025</v>
      </c>
      <c r="D1173">
        <v>-0.9733012742407442</v>
      </c>
      <c r="E1173">
        <v>0.69825130075944097</v>
      </c>
      <c r="F1173">
        <v>-0.20860099824031431</v>
      </c>
      <c r="G1173">
        <v>1.289855016610141</v>
      </c>
      <c r="I1173">
        <v>2.1703701351679539E-2</v>
      </c>
      <c r="J1173">
        <v>-0.51532958962044695</v>
      </c>
      <c r="M1173">
        <f t="shared" si="55"/>
        <v>0.31257815661975608</v>
      </c>
      <c r="N1173">
        <f t="shared" si="56"/>
        <v>6</v>
      </c>
    </row>
    <row r="1174" spans="1:14" x14ac:dyDescent="0.35">
      <c r="A1174" t="str">
        <f t="shared" si="54"/>
        <v>18097390410_2026</v>
      </c>
      <c r="B1174">
        <v>18097390410</v>
      </c>
      <c r="C1174">
        <v>2026</v>
      </c>
      <c r="D1174">
        <v>2.972538596892675</v>
      </c>
      <c r="E1174">
        <v>-2.3241377577503259</v>
      </c>
      <c r="F1174">
        <v>-1.3846038257803961</v>
      </c>
      <c r="G1174">
        <v>1.1614159117559599</v>
      </c>
      <c r="I1174">
        <v>-0.49515246888692049</v>
      </c>
      <c r="J1174">
        <v>-0.56415228566854636</v>
      </c>
      <c r="M1174">
        <f t="shared" si="55"/>
        <v>-0.63409182943755393</v>
      </c>
      <c r="N1174">
        <f t="shared" si="56"/>
        <v>6</v>
      </c>
    </row>
    <row r="1175" spans="1:14" x14ac:dyDescent="0.35">
      <c r="A1175" t="str">
        <f t="shared" si="54"/>
        <v>18097390410_2027</v>
      </c>
      <c r="B1175">
        <v>18097390410</v>
      </c>
      <c r="C1175">
        <v>2027</v>
      </c>
      <c r="D1175">
        <v>0.17060440207007591</v>
      </c>
      <c r="E1175">
        <v>0.91001964196833318</v>
      </c>
      <c r="F1175">
        <v>-0.40777339968735588</v>
      </c>
      <c r="G1175">
        <v>1.408049308172878</v>
      </c>
      <c r="I1175">
        <v>9.598704581024578E-2</v>
      </c>
      <c r="J1175">
        <v>-0.58625668776692208</v>
      </c>
      <c r="M1175">
        <f t="shared" si="55"/>
        <v>1.590630310567255</v>
      </c>
      <c r="N1175">
        <f t="shared" si="56"/>
        <v>6</v>
      </c>
    </row>
    <row r="1176" spans="1:14" x14ac:dyDescent="0.35">
      <c r="A1176" t="str">
        <f t="shared" si="54"/>
        <v>18097390410_2028</v>
      </c>
      <c r="B1176">
        <v>18097390410</v>
      </c>
      <c r="C1176">
        <v>2028</v>
      </c>
      <c r="D1176">
        <v>2.100917560160533</v>
      </c>
      <c r="E1176">
        <v>-2.1504911606533961</v>
      </c>
      <c r="F1176">
        <v>-1.539830790853953</v>
      </c>
      <c r="G1176">
        <v>1.28694320774394</v>
      </c>
      <c r="I1176">
        <v>-0.1853266552945308</v>
      </c>
      <c r="J1176">
        <v>-0.59559946016646703</v>
      </c>
      <c r="M1176">
        <f t="shared" si="55"/>
        <v>-1.083387299063874</v>
      </c>
      <c r="N1176">
        <f t="shared" si="56"/>
        <v>6</v>
      </c>
    </row>
    <row r="1177" spans="1:14" x14ac:dyDescent="0.35">
      <c r="A1177" t="str">
        <f t="shared" si="54"/>
        <v>18097390411_2024</v>
      </c>
      <c r="B1177">
        <v>18097390411</v>
      </c>
      <c r="C1177">
        <v>2024</v>
      </c>
      <c r="D1177">
        <v>2.909091834936389</v>
      </c>
      <c r="F1177">
        <v>-0.78333397707219621</v>
      </c>
      <c r="G1177">
        <v>-0.48496338404250722</v>
      </c>
      <c r="I1177">
        <v>-1.7402174854623389</v>
      </c>
      <c r="J1177">
        <v>-0.48923440500276011</v>
      </c>
      <c r="M1177">
        <f t="shared" si="55"/>
        <v>-0.58865741664341353</v>
      </c>
      <c r="N1177">
        <f t="shared" si="56"/>
        <v>5</v>
      </c>
    </row>
    <row r="1178" spans="1:14" x14ac:dyDescent="0.35">
      <c r="A1178" t="str">
        <f t="shared" si="54"/>
        <v>18097390411_2025</v>
      </c>
      <c r="B1178">
        <v>18097390411</v>
      </c>
      <c r="C1178">
        <v>2025</v>
      </c>
      <c r="D1178">
        <v>-0.97329636553605003</v>
      </c>
      <c r="F1178">
        <v>-0.73901569378282361</v>
      </c>
      <c r="G1178">
        <v>-0.91310615374554338</v>
      </c>
      <c r="I1178">
        <v>5.5154205252038492E-2</v>
      </c>
      <c r="J1178">
        <v>-0.51533098634653651</v>
      </c>
      <c r="M1178">
        <f t="shared" si="55"/>
        <v>-3.0855949941589151</v>
      </c>
      <c r="N1178">
        <f t="shared" si="56"/>
        <v>5</v>
      </c>
    </row>
    <row r="1179" spans="1:14" x14ac:dyDescent="0.35">
      <c r="A1179" t="str">
        <f t="shared" si="54"/>
        <v>18097390411_2026</v>
      </c>
      <c r="B1179">
        <v>18097390411</v>
      </c>
      <c r="C1179">
        <v>2026</v>
      </c>
      <c r="D1179">
        <v>2.972532277256914</v>
      </c>
      <c r="F1179">
        <v>-0.61032261867063298</v>
      </c>
      <c r="G1179">
        <v>-0.95613923174483462</v>
      </c>
      <c r="I1179">
        <v>-2.114507896756439</v>
      </c>
      <c r="J1179">
        <v>-0.56415369054239106</v>
      </c>
      <c r="M1179">
        <f t="shared" si="55"/>
        <v>-1.2725911604573836</v>
      </c>
      <c r="N1179">
        <f t="shared" si="56"/>
        <v>5</v>
      </c>
    </row>
    <row r="1180" spans="1:14" x14ac:dyDescent="0.35">
      <c r="A1180" t="str">
        <f t="shared" si="54"/>
        <v>18097390411_2027</v>
      </c>
      <c r="B1180">
        <v>18097390411</v>
      </c>
      <c r="C1180">
        <v>2027</v>
      </c>
      <c r="D1180">
        <v>0.1706093671628682</v>
      </c>
      <c r="F1180">
        <v>-0.80308607168299873</v>
      </c>
      <c r="G1180">
        <v>-1.057910062005067</v>
      </c>
      <c r="I1180">
        <v>2.7653332964421171E-2</v>
      </c>
      <c r="J1180">
        <v>-0.58625807625064164</v>
      </c>
      <c r="M1180">
        <f t="shared" si="55"/>
        <v>-2.2489915098114182</v>
      </c>
      <c r="N1180">
        <f t="shared" si="56"/>
        <v>5</v>
      </c>
    </row>
    <row r="1181" spans="1:14" x14ac:dyDescent="0.35">
      <c r="A1181" t="str">
        <f t="shared" si="54"/>
        <v>18097390411_2028</v>
      </c>
      <c r="B1181">
        <v>18097390411</v>
      </c>
      <c r="C1181">
        <v>2028</v>
      </c>
      <c r="D1181">
        <v>2.1009135350195711</v>
      </c>
      <c r="F1181">
        <v>-0.76529354333513466</v>
      </c>
      <c r="G1181">
        <v>-1.0046381445861079</v>
      </c>
      <c r="I1181">
        <v>-1.366724598543674</v>
      </c>
      <c r="J1181">
        <v>-0.59560083610711612</v>
      </c>
      <c r="M1181">
        <f t="shared" si="55"/>
        <v>-1.6313435875524616</v>
      </c>
      <c r="N1181">
        <f t="shared" si="56"/>
        <v>5</v>
      </c>
    </row>
    <row r="1182" spans="1:14" x14ac:dyDescent="0.35">
      <c r="A1182" t="str">
        <f t="shared" si="54"/>
        <v>18097390500_2024</v>
      </c>
      <c r="B1182">
        <v>18097390500</v>
      </c>
      <c r="C1182">
        <v>2024</v>
      </c>
      <c r="D1182">
        <v>-1.4627758834037541</v>
      </c>
      <c r="E1182">
        <v>-3.5716179747336838</v>
      </c>
      <c r="F1182">
        <v>-0.4094486991136696</v>
      </c>
      <c r="G1182">
        <v>0.27146128355204069</v>
      </c>
      <c r="H1182">
        <v>0.1505163249475846</v>
      </c>
      <c r="I1182">
        <v>-4.0624599804276613</v>
      </c>
      <c r="J1182">
        <v>-0.68828517049382776</v>
      </c>
      <c r="K1182">
        <v>0.1312637837966433</v>
      </c>
      <c r="M1182">
        <f t="shared" si="55"/>
        <v>-9.6413463158763264</v>
      </c>
      <c r="N1182">
        <f t="shared" si="56"/>
        <v>8</v>
      </c>
    </row>
    <row r="1183" spans="1:14" x14ac:dyDescent="0.35">
      <c r="A1183" t="str">
        <f t="shared" si="54"/>
        <v>18097390500_2025</v>
      </c>
      <c r="B1183">
        <v>18097390500</v>
      </c>
      <c r="C1183">
        <v>2025</v>
      </c>
      <c r="D1183">
        <v>0.55959572856673467</v>
      </c>
      <c r="E1183">
        <v>-5.0658680118212229E-2</v>
      </c>
      <c r="F1183">
        <v>-0.52061121800821986</v>
      </c>
      <c r="G1183">
        <v>0.71462382326054219</v>
      </c>
      <c r="H1183">
        <v>0.1322067571207601</v>
      </c>
      <c r="I1183">
        <v>1.1521166648428229</v>
      </c>
      <c r="J1183">
        <v>-0.12939832353102071</v>
      </c>
      <c r="K1183">
        <v>-5.0494312702515851E-2</v>
      </c>
      <c r="M1183">
        <f t="shared" si="55"/>
        <v>1.8073804394308912</v>
      </c>
      <c r="N1183">
        <f t="shared" si="56"/>
        <v>8</v>
      </c>
    </row>
    <row r="1184" spans="1:14" x14ac:dyDescent="0.35">
      <c r="A1184" t="str">
        <f t="shared" si="54"/>
        <v>18097390500_2026</v>
      </c>
      <c r="B1184">
        <v>18097390500</v>
      </c>
      <c r="C1184">
        <v>2026</v>
      </c>
      <c r="D1184">
        <v>-1.0224767879586349</v>
      </c>
      <c r="E1184">
        <v>2.8977589641350211E-2</v>
      </c>
      <c r="F1184">
        <v>-0.54342079886629024</v>
      </c>
      <c r="G1184">
        <v>0.60402146430491588</v>
      </c>
      <c r="H1184">
        <v>0.15216481236495319</v>
      </c>
      <c r="I1184">
        <v>1.0701992083555989</v>
      </c>
      <c r="J1184">
        <v>0.16305057431959979</v>
      </c>
      <c r="K1184">
        <v>-0.185948664706024</v>
      </c>
      <c r="M1184">
        <f t="shared" si="55"/>
        <v>0.26656739745546876</v>
      </c>
      <c r="N1184">
        <f t="shared" si="56"/>
        <v>8</v>
      </c>
    </row>
    <row r="1185" spans="1:14" x14ac:dyDescent="0.35">
      <c r="A1185" t="str">
        <f t="shared" si="54"/>
        <v>18097390500_2027</v>
      </c>
      <c r="B1185">
        <v>18097390500</v>
      </c>
      <c r="C1185">
        <v>2027</v>
      </c>
      <c r="D1185">
        <v>-3.1231337632335709E-2</v>
      </c>
      <c r="E1185">
        <v>4.0076573604348457E-2</v>
      </c>
      <c r="F1185">
        <v>-0.62035168673537022</v>
      </c>
      <c r="G1185">
        <v>0.74274706176472494</v>
      </c>
      <c r="H1185">
        <v>-1.6585373039260019E-2</v>
      </c>
      <c r="I1185">
        <v>0.88904418070497893</v>
      </c>
      <c r="J1185">
        <v>0.28667662180857501</v>
      </c>
      <c r="K1185">
        <v>-0.1715487321609763</v>
      </c>
      <c r="M1185">
        <f t="shared" si="55"/>
        <v>1.1188273083146849</v>
      </c>
      <c r="N1185">
        <f t="shared" si="56"/>
        <v>8</v>
      </c>
    </row>
    <row r="1186" spans="1:14" x14ac:dyDescent="0.35">
      <c r="A1186" t="str">
        <f t="shared" si="54"/>
        <v>18097390500_2028</v>
      </c>
      <c r="B1186">
        <v>18097390500</v>
      </c>
      <c r="C1186">
        <v>2028</v>
      </c>
      <c r="D1186">
        <v>-0.69561985302779661</v>
      </c>
      <c r="E1186">
        <v>0.11932762438982281</v>
      </c>
      <c r="F1186">
        <v>-0.62823150529869476</v>
      </c>
      <c r="G1186">
        <v>0.6675766677615449</v>
      </c>
      <c r="H1186">
        <v>-0.120962990543711</v>
      </c>
      <c r="I1186">
        <v>0.7065682108976532</v>
      </c>
      <c r="J1186">
        <v>0.33565218732903213</v>
      </c>
      <c r="K1186">
        <v>-0.18299330708051201</v>
      </c>
      <c r="M1186">
        <f t="shared" si="55"/>
        <v>0.2013170344273387</v>
      </c>
      <c r="N1186">
        <f t="shared" si="56"/>
        <v>8</v>
      </c>
    </row>
    <row r="1187" spans="1:14" x14ac:dyDescent="0.35">
      <c r="A1187" t="str">
        <f t="shared" si="54"/>
        <v>18097390601_2024</v>
      </c>
      <c r="B1187">
        <v>18097390601</v>
      </c>
      <c r="C1187">
        <v>2024</v>
      </c>
      <c r="D1187">
        <v>-7.1314757814957219E-2</v>
      </c>
      <c r="E1187">
        <v>-0.29564006723601999</v>
      </c>
      <c r="F1187">
        <v>1.925647323582222</v>
      </c>
      <c r="G1187">
        <v>0.17172538024517811</v>
      </c>
      <c r="I1187">
        <v>2.5746449438525532</v>
      </c>
      <c r="J1187">
        <v>0.32775377213033929</v>
      </c>
      <c r="K1187">
        <v>-8.1134232334348438E-2</v>
      </c>
      <c r="M1187">
        <f t="shared" si="55"/>
        <v>4.5516823624249669</v>
      </c>
      <c r="N1187">
        <f t="shared" si="56"/>
        <v>7</v>
      </c>
    </row>
    <row r="1188" spans="1:14" x14ac:dyDescent="0.35">
      <c r="A1188" t="str">
        <f t="shared" si="54"/>
        <v>18097390601_2025</v>
      </c>
      <c r="B1188">
        <v>18097390601</v>
      </c>
      <c r="C1188">
        <v>2025</v>
      </c>
      <c r="D1188">
        <v>-0.41053981985488169</v>
      </c>
      <c r="E1188">
        <v>0.55409374204182726</v>
      </c>
      <c r="F1188">
        <v>-0.1110501221732554</v>
      </c>
      <c r="G1188">
        <v>-0.2590544082903149</v>
      </c>
      <c r="I1188">
        <v>2.111438931890159</v>
      </c>
      <c r="J1188">
        <v>0.48698753062908068</v>
      </c>
      <c r="K1188">
        <v>-0.63850030028098703</v>
      </c>
      <c r="M1188">
        <f t="shared" si="55"/>
        <v>1.733375553961628</v>
      </c>
      <c r="N1188">
        <f t="shared" si="56"/>
        <v>7</v>
      </c>
    </row>
    <row r="1189" spans="1:14" x14ac:dyDescent="0.35">
      <c r="A1189" t="str">
        <f t="shared" si="54"/>
        <v>18097390601_2026</v>
      </c>
      <c r="B1189">
        <v>18097390601</v>
      </c>
      <c r="C1189">
        <v>2026</v>
      </c>
      <c r="D1189">
        <v>-0.30602769865812918</v>
      </c>
      <c r="E1189">
        <v>-0.5431213667756466</v>
      </c>
      <c r="F1189">
        <v>1.4549897050250311</v>
      </c>
      <c r="G1189">
        <v>0.50157517101643778</v>
      </c>
      <c r="I1189">
        <v>2.101640760989945</v>
      </c>
      <c r="J1189">
        <v>0.44960072552297797</v>
      </c>
      <c r="K1189">
        <v>-0.69849829604546965</v>
      </c>
      <c r="M1189">
        <f t="shared" si="55"/>
        <v>2.9601590010751462</v>
      </c>
      <c r="N1189">
        <f t="shared" si="56"/>
        <v>7</v>
      </c>
    </row>
    <row r="1190" spans="1:14" x14ac:dyDescent="0.35">
      <c r="A1190" t="str">
        <f t="shared" si="54"/>
        <v>18097390601_2027</v>
      </c>
      <c r="B1190">
        <v>18097390601</v>
      </c>
      <c r="C1190">
        <v>2027</v>
      </c>
      <c r="D1190">
        <v>-0.31204177345139972</v>
      </c>
      <c r="E1190">
        <v>0.53850029556810908</v>
      </c>
      <c r="F1190">
        <v>0.1802098621153273</v>
      </c>
      <c r="G1190">
        <v>-0.22039117519691279</v>
      </c>
      <c r="I1190">
        <v>0.3573751451158298</v>
      </c>
      <c r="J1190">
        <v>0.4172965691500139</v>
      </c>
      <c r="K1190">
        <v>-0.64438809698095612</v>
      </c>
      <c r="M1190">
        <f t="shared" si="55"/>
        <v>0.31656082632001148</v>
      </c>
      <c r="N1190">
        <f t="shared" si="56"/>
        <v>7</v>
      </c>
    </row>
    <row r="1191" spans="1:14" x14ac:dyDescent="0.35">
      <c r="A1191" t="str">
        <f t="shared" si="54"/>
        <v>18097390601_2028</v>
      </c>
      <c r="B1191">
        <v>18097390601</v>
      </c>
      <c r="C1191">
        <v>2028</v>
      </c>
      <c r="D1191">
        <v>-0.4512817075927677</v>
      </c>
      <c r="E1191">
        <v>-0.28869116030105629</v>
      </c>
      <c r="F1191">
        <v>1.5705036329144879</v>
      </c>
      <c r="G1191">
        <v>0.50256089457152042</v>
      </c>
      <c r="I1191">
        <v>0.33581090282903781</v>
      </c>
      <c r="J1191">
        <v>0.3992333864136749</v>
      </c>
      <c r="K1191">
        <v>-0.63068053021373627</v>
      </c>
      <c r="M1191">
        <f t="shared" si="55"/>
        <v>1.4374554186211608</v>
      </c>
      <c r="N1191">
        <f t="shared" si="56"/>
        <v>7</v>
      </c>
    </row>
    <row r="1192" spans="1:14" x14ac:dyDescent="0.35">
      <c r="A1192" t="str">
        <f t="shared" si="54"/>
        <v>18097390602_2024</v>
      </c>
      <c r="B1192">
        <v>18097390602</v>
      </c>
      <c r="C1192">
        <v>2024</v>
      </c>
      <c r="D1192">
        <v>-7.1698139762875562E-2</v>
      </c>
      <c r="E1192">
        <v>0.31877496545316392</v>
      </c>
      <c r="F1192">
        <v>0.91162154078437119</v>
      </c>
      <c r="I1192">
        <v>-5.8348650836104202E-2</v>
      </c>
      <c r="J1192">
        <v>0.31873831857601598</v>
      </c>
      <c r="K1192">
        <v>-7.8578857957040241E-2</v>
      </c>
      <c r="M1192">
        <f t="shared" si="55"/>
        <v>1.340509176257531</v>
      </c>
      <c r="N1192">
        <f t="shared" si="56"/>
        <v>6</v>
      </c>
    </row>
    <row r="1193" spans="1:14" x14ac:dyDescent="0.35">
      <c r="A1193" t="str">
        <f t="shared" si="54"/>
        <v>18097390602_2025</v>
      </c>
      <c r="B1193">
        <v>18097390602</v>
      </c>
      <c r="C1193">
        <v>2025</v>
      </c>
      <c r="D1193">
        <v>-0.40744564389499288</v>
      </c>
      <c r="E1193">
        <v>0.41136125316439781</v>
      </c>
      <c r="F1193">
        <v>-0.22883967857646009</v>
      </c>
      <c r="I1193">
        <v>-0.22066446002290269</v>
      </c>
      <c r="J1193">
        <v>0.47248041398244478</v>
      </c>
      <c r="K1193">
        <v>-0.62522993378660818</v>
      </c>
      <c r="M1193">
        <f t="shared" si="55"/>
        <v>-0.59833804913412125</v>
      </c>
      <c r="N1193">
        <f t="shared" si="56"/>
        <v>6</v>
      </c>
    </row>
    <row r="1194" spans="1:14" x14ac:dyDescent="0.35">
      <c r="A1194" t="str">
        <f t="shared" si="54"/>
        <v>18097390602_2026</v>
      </c>
      <c r="B1194">
        <v>18097390602</v>
      </c>
      <c r="C1194">
        <v>2026</v>
      </c>
      <c r="D1194">
        <v>-0.30726388692686168</v>
      </c>
      <c r="E1194">
        <v>0.4983595522669817</v>
      </c>
      <c r="F1194">
        <v>-0.22712966646820759</v>
      </c>
      <c r="I1194">
        <v>-8.9925909266691875E-2</v>
      </c>
      <c r="J1194">
        <v>0.43394876505437058</v>
      </c>
      <c r="K1194">
        <v>-0.68386825920608563</v>
      </c>
      <c r="M1194">
        <f t="shared" si="55"/>
        <v>-0.37587940454649449</v>
      </c>
      <c r="N1194">
        <f t="shared" si="56"/>
        <v>6</v>
      </c>
    </row>
    <row r="1195" spans="1:14" x14ac:dyDescent="0.35">
      <c r="A1195" t="str">
        <f t="shared" si="54"/>
        <v>18097390602_2027</v>
      </c>
      <c r="B1195">
        <v>18097390602</v>
      </c>
      <c r="C1195">
        <v>2027</v>
      </c>
      <c r="D1195">
        <v>-0.30923728781419701</v>
      </c>
      <c r="E1195">
        <v>0.48127857165169069</v>
      </c>
      <c r="F1195">
        <v>-0.25868852374161799</v>
      </c>
      <c r="I1195">
        <v>-3.310381360011453E-2</v>
      </c>
      <c r="J1195">
        <v>0.40158682188974648</v>
      </c>
      <c r="K1195">
        <v>-0.62931989585879189</v>
      </c>
      <c r="M1195">
        <f t="shared" si="55"/>
        <v>-0.34748412747328428</v>
      </c>
      <c r="N1195">
        <f t="shared" si="56"/>
        <v>6</v>
      </c>
    </row>
    <row r="1196" spans="1:14" x14ac:dyDescent="0.35">
      <c r="A1196" t="str">
        <f t="shared" si="54"/>
        <v>18097390602_2028</v>
      </c>
      <c r="B1196">
        <v>18097390602</v>
      </c>
      <c r="C1196">
        <v>2028</v>
      </c>
      <c r="D1196">
        <v>-0.45115934835565658</v>
      </c>
      <c r="E1196">
        <v>0.5034311424629746</v>
      </c>
      <c r="F1196">
        <v>-0.23254206219915169</v>
      </c>
      <c r="I1196">
        <v>5.0046206523141637E-2</v>
      </c>
      <c r="J1196">
        <v>0.38361791278812313</v>
      </c>
      <c r="K1196">
        <v>-0.61558103678978648</v>
      </c>
      <c r="M1196">
        <f t="shared" si="55"/>
        <v>-0.3621871855703554</v>
      </c>
      <c r="N1196">
        <f t="shared" si="56"/>
        <v>6</v>
      </c>
    </row>
    <row r="1197" spans="1:14" x14ac:dyDescent="0.35">
      <c r="A1197" t="str">
        <f t="shared" si="54"/>
        <v>18097390700_2024</v>
      </c>
      <c r="B1197">
        <v>18097390700</v>
      </c>
      <c r="C1197">
        <v>2024</v>
      </c>
      <c r="D1197">
        <v>-0.71402910534015918</v>
      </c>
      <c r="E1197">
        <v>0.84509676813882573</v>
      </c>
      <c r="F1197">
        <v>-0.86350779124307497</v>
      </c>
      <c r="G1197">
        <v>0.17878498647665539</v>
      </c>
      <c r="H1197">
        <v>0.22527637352331581</v>
      </c>
      <c r="I1197">
        <v>-2.540489565667821</v>
      </c>
      <c r="J1197">
        <v>1.734938921487315</v>
      </c>
      <c r="K1197">
        <v>9.4941196714912843E-2</v>
      </c>
      <c r="M1197">
        <f t="shared" si="55"/>
        <v>-1.0389882159100305</v>
      </c>
      <c r="N1197">
        <f t="shared" si="56"/>
        <v>8</v>
      </c>
    </row>
    <row r="1198" spans="1:14" x14ac:dyDescent="0.35">
      <c r="A1198" t="str">
        <f t="shared" si="54"/>
        <v>18097390700_2025</v>
      </c>
      <c r="B1198">
        <v>18097390700</v>
      </c>
      <c r="C1198">
        <v>2025</v>
      </c>
      <c r="D1198">
        <v>-0.59541720904249451</v>
      </c>
      <c r="E1198">
        <v>-0.4392995521816519</v>
      </c>
      <c r="F1198">
        <v>-0.95539356841095402</v>
      </c>
      <c r="G1198">
        <v>0.85787077690602609</v>
      </c>
      <c r="H1198">
        <v>0.43138808481234109</v>
      </c>
      <c r="I1198">
        <v>-3.261410027518632</v>
      </c>
      <c r="J1198">
        <v>2.0883625905844689</v>
      </c>
      <c r="K1198">
        <v>-9.3876821778388658E-2</v>
      </c>
      <c r="M1198">
        <f t="shared" si="55"/>
        <v>-1.9677757266292852</v>
      </c>
      <c r="N1198">
        <f t="shared" si="56"/>
        <v>8</v>
      </c>
    </row>
    <row r="1199" spans="1:14" x14ac:dyDescent="0.35">
      <c r="A1199" t="str">
        <f t="shared" si="54"/>
        <v>18097390700_2026</v>
      </c>
      <c r="B1199">
        <v>18097390700</v>
      </c>
      <c r="C1199">
        <v>2026</v>
      </c>
      <c r="D1199">
        <v>-1.1812095659761219</v>
      </c>
      <c r="E1199">
        <v>0.25337514661212213</v>
      </c>
      <c r="F1199">
        <v>-0.99033293487066398</v>
      </c>
      <c r="G1199">
        <v>0.82525952939306446</v>
      </c>
      <c r="H1199">
        <v>0.44361589762457271</v>
      </c>
      <c r="I1199">
        <v>-3.9327613744428249</v>
      </c>
      <c r="J1199">
        <v>2.0305463506008881</v>
      </c>
      <c r="K1199">
        <v>-0.18463965621025749</v>
      </c>
      <c r="M1199">
        <f t="shared" si="55"/>
        <v>-2.7361466072692204</v>
      </c>
      <c r="N1199">
        <f t="shared" si="56"/>
        <v>8</v>
      </c>
    </row>
    <row r="1200" spans="1:14" x14ac:dyDescent="0.35">
      <c r="A1200" t="str">
        <f t="shared" si="54"/>
        <v>18097390700_2027</v>
      </c>
      <c r="B1200">
        <v>18097390700</v>
      </c>
      <c r="C1200">
        <v>2027</v>
      </c>
      <c r="D1200">
        <v>-0.75800156153159226</v>
      </c>
      <c r="E1200">
        <v>3.3819626477379662E-2</v>
      </c>
      <c r="F1200">
        <v>-1.1224410070409949</v>
      </c>
      <c r="G1200">
        <v>1.022422570317882</v>
      </c>
      <c r="H1200">
        <v>0.28126779915522138</v>
      </c>
      <c r="I1200">
        <v>-4.4255954430699367</v>
      </c>
      <c r="J1200">
        <v>1.974220204345855</v>
      </c>
      <c r="K1200">
        <v>-0.14390340096389179</v>
      </c>
      <c r="M1200">
        <f t="shared" si="55"/>
        <v>-3.1382112123100776</v>
      </c>
      <c r="N1200">
        <f t="shared" si="56"/>
        <v>8</v>
      </c>
    </row>
    <row r="1201" spans="1:14" x14ac:dyDescent="0.35">
      <c r="A1201" t="str">
        <f t="shared" si="54"/>
        <v>18097390700_2028</v>
      </c>
      <c r="B1201">
        <v>18097390700</v>
      </c>
      <c r="C1201">
        <v>2028</v>
      </c>
      <c r="D1201">
        <v>-1.2582904137070661</v>
      </c>
      <c r="E1201">
        <v>0.18405949972840491</v>
      </c>
      <c r="F1201">
        <v>-1.172126501835143</v>
      </c>
      <c r="G1201">
        <v>0.93193933654064498</v>
      </c>
      <c r="H1201">
        <v>0.1426669219608456</v>
      </c>
      <c r="I1201">
        <v>-5.8041599352732458</v>
      </c>
      <c r="J1201">
        <v>1.941141774921374</v>
      </c>
      <c r="K1201">
        <v>-0.13935193342718091</v>
      </c>
      <c r="M1201">
        <f t="shared" si="55"/>
        <v>-5.1741212510913668</v>
      </c>
      <c r="N1201">
        <f t="shared" si="56"/>
        <v>8</v>
      </c>
    </row>
    <row r="1202" spans="1:14" x14ac:dyDescent="0.35">
      <c r="A1202" t="str">
        <f t="shared" si="54"/>
        <v>18097390801_2024</v>
      </c>
      <c r="B1202">
        <v>18097390801</v>
      </c>
      <c r="C1202">
        <v>2024</v>
      </c>
      <c r="D1202">
        <v>-0.36818108894432311</v>
      </c>
      <c r="J1202">
        <v>1.3025678032230319</v>
      </c>
      <c r="M1202">
        <f t="shared" si="55"/>
        <v>0.93438671427870879</v>
      </c>
      <c r="N1202">
        <f t="shared" si="56"/>
        <v>2</v>
      </c>
    </row>
    <row r="1203" spans="1:14" x14ac:dyDescent="0.35">
      <c r="A1203" t="str">
        <f t="shared" si="54"/>
        <v>18097390801_2025</v>
      </c>
      <c r="B1203">
        <v>18097390801</v>
      </c>
      <c r="C1203">
        <v>2025</v>
      </c>
      <c r="D1203">
        <v>-0.55164974505361564</v>
      </c>
      <c r="J1203">
        <v>0.85725073639310989</v>
      </c>
      <c r="M1203">
        <f t="shared" si="55"/>
        <v>0.30560099133949425</v>
      </c>
      <c r="N1203">
        <f t="shared" si="56"/>
        <v>2</v>
      </c>
    </row>
    <row r="1204" spans="1:14" x14ac:dyDescent="0.35">
      <c r="A1204" t="str">
        <f t="shared" si="54"/>
        <v>18097390801_2026</v>
      </c>
      <c r="B1204">
        <v>18097390801</v>
      </c>
      <c r="C1204">
        <v>2026</v>
      </c>
      <c r="D1204">
        <v>-0.46899858223111518</v>
      </c>
      <c r="J1204">
        <v>0.7758025680058569</v>
      </c>
      <c r="M1204">
        <f t="shared" si="55"/>
        <v>0.30680398577474172</v>
      </c>
      <c r="N1204">
        <f t="shared" si="56"/>
        <v>2</v>
      </c>
    </row>
    <row r="1205" spans="1:14" x14ac:dyDescent="0.35">
      <c r="A1205" t="str">
        <f t="shared" si="54"/>
        <v>18097390801_2027</v>
      </c>
      <c r="B1205">
        <v>18097390801</v>
      </c>
      <c r="C1205">
        <v>2027</v>
      </c>
      <c r="D1205">
        <v>-0.58398715682273383</v>
      </c>
      <c r="J1205">
        <v>0.72832900795149791</v>
      </c>
      <c r="M1205">
        <f t="shared" si="55"/>
        <v>0.14434185112876408</v>
      </c>
      <c r="N1205">
        <f t="shared" si="56"/>
        <v>2</v>
      </c>
    </row>
    <row r="1206" spans="1:14" x14ac:dyDescent="0.35">
      <c r="A1206" t="str">
        <f t="shared" si="54"/>
        <v>18097390801_2028</v>
      </c>
      <c r="B1206">
        <v>18097390801</v>
      </c>
      <c r="C1206">
        <v>2028</v>
      </c>
      <c r="D1206">
        <v>-0.63141772047431932</v>
      </c>
      <c r="J1206">
        <v>0.70621450076630943</v>
      </c>
      <c r="M1206">
        <f t="shared" si="55"/>
        <v>7.4796780291990106E-2</v>
      </c>
      <c r="N1206">
        <f t="shared" si="56"/>
        <v>2</v>
      </c>
    </row>
    <row r="1207" spans="1:14" x14ac:dyDescent="0.35">
      <c r="A1207" t="str">
        <f t="shared" si="54"/>
        <v>18097390802_2024</v>
      </c>
      <c r="B1207">
        <v>18097390802</v>
      </c>
      <c r="C1207">
        <v>2024</v>
      </c>
      <c r="D1207">
        <v>-0.40859881082428451</v>
      </c>
      <c r="E1207">
        <v>0.63650940564646297</v>
      </c>
      <c r="F1207">
        <v>0.68168689297814411</v>
      </c>
      <c r="G1207">
        <v>-0.204248096257026</v>
      </c>
      <c r="H1207">
        <v>0.44909422459558812</v>
      </c>
      <c r="I1207">
        <v>-0.77224695556141942</v>
      </c>
      <c r="J1207">
        <v>0.95003611154674195</v>
      </c>
      <c r="K1207">
        <v>0.53404242059334706</v>
      </c>
      <c r="M1207">
        <f t="shared" si="55"/>
        <v>1.8662751927175543</v>
      </c>
      <c r="N1207">
        <f t="shared" si="56"/>
        <v>8</v>
      </c>
    </row>
    <row r="1208" spans="1:14" x14ac:dyDescent="0.35">
      <c r="A1208" t="str">
        <f t="shared" si="54"/>
        <v>18097390802_2025</v>
      </c>
      <c r="B1208">
        <v>18097390802</v>
      </c>
      <c r="C1208">
        <v>2025</v>
      </c>
      <c r="D1208">
        <v>-0.145691028567384</v>
      </c>
      <c r="E1208">
        <v>1.4205689672911459</v>
      </c>
      <c r="F1208">
        <v>1.488522638949604</v>
      </c>
      <c r="G1208">
        <v>5.0691383833728662E-2</v>
      </c>
      <c r="H1208">
        <v>-1.4590337695992639</v>
      </c>
      <c r="I1208">
        <v>0.20660319149349229</v>
      </c>
      <c r="J1208">
        <v>0.6378683817088352</v>
      </c>
      <c r="K1208">
        <v>1.754139707402105</v>
      </c>
      <c r="M1208">
        <f t="shared" si="55"/>
        <v>3.9536694725122636</v>
      </c>
      <c r="N1208">
        <f t="shared" si="56"/>
        <v>8</v>
      </c>
    </row>
    <row r="1209" spans="1:14" x14ac:dyDescent="0.35">
      <c r="A1209" t="str">
        <f t="shared" si="54"/>
        <v>18097390802_2026</v>
      </c>
      <c r="B1209">
        <v>18097390802</v>
      </c>
      <c r="C1209">
        <v>2026</v>
      </c>
      <c r="D1209">
        <v>-0.29013107974327912</v>
      </c>
      <c r="E1209">
        <v>1.3568090231785419</v>
      </c>
      <c r="F1209">
        <v>2.404670835616757</v>
      </c>
      <c r="G1209">
        <v>-0.16688602961492269</v>
      </c>
      <c r="H1209">
        <v>0.70780535351225016</v>
      </c>
      <c r="I1209">
        <v>-0.76275165489220043</v>
      </c>
      <c r="J1209">
        <v>0.54044296955518056</v>
      </c>
      <c r="K1209">
        <v>1.7113264223470099</v>
      </c>
      <c r="M1209">
        <f t="shared" si="55"/>
        <v>5.501285839959337</v>
      </c>
      <c r="N1209">
        <f t="shared" si="56"/>
        <v>8</v>
      </c>
    </row>
    <row r="1210" spans="1:14" x14ac:dyDescent="0.35">
      <c r="A1210" t="str">
        <f t="shared" si="54"/>
        <v>18097390802_2027</v>
      </c>
      <c r="B1210">
        <v>18097390802</v>
      </c>
      <c r="C1210">
        <v>2027</v>
      </c>
      <c r="D1210">
        <v>-0.21821615729920299</v>
      </c>
      <c r="E1210">
        <v>1.2406698621025289</v>
      </c>
      <c r="F1210">
        <v>2.325231226808175</v>
      </c>
      <c r="G1210">
        <v>-5.6008763939400699E-2</v>
      </c>
      <c r="H1210">
        <v>-0.55302335408088188</v>
      </c>
      <c r="I1210">
        <v>0.20863107710484211</v>
      </c>
      <c r="J1210">
        <v>0.49774569179732242</v>
      </c>
      <c r="K1210">
        <v>1.7523945885265071</v>
      </c>
      <c r="M1210">
        <f t="shared" si="55"/>
        <v>5.1974241710198896</v>
      </c>
      <c r="N1210">
        <f t="shared" si="56"/>
        <v>8</v>
      </c>
    </row>
    <row r="1211" spans="1:14" x14ac:dyDescent="0.35">
      <c r="A1211" t="str">
        <f t="shared" si="54"/>
        <v>18097390802_2028</v>
      </c>
      <c r="B1211">
        <v>18097390802</v>
      </c>
      <c r="C1211">
        <v>2028</v>
      </c>
      <c r="D1211">
        <v>-0.32765453954313961</v>
      </c>
      <c r="E1211">
        <v>1.118406524106522</v>
      </c>
      <c r="F1211">
        <v>2.8152165699326361</v>
      </c>
      <c r="G1211">
        <v>-0.1101146389887751</v>
      </c>
      <c r="H1211">
        <v>-2.5079349279090422E-2</v>
      </c>
      <c r="I1211">
        <v>-0.33655370732015449</v>
      </c>
      <c r="J1211">
        <v>0.47762704798456779</v>
      </c>
      <c r="K1211">
        <v>1.739244118991351</v>
      </c>
      <c r="M1211">
        <f t="shared" si="55"/>
        <v>5.3510920258839176</v>
      </c>
      <c r="N1211">
        <f t="shared" si="56"/>
        <v>8</v>
      </c>
    </row>
    <row r="1212" spans="1:14" x14ac:dyDescent="0.35">
      <c r="A1212" t="str">
        <f t="shared" si="54"/>
        <v>18097390900_2024</v>
      </c>
      <c r="B1212">
        <v>18097390900</v>
      </c>
      <c r="C1212">
        <v>2024</v>
      </c>
      <c r="D1212">
        <v>-0.33822313162513762</v>
      </c>
      <c r="E1212">
        <v>0.21380790723191731</v>
      </c>
      <c r="F1212">
        <v>0.20549795238588561</v>
      </c>
      <c r="G1212">
        <v>0.1135073100299574</v>
      </c>
      <c r="H1212">
        <v>0.11079183264199111</v>
      </c>
      <c r="I1212">
        <v>0.53022941728516726</v>
      </c>
      <c r="J1212">
        <v>-1.971898063218317</v>
      </c>
      <c r="K1212">
        <v>-9.0194402159581744E-2</v>
      </c>
      <c r="M1212">
        <f t="shared" si="55"/>
        <v>-1.2264811774281177</v>
      </c>
      <c r="N1212">
        <f t="shared" si="56"/>
        <v>8</v>
      </c>
    </row>
    <row r="1213" spans="1:14" x14ac:dyDescent="0.35">
      <c r="A1213" t="str">
        <f t="shared" si="54"/>
        <v>18097390900_2025</v>
      </c>
      <c r="B1213">
        <v>18097390900</v>
      </c>
      <c r="C1213">
        <v>2025</v>
      </c>
      <c r="D1213">
        <v>0.81518343293512296</v>
      </c>
      <c r="E1213">
        <v>8.6198005324902391E-2</v>
      </c>
      <c r="F1213">
        <v>-0.16610153451473031</v>
      </c>
      <c r="G1213">
        <v>9.2877414453241436E-2</v>
      </c>
      <c r="H1213">
        <v>-4.357935321413775E-2</v>
      </c>
      <c r="I1213">
        <v>0.71248488713636782</v>
      </c>
      <c r="J1213">
        <v>-1.4907644242578919</v>
      </c>
      <c r="K1213">
        <v>-0.68338089223008136</v>
      </c>
      <c r="M1213">
        <f t="shared" si="55"/>
        <v>-0.67708246436720676</v>
      </c>
      <c r="N1213">
        <f t="shared" si="56"/>
        <v>8</v>
      </c>
    </row>
    <row r="1214" spans="1:14" x14ac:dyDescent="0.35">
      <c r="A1214" t="str">
        <f t="shared" si="54"/>
        <v>18097390900_2026</v>
      </c>
      <c r="B1214">
        <v>18097390900</v>
      </c>
      <c r="C1214">
        <v>2026</v>
      </c>
      <c r="D1214">
        <v>-9.8884412737175839E-2</v>
      </c>
      <c r="E1214">
        <v>0.1286476928668652</v>
      </c>
      <c r="F1214">
        <v>-0.12896110569453789</v>
      </c>
      <c r="G1214">
        <v>0.19146723869117391</v>
      </c>
      <c r="H1214">
        <v>4.3059602390607002E-3</v>
      </c>
      <c r="I1214">
        <v>0.68880758515351148</v>
      </c>
      <c r="J1214">
        <v>-1.166931985739678</v>
      </c>
      <c r="K1214">
        <v>-0.75133623217762369</v>
      </c>
      <c r="M1214">
        <f t="shared" si="55"/>
        <v>-1.132885259398404</v>
      </c>
      <c r="N1214">
        <f t="shared" si="56"/>
        <v>8</v>
      </c>
    </row>
    <row r="1215" spans="1:14" x14ac:dyDescent="0.35">
      <c r="A1215" t="str">
        <f t="shared" si="54"/>
        <v>18097390900_2027</v>
      </c>
      <c r="B1215">
        <v>18097390900</v>
      </c>
      <c r="C1215">
        <v>2027</v>
      </c>
      <c r="D1215">
        <v>0.65590962281581255</v>
      </c>
      <c r="E1215">
        <v>0.12434707952243861</v>
      </c>
      <c r="F1215">
        <v>-0.12922191503170991</v>
      </c>
      <c r="G1215">
        <v>0.20564272875010081</v>
      </c>
      <c r="H1215">
        <v>-0.1516518604912567</v>
      </c>
      <c r="I1215">
        <v>0.61151569810356976</v>
      </c>
      <c r="J1215">
        <v>-1.0157142339591749</v>
      </c>
      <c r="K1215">
        <v>-0.70058871305673776</v>
      </c>
      <c r="M1215">
        <f t="shared" si="55"/>
        <v>-0.39976159334695749</v>
      </c>
      <c r="N1215">
        <f t="shared" si="56"/>
        <v>8</v>
      </c>
    </row>
    <row r="1216" spans="1:14" x14ac:dyDescent="0.35">
      <c r="A1216" t="str">
        <f t="shared" si="54"/>
        <v>18097390900_2028</v>
      </c>
      <c r="B1216">
        <v>18097390900</v>
      </c>
      <c r="C1216">
        <v>2028</v>
      </c>
      <c r="D1216">
        <v>0.21047592479536251</v>
      </c>
      <c r="E1216">
        <v>0.19106687672832279</v>
      </c>
      <c r="F1216">
        <v>-8.4663656688143227E-2</v>
      </c>
      <c r="G1216">
        <v>0.19441607502175981</v>
      </c>
      <c r="H1216">
        <v>-0.22834915318110169</v>
      </c>
      <c r="I1216">
        <v>0.51731955896384763</v>
      </c>
      <c r="J1216">
        <v>-0.94997989694326235</v>
      </c>
      <c r="K1216">
        <v>-0.68806065495143687</v>
      </c>
      <c r="M1216">
        <f t="shared" si="55"/>
        <v>-0.83777492625465144</v>
      </c>
      <c r="N1216">
        <f t="shared" si="56"/>
        <v>8</v>
      </c>
    </row>
    <row r="1217" spans="1:14" x14ac:dyDescent="0.35">
      <c r="A1217" t="str">
        <f t="shared" si="54"/>
        <v>18097391001_2024</v>
      </c>
      <c r="B1217">
        <v>18097391001</v>
      </c>
      <c r="C1217">
        <v>2024</v>
      </c>
      <c r="D1217">
        <v>-0.30864241112730728</v>
      </c>
      <c r="E1217">
        <v>-0.8306185336010069</v>
      </c>
      <c r="F1217">
        <v>1.657356497751755</v>
      </c>
      <c r="H1217">
        <v>-0.19184466252172211</v>
      </c>
      <c r="I1217">
        <v>-2.8645264375523962</v>
      </c>
      <c r="J1217">
        <v>-1.833410461154644</v>
      </c>
      <c r="K1217">
        <v>0.77574620323407417</v>
      </c>
      <c r="M1217">
        <f t="shared" si="55"/>
        <v>-3.595939804971247</v>
      </c>
      <c r="N1217">
        <f t="shared" si="56"/>
        <v>7</v>
      </c>
    </row>
    <row r="1218" spans="1:14" x14ac:dyDescent="0.35">
      <c r="A1218" t="str">
        <f t="shared" si="54"/>
        <v>18097391001_2025</v>
      </c>
      <c r="B1218">
        <v>18097391001</v>
      </c>
      <c r="C1218">
        <v>2025</v>
      </c>
      <c r="D1218">
        <v>0.83606849466064292</v>
      </c>
      <c r="E1218">
        <v>-2.0462230886667618</v>
      </c>
      <c r="F1218">
        <v>0.154341725371199</v>
      </c>
      <c r="H1218">
        <v>-1.382410041200445</v>
      </c>
      <c r="I1218">
        <v>1.1136999327954109</v>
      </c>
      <c r="J1218">
        <v>-1.3859622861777521</v>
      </c>
      <c r="K1218">
        <v>1.5219384240116429</v>
      </c>
      <c r="M1218">
        <f t="shared" si="55"/>
        <v>-1.1885468392060632</v>
      </c>
      <c r="N1218">
        <f t="shared" si="56"/>
        <v>7</v>
      </c>
    </row>
    <row r="1219" spans="1:14" x14ac:dyDescent="0.35">
      <c r="A1219" t="str">
        <f t="shared" ref="A1219:A1282" si="57">TEXT(B1219,0)&amp;"_"&amp;TEXT(C1219,0)</f>
        <v>18097391001_2026</v>
      </c>
      <c r="B1219">
        <v>18097391001</v>
      </c>
      <c r="C1219">
        <v>2026</v>
      </c>
      <c r="D1219">
        <v>5.9007343365678609E-2</v>
      </c>
      <c r="E1219">
        <v>-2.3780000939132342</v>
      </c>
      <c r="F1219">
        <v>0.20565413164183349</v>
      </c>
      <c r="H1219">
        <v>-1.047807882091885</v>
      </c>
      <c r="I1219">
        <v>-3.5537458304062031</v>
      </c>
      <c r="J1219">
        <v>-1.1091785150965621</v>
      </c>
      <c r="K1219">
        <v>1.45603793859913</v>
      </c>
      <c r="M1219">
        <f t="shared" ref="M1219:M1282" si="58">SUM(D1219:K1219)</f>
        <v>-6.3680329079012417</v>
      </c>
      <c r="N1219">
        <f t="shared" ref="N1219:N1282" si="59">IF(D1219=0,0,1)+IF(E1219=0,0,1)+IF(F1219=0,0,1)+IF(G1219=0,0,1)+IF(H1219=0,0,1)+IF(I1219=0,0,1)++IF(J1219=0,0,1)++IF(K1219=0,0,1)</f>
        <v>7</v>
      </c>
    </row>
    <row r="1220" spans="1:14" x14ac:dyDescent="0.35">
      <c r="A1220" t="str">
        <f t="shared" si="57"/>
        <v>18097391001_2027</v>
      </c>
      <c r="B1220">
        <v>18097391001</v>
      </c>
      <c r="C1220">
        <v>2027</v>
      </c>
      <c r="D1220">
        <v>0.7207143357147866</v>
      </c>
      <c r="E1220">
        <v>-2.6785430344679302</v>
      </c>
      <c r="F1220">
        <v>0.2178898131269883</v>
      </c>
      <c r="H1220">
        <v>-0.97394320703798043</v>
      </c>
      <c r="I1220">
        <v>0.8087823270394916</v>
      </c>
      <c r="J1220">
        <v>-0.98848650741010036</v>
      </c>
      <c r="K1220">
        <v>1.4489230569479481</v>
      </c>
      <c r="M1220">
        <f t="shared" si="58"/>
        <v>-1.444663216086796</v>
      </c>
      <c r="N1220">
        <f t="shared" si="59"/>
        <v>7</v>
      </c>
    </row>
    <row r="1221" spans="1:14" x14ac:dyDescent="0.35">
      <c r="A1221" t="str">
        <f t="shared" si="57"/>
        <v>18097391001_2028</v>
      </c>
      <c r="B1221">
        <v>18097391001</v>
      </c>
      <c r="C1221">
        <v>2028</v>
      </c>
      <c r="D1221">
        <v>0.34199466921186711</v>
      </c>
      <c r="E1221">
        <v>-2.7833316273768411</v>
      </c>
      <c r="F1221">
        <v>0.30491558832993892</v>
      </c>
      <c r="H1221">
        <v>-0.77702824301063123</v>
      </c>
      <c r="I1221">
        <v>-2.4325664669951799</v>
      </c>
      <c r="J1221">
        <v>-0.93955168773229636</v>
      </c>
      <c r="K1221">
        <v>1.432863708863314</v>
      </c>
      <c r="M1221">
        <f t="shared" si="58"/>
        <v>-4.8527040587098291</v>
      </c>
      <c r="N1221">
        <f t="shared" si="59"/>
        <v>7</v>
      </c>
    </row>
    <row r="1222" spans="1:14" x14ac:dyDescent="0.35">
      <c r="A1222" t="str">
        <f t="shared" si="57"/>
        <v>18097391002_2024</v>
      </c>
      <c r="B1222">
        <v>18097391002</v>
      </c>
      <c r="C1222">
        <v>2024</v>
      </c>
      <c r="D1222">
        <v>9.3827052100385874E-2</v>
      </c>
      <c r="F1222">
        <v>1.8635708306530721</v>
      </c>
      <c r="G1222">
        <v>0.61356759454709742</v>
      </c>
      <c r="I1222">
        <v>0.35658341993481779</v>
      </c>
      <c r="J1222">
        <v>-2.8545789466070079</v>
      </c>
      <c r="M1222">
        <f t="shared" si="58"/>
        <v>7.2969950628364977E-2</v>
      </c>
      <c r="N1222">
        <f t="shared" si="59"/>
        <v>5</v>
      </c>
    </row>
    <row r="1223" spans="1:14" x14ac:dyDescent="0.35">
      <c r="A1223" t="str">
        <f t="shared" si="57"/>
        <v>18097391002_2025</v>
      </c>
      <c r="B1223">
        <v>18097391002</v>
      </c>
      <c r="C1223">
        <v>2025</v>
      </c>
      <c r="D1223">
        <v>2.8951458978452109</v>
      </c>
      <c r="F1223">
        <v>0.70829061588736153</v>
      </c>
      <c r="G1223">
        <v>0.33090726923045249</v>
      </c>
      <c r="I1223">
        <v>0.61058610359131438</v>
      </c>
      <c r="J1223">
        <v>-2.6418658703432292</v>
      </c>
      <c r="M1223">
        <f t="shared" si="58"/>
        <v>1.9030640162111099</v>
      </c>
      <c r="N1223">
        <f t="shared" si="59"/>
        <v>5</v>
      </c>
    </row>
    <row r="1224" spans="1:14" x14ac:dyDescent="0.35">
      <c r="A1224" t="str">
        <f t="shared" si="57"/>
        <v>18097391002_2026</v>
      </c>
      <c r="B1224">
        <v>18097391002</v>
      </c>
      <c r="C1224">
        <v>2026</v>
      </c>
      <c r="D1224">
        <v>1.9988515485524381</v>
      </c>
      <c r="F1224">
        <v>0.74811150906444657</v>
      </c>
      <c r="G1224">
        <v>1.4114511299647921</v>
      </c>
      <c r="I1224">
        <v>0.58805553143675604</v>
      </c>
      <c r="J1224">
        <v>-2.4099551691862242</v>
      </c>
      <c r="M1224">
        <f t="shared" si="58"/>
        <v>2.3365145498322084</v>
      </c>
      <c r="N1224">
        <f t="shared" si="59"/>
        <v>5</v>
      </c>
    </row>
    <row r="1225" spans="1:14" x14ac:dyDescent="0.35">
      <c r="A1225" t="str">
        <f t="shared" si="57"/>
        <v>18097391002_2027</v>
      </c>
      <c r="B1225">
        <v>18097391002</v>
      </c>
      <c r="C1225">
        <v>2027</v>
      </c>
      <c r="D1225">
        <v>2.7969313753571621</v>
      </c>
      <c r="F1225">
        <v>0.86727041019332396</v>
      </c>
      <c r="G1225">
        <v>0.61191719299711778</v>
      </c>
      <c r="I1225">
        <v>0.53690260316956984</v>
      </c>
      <c r="J1225">
        <v>-2.2929976899119531</v>
      </c>
      <c r="M1225">
        <f t="shared" si="58"/>
        <v>2.5200238918052209</v>
      </c>
      <c r="N1225">
        <f t="shared" si="59"/>
        <v>5</v>
      </c>
    </row>
    <row r="1226" spans="1:14" x14ac:dyDescent="0.35">
      <c r="A1226" t="str">
        <f t="shared" si="57"/>
        <v>18097391002_2028</v>
      </c>
      <c r="B1226">
        <v>18097391002</v>
      </c>
      <c r="C1226">
        <v>2028</v>
      </c>
      <c r="D1226">
        <v>2.7490392267904662</v>
      </c>
      <c r="F1226">
        <v>0.99687493436134755</v>
      </c>
      <c r="G1226">
        <v>1.360296239472196</v>
      </c>
      <c r="I1226">
        <v>0.46479542367816401</v>
      </c>
      <c r="J1226">
        <v>-2.2400176723409908</v>
      </c>
      <c r="M1226">
        <f t="shared" si="58"/>
        <v>3.3309881519611828</v>
      </c>
      <c r="N1226">
        <f t="shared" si="59"/>
        <v>5</v>
      </c>
    </row>
    <row r="1227" spans="1:14" x14ac:dyDescent="0.35">
      <c r="A1227" t="str">
        <f t="shared" si="57"/>
        <v>18097310103_2025</v>
      </c>
      <c r="B1227">
        <v>18097310103</v>
      </c>
      <c r="C1227">
        <v>2025</v>
      </c>
      <c r="E1227">
        <v>-0.1663719055120253</v>
      </c>
      <c r="F1227">
        <v>-0.31989775359473388</v>
      </c>
      <c r="G1227">
        <v>0.38307627148779611</v>
      </c>
      <c r="I1227">
        <v>-3.2295273989172549E-2</v>
      </c>
      <c r="M1227">
        <f t="shared" si="58"/>
        <v>-0.13548866160813561</v>
      </c>
      <c r="N1227">
        <f t="shared" si="59"/>
        <v>4</v>
      </c>
    </row>
    <row r="1228" spans="1:14" x14ac:dyDescent="0.35">
      <c r="A1228" t="str">
        <f t="shared" si="57"/>
        <v>18097310103_2026</v>
      </c>
      <c r="B1228">
        <v>18097310103</v>
      </c>
      <c r="C1228">
        <v>2026</v>
      </c>
      <c r="E1228">
        <v>-0.63036530884524844</v>
      </c>
      <c r="F1228">
        <v>-7.1097232788717097E-3</v>
      </c>
      <c r="G1228">
        <v>0.3292906235419189</v>
      </c>
      <c r="I1228">
        <v>8.4915192192377073E-2</v>
      </c>
      <c r="M1228">
        <f t="shared" si="58"/>
        <v>-0.22326921638982417</v>
      </c>
      <c r="N1228">
        <f t="shared" si="59"/>
        <v>4</v>
      </c>
    </row>
    <row r="1229" spans="1:14" x14ac:dyDescent="0.35">
      <c r="A1229" t="str">
        <f t="shared" si="57"/>
        <v>18097310103_2027</v>
      </c>
      <c r="B1229">
        <v>18097310103</v>
      </c>
      <c r="C1229">
        <v>2027</v>
      </c>
      <c r="E1229">
        <v>-0.1106262201178187</v>
      </c>
      <c r="F1229">
        <v>-0.31415665224296863</v>
      </c>
      <c r="G1229">
        <v>0.43548604647228362</v>
      </c>
      <c r="I1229">
        <v>9.0739648952445726E-2</v>
      </c>
      <c r="M1229">
        <f t="shared" si="58"/>
        <v>0.10144282306394202</v>
      </c>
      <c r="N1229">
        <f t="shared" si="59"/>
        <v>4</v>
      </c>
    </row>
    <row r="1230" spans="1:14" x14ac:dyDescent="0.35">
      <c r="A1230" t="str">
        <f t="shared" si="57"/>
        <v>18097310103_2028</v>
      </c>
      <c r="B1230">
        <v>18097310103</v>
      </c>
      <c r="C1230">
        <v>2028</v>
      </c>
      <c r="E1230">
        <v>-0.45708727683499462</v>
      </c>
      <c r="F1230">
        <v>-1.257914232228436E-2</v>
      </c>
      <c r="G1230">
        <v>0.38550637963520518</v>
      </c>
      <c r="I1230">
        <v>0.16548181023648459</v>
      </c>
      <c r="M1230">
        <f t="shared" si="58"/>
        <v>8.1321770714410796E-2</v>
      </c>
      <c r="N1230">
        <f t="shared" si="59"/>
        <v>4</v>
      </c>
    </row>
    <row r="1231" spans="1:14" x14ac:dyDescent="0.35">
      <c r="A1231" t="str">
        <f t="shared" si="57"/>
        <v>18097320203_2024</v>
      </c>
      <c r="B1231">
        <v>18097320203</v>
      </c>
      <c r="C1231">
        <v>2024</v>
      </c>
      <c r="E1231">
        <v>-5.6898425019765803E-2</v>
      </c>
      <c r="F1231">
        <v>1.485128096656382</v>
      </c>
      <c r="G1231">
        <v>-0.27834917463423398</v>
      </c>
      <c r="H1231">
        <v>-1.2602764544615881E-2</v>
      </c>
      <c r="I1231">
        <v>0.32999820417602282</v>
      </c>
      <c r="M1231">
        <f t="shared" si="58"/>
        <v>1.4672759366337893</v>
      </c>
      <c r="N1231">
        <f t="shared" si="59"/>
        <v>5</v>
      </c>
    </row>
    <row r="1232" spans="1:14" x14ac:dyDescent="0.35">
      <c r="A1232" t="str">
        <f t="shared" si="57"/>
        <v>18097320203_2025</v>
      </c>
      <c r="B1232">
        <v>18097320203</v>
      </c>
      <c r="C1232">
        <v>2025</v>
      </c>
      <c r="E1232">
        <v>-0.3246614723931468</v>
      </c>
      <c r="F1232">
        <v>-0.3071424713302161</v>
      </c>
      <c r="G1232">
        <v>-0.50619396991271137</v>
      </c>
      <c r="H1232">
        <v>-0.83802090491965542</v>
      </c>
      <c r="I1232">
        <v>0.41987658936210492</v>
      </c>
      <c r="M1232">
        <f t="shared" si="58"/>
        <v>-1.5561422291936249</v>
      </c>
      <c r="N1232">
        <f t="shared" si="59"/>
        <v>5</v>
      </c>
    </row>
    <row r="1233" spans="1:14" x14ac:dyDescent="0.35">
      <c r="A1233" t="str">
        <f t="shared" si="57"/>
        <v>18097320203_2026</v>
      </c>
      <c r="B1233">
        <v>18097320203</v>
      </c>
      <c r="C1233">
        <v>2026</v>
      </c>
      <c r="E1233">
        <v>-0.29167207535893119</v>
      </c>
      <c r="F1233">
        <v>0.4566160941001387</v>
      </c>
      <c r="G1233">
        <v>-0.53424274178079478</v>
      </c>
      <c r="H1233">
        <v>-0.67625990204102282</v>
      </c>
      <c r="I1233">
        <v>0.44075416434847708</v>
      </c>
      <c r="M1233">
        <f t="shared" si="58"/>
        <v>-0.60480446073213301</v>
      </c>
      <c r="N1233">
        <f t="shared" si="59"/>
        <v>5</v>
      </c>
    </row>
    <row r="1234" spans="1:14" x14ac:dyDescent="0.35">
      <c r="A1234" t="str">
        <f t="shared" si="57"/>
        <v>18097320203_2027</v>
      </c>
      <c r="B1234">
        <v>18097320203</v>
      </c>
      <c r="C1234">
        <v>2027</v>
      </c>
      <c r="E1234">
        <v>-0.2857206533743748</v>
      </c>
      <c r="F1234">
        <v>-0.1009521484363986</v>
      </c>
      <c r="G1234">
        <v>-0.57375800730362159</v>
      </c>
      <c r="H1234">
        <v>-0.71443213046200282</v>
      </c>
      <c r="I1234">
        <v>0.4207292669008979</v>
      </c>
      <c r="M1234">
        <f t="shared" si="58"/>
        <v>-1.2541336726754997</v>
      </c>
      <c r="N1234">
        <f t="shared" si="59"/>
        <v>5</v>
      </c>
    </row>
    <row r="1235" spans="1:14" x14ac:dyDescent="0.35">
      <c r="A1235" t="str">
        <f t="shared" si="57"/>
        <v>18097320203_2028</v>
      </c>
      <c r="B1235">
        <v>18097320203</v>
      </c>
      <c r="C1235">
        <v>2028</v>
      </c>
      <c r="E1235">
        <v>-0.1818583547236825</v>
      </c>
      <c r="F1235">
        <v>0.41519667771609342</v>
      </c>
      <c r="G1235">
        <v>-0.55339223143551708</v>
      </c>
      <c r="H1235">
        <v>-0.62205818492579823</v>
      </c>
      <c r="I1235">
        <v>0.38233228691496862</v>
      </c>
      <c r="M1235">
        <f t="shared" si="58"/>
        <v>-0.55977980645393588</v>
      </c>
      <c r="N1235">
        <f t="shared" si="59"/>
        <v>5</v>
      </c>
    </row>
    <row r="1236" spans="1:14" x14ac:dyDescent="0.35">
      <c r="A1236" t="str">
        <f t="shared" si="57"/>
        <v>18097320204_2025</v>
      </c>
      <c r="B1236">
        <v>18097320204</v>
      </c>
      <c r="C1236">
        <v>2025</v>
      </c>
      <c r="E1236">
        <v>-0.34314212604024369</v>
      </c>
      <c r="F1236">
        <v>-0.3672985248125093</v>
      </c>
      <c r="G1236">
        <v>-5.6909095967113098E-2</v>
      </c>
      <c r="H1236">
        <v>-0.45367608442936302</v>
      </c>
      <c r="I1236">
        <v>-0.18262186841137321</v>
      </c>
      <c r="M1236">
        <f t="shared" si="58"/>
        <v>-1.4036476996606022</v>
      </c>
      <c r="N1236">
        <f t="shared" si="59"/>
        <v>5</v>
      </c>
    </row>
    <row r="1237" spans="1:14" x14ac:dyDescent="0.35">
      <c r="A1237" t="str">
        <f t="shared" si="57"/>
        <v>18097320204_2026</v>
      </c>
      <c r="B1237">
        <v>18097320204</v>
      </c>
      <c r="C1237">
        <v>2026</v>
      </c>
      <c r="E1237">
        <v>-0.29768433476736011</v>
      </c>
      <c r="F1237">
        <v>-0.32683736150120118</v>
      </c>
      <c r="G1237">
        <v>-0.89021085413705192</v>
      </c>
      <c r="H1237">
        <v>-0.40754006327179032</v>
      </c>
      <c r="I1237">
        <v>-0.22302533780485079</v>
      </c>
      <c r="M1237">
        <f t="shared" si="58"/>
        <v>-2.1452979514822541</v>
      </c>
      <c r="N1237">
        <f t="shared" si="59"/>
        <v>5</v>
      </c>
    </row>
    <row r="1238" spans="1:14" x14ac:dyDescent="0.35">
      <c r="A1238" t="str">
        <f t="shared" si="57"/>
        <v>18097320204_2027</v>
      </c>
      <c r="B1238">
        <v>18097320204</v>
      </c>
      <c r="C1238">
        <v>2027</v>
      </c>
      <c r="E1238">
        <v>-0.27758535225126119</v>
      </c>
      <c r="F1238">
        <v>-0.41438744785196691</v>
      </c>
      <c r="G1238">
        <v>-0.23969588485050089</v>
      </c>
      <c r="H1238">
        <v>-0.47897847079112432</v>
      </c>
      <c r="I1238">
        <v>-7.7284379114329574E-2</v>
      </c>
      <c r="M1238">
        <f t="shared" si="58"/>
        <v>-1.4879315348591831</v>
      </c>
      <c r="N1238">
        <f t="shared" si="59"/>
        <v>5</v>
      </c>
    </row>
    <row r="1239" spans="1:14" x14ac:dyDescent="0.35">
      <c r="A1239" t="str">
        <f t="shared" si="57"/>
        <v>18097320204_2028</v>
      </c>
      <c r="B1239">
        <v>18097320204</v>
      </c>
      <c r="C1239">
        <v>2028</v>
      </c>
      <c r="E1239">
        <v>-0.1715195953769886</v>
      </c>
      <c r="F1239">
        <v>-0.37088713653858052</v>
      </c>
      <c r="G1239">
        <v>-0.81280903969559437</v>
      </c>
      <c r="H1239">
        <v>-0.48108971515797438</v>
      </c>
      <c r="I1239">
        <v>-1.0617217720352221E-2</v>
      </c>
      <c r="M1239">
        <f t="shared" si="58"/>
        <v>-1.84692270448949</v>
      </c>
      <c r="N1239">
        <f t="shared" si="59"/>
        <v>5</v>
      </c>
    </row>
    <row r="1240" spans="1:14" x14ac:dyDescent="0.35">
      <c r="A1240" t="str">
        <f t="shared" si="57"/>
        <v>18097320205_2024</v>
      </c>
      <c r="B1240">
        <v>18097320205</v>
      </c>
      <c r="C1240">
        <v>2024</v>
      </c>
      <c r="E1240">
        <v>0.1609774810066564</v>
      </c>
      <c r="F1240">
        <v>1.508000666733508</v>
      </c>
      <c r="G1240">
        <v>0.65605553365363278</v>
      </c>
      <c r="H1240">
        <v>0.49603096571393029</v>
      </c>
      <c r="I1240">
        <v>-0.2112898333728824</v>
      </c>
      <c r="M1240">
        <f t="shared" si="58"/>
        <v>2.6097748137348451</v>
      </c>
      <c r="N1240">
        <f t="shared" si="59"/>
        <v>5</v>
      </c>
    </row>
    <row r="1241" spans="1:14" x14ac:dyDescent="0.35">
      <c r="A1241" t="str">
        <f t="shared" si="57"/>
        <v>18097320205_2025</v>
      </c>
      <c r="B1241">
        <v>18097320205</v>
      </c>
      <c r="C1241">
        <v>2025</v>
      </c>
      <c r="E1241">
        <v>0.34766213111115568</v>
      </c>
      <c r="F1241">
        <v>-1.1209197761471721</v>
      </c>
      <c r="G1241">
        <v>2.065236135037388</v>
      </c>
      <c r="H1241">
        <v>-2.3006449622223619</v>
      </c>
      <c r="I1241">
        <v>1.14985214210044</v>
      </c>
      <c r="M1241">
        <f t="shared" si="58"/>
        <v>0.14118566987944958</v>
      </c>
      <c r="N1241">
        <f t="shared" si="59"/>
        <v>5</v>
      </c>
    </row>
    <row r="1242" spans="1:14" x14ac:dyDescent="0.35">
      <c r="A1242" t="str">
        <f t="shared" si="57"/>
        <v>18097320205_2026</v>
      </c>
      <c r="B1242">
        <v>18097320205</v>
      </c>
      <c r="C1242">
        <v>2026</v>
      </c>
      <c r="E1242">
        <v>0.27966255169111209</v>
      </c>
      <c r="F1242">
        <v>-0.85907500143931015</v>
      </c>
      <c r="G1242">
        <v>1.9377084463369629</v>
      </c>
      <c r="H1242">
        <v>1.6342229471877989</v>
      </c>
      <c r="I1242">
        <v>0.36276910069612039</v>
      </c>
      <c r="M1242">
        <f t="shared" si="58"/>
        <v>3.3552880444726845</v>
      </c>
      <c r="N1242">
        <f t="shared" si="59"/>
        <v>5</v>
      </c>
    </row>
    <row r="1243" spans="1:14" x14ac:dyDescent="0.35">
      <c r="A1243" t="str">
        <f t="shared" si="57"/>
        <v>18097320205_2027</v>
      </c>
      <c r="B1243">
        <v>18097320205</v>
      </c>
      <c r="C1243">
        <v>2027</v>
      </c>
      <c r="E1243">
        <v>0.37754938446184733</v>
      </c>
      <c r="F1243">
        <v>-1.1826453027207411</v>
      </c>
      <c r="G1243">
        <v>2.307510324368002</v>
      </c>
      <c r="H1243">
        <v>-1.714896281201834</v>
      </c>
      <c r="I1243">
        <v>0.69393051748610801</v>
      </c>
      <c r="M1243">
        <f t="shared" si="58"/>
        <v>0.48144864239338225</v>
      </c>
      <c r="N1243">
        <f t="shared" si="59"/>
        <v>5</v>
      </c>
    </row>
    <row r="1244" spans="1:14" x14ac:dyDescent="0.35">
      <c r="A1244" t="str">
        <f t="shared" si="57"/>
        <v>18097320205_2028</v>
      </c>
      <c r="B1244">
        <v>18097320205</v>
      </c>
      <c r="C1244">
        <v>2028</v>
      </c>
      <c r="E1244">
        <v>0.35728706195665572</v>
      </c>
      <c r="F1244">
        <v>-1.129434515609639</v>
      </c>
      <c r="G1244">
        <v>2.1232053904900261</v>
      </c>
      <c r="H1244">
        <v>0.74526386016525281</v>
      </c>
      <c r="I1244">
        <v>0.43251076833563168</v>
      </c>
      <c r="M1244">
        <f t="shared" si="58"/>
        <v>2.5288325653379276</v>
      </c>
      <c r="N1244">
        <f t="shared" si="59"/>
        <v>5</v>
      </c>
    </row>
    <row r="1245" spans="1:14" x14ac:dyDescent="0.35">
      <c r="A1245" t="str">
        <f t="shared" si="57"/>
        <v>18097320303_2024</v>
      </c>
      <c r="B1245">
        <v>18097320303</v>
      </c>
      <c r="C1245">
        <v>2024</v>
      </c>
      <c r="E1245">
        <v>-0.46018492533079569</v>
      </c>
      <c r="F1245">
        <v>2.2944685519228871</v>
      </c>
      <c r="G1245">
        <v>8.3584168026954925E-2</v>
      </c>
      <c r="H1245">
        <v>0.57169524686106044</v>
      </c>
      <c r="M1245">
        <f t="shared" si="58"/>
        <v>2.4895630414801069</v>
      </c>
      <c r="N1245">
        <f t="shared" si="59"/>
        <v>4</v>
      </c>
    </row>
    <row r="1246" spans="1:14" x14ac:dyDescent="0.35">
      <c r="A1246" t="str">
        <f t="shared" si="57"/>
        <v>18097320303_2025</v>
      </c>
      <c r="B1246">
        <v>18097320303</v>
      </c>
      <c r="C1246">
        <v>2025</v>
      </c>
      <c r="E1246">
        <v>-1.2318036451883709</v>
      </c>
      <c r="F1246">
        <v>0.46492069288817828</v>
      </c>
      <c r="G1246">
        <v>-0.1010229340429545</v>
      </c>
      <c r="H1246">
        <v>2.3983867280762752</v>
      </c>
      <c r="M1246">
        <f t="shared" si="58"/>
        <v>1.5304808417331279</v>
      </c>
      <c r="N1246">
        <f t="shared" si="59"/>
        <v>4</v>
      </c>
    </row>
    <row r="1247" spans="1:14" x14ac:dyDescent="0.35">
      <c r="A1247" t="str">
        <f t="shared" si="57"/>
        <v>18097320303_2026</v>
      </c>
      <c r="B1247">
        <v>18097320303</v>
      </c>
      <c r="C1247">
        <v>2026</v>
      </c>
      <c r="E1247">
        <v>-1.375495885204699</v>
      </c>
      <c r="F1247">
        <v>0.51907819568420221</v>
      </c>
      <c r="G1247">
        <v>-0.31904596522679168</v>
      </c>
      <c r="H1247">
        <v>2.835327240899685</v>
      </c>
      <c r="M1247">
        <f t="shared" si="58"/>
        <v>1.6598635861523965</v>
      </c>
      <c r="N1247">
        <f t="shared" si="59"/>
        <v>4</v>
      </c>
    </row>
    <row r="1248" spans="1:14" x14ac:dyDescent="0.35">
      <c r="A1248" t="str">
        <f t="shared" si="57"/>
        <v>18097320303_2027</v>
      </c>
      <c r="B1248">
        <v>18097320303</v>
      </c>
      <c r="C1248">
        <v>2027</v>
      </c>
      <c r="E1248">
        <v>-1.4562985031691611</v>
      </c>
      <c r="F1248">
        <v>0.59829007599864148</v>
      </c>
      <c r="G1248">
        <v>-0.39793975191879971</v>
      </c>
      <c r="H1248">
        <v>4.4657319744447213</v>
      </c>
      <c r="M1248">
        <f t="shared" si="58"/>
        <v>3.2097837953554018</v>
      </c>
      <c r="N1248">
        <f t="shared" si="59"/>
        <v>4</v>
      </c>
    </row>
    <row r="1249" spans="1:14" x14ac:dyDescent="0.35">
      <c r="A1249" t="str">
        <f t="shared" si="57"/>
        <v>18097320303_2028</v>
      </c>
      <c r="B1249">
        <v>18097320303</v>
      </c>
      <c r="C1249">
        <v>2028</v>
      </c>
      <c r="E1249">
        <v>-1.353980272102586</v>
      </c>
      <c r="F1249">
        <v>0.70404537071948836</v>
      </c>
      <c r="G1249">
        <v>-0.41535157436054337</v>
      </c>
      <c r="H1249">
        <v>3.0929887365066229</v>
      </c>
      <c r="M1249">
        <f t="shared" si="58"/>
        <v>2.027702260762982</v>
      </c>
      <c r="N1249">
        <f t="shared" si="59"/>
        <v>4</v>
      </c>
    </row>
    <row r="1250" spans="1:14" x14ac:dyDescent="0.35">
      <c r="A1250" t="str">
        <f t="shared" si="57"/>
        <v>18097320304_2025</v>
      </c>
      <c r="B1250">
        <v>18097320304</v>
      </c>
      <c r="C1250">
        <v>2025</v>
      </c>
      <c r="E1250">
        <v>-0.20790388933050619</v>
      </c>
      <c r="F1250">
        <v>-0.51352102775252717</v>
      </c>
      <c r="G1250">
        <v>-2.1798825514517499E-3</v>
      </c>
      <c r="I1250">
        <v>2.2316587242084619E-2</v>
      </c>
      <c r="M1250">
        <f t="shared" si="58"/>
        <v>-0.70128821239240047</v>
      </c>
      <c r="N1250">
        <f t="shared" si="59"/>
        <v>4</v>
      </c>
    </row>
    <row r="1251" spans="1:14" x14ac:dyDescent="0.35">
      <c r="A1251" t="str">
        <f t="shared" si="57"/>
        <v>18097320304_2026</v>
      </c>
      <c r="B1251">
        <v>18097320304</v>
      </c>
      <c r="C1251">
        <v>2026</v>
      </c>
      <c r="E1251">
        <v>-0.11030552743400041</v>
      </c>
      <c r="F1251">
        <v>0.22114451868919871</v>
      </c>
      <c r="G1251">
        <v>-4.6851264848603358E-2</v>
      </c>
      <c r="I1251">
        <v>5.2607506098310809E-2</v>
      </c>
      <c r="M1251">
        <f t="shared" si="58"/>
        <v>0.11659523250490575</v>
      </c>
      <c r="N1251">
        <f t="shared" si="59"/>
        <v>4</v>
      </c>
    </row>
    <row r="1252" spans="1:14" x14ac:dyDescent="0.35">
      <c r="A1252" t="str">
        <f t="shared" si="57"/>
        <v>18097320304_2027</v>
      </c>
      <c r="B1252">
        <v>18097320304</v>
      </c>
      <c r="C1252">
        <v>2027</v>
      </c>
      <c r="E1252">
        <v>-0.1143525386099193</v>
      </c>
      <c r="F1252">
        <v>-0.47444696188156471</v>
      </c>
      <c r="G1252">
        <v>-5.8713900124209703E-3</v>
      </c>
      <c r="I1252">
        <v>0.1159361881345214</v>
      </c>
      <c r="M1252">
        <f t="shared" si="58"/>
        <v>-0.47873470236938359</v>
      </c>
      <c r="N1252">
        <f t="shared" si="59"/>
        <v>4</v>
      </c>
    </row>
    <row r="1253" spans="1:14" x14ac:dyDescent="0.35">
      <c r="A1253" t="str">
        <f t="shared" si="57"/>
        <v>18097320304_2028</v>
      </c>
      <c r="B1253">
        <v>18097320304</v>
      </c>
      <c r="C1253">
        <v>2028</v>
      </c>
      <c r="E1253">
        <v>-9.1300448522855897E-3</v>
      </c>
      <c r="F1253">
        <v>0.19395453039038779</v>
      </c>
      <c r="G1253">
        <v>-2.5832145637089261E-2</v>
      </c>
      <c r="I1253">
        <v>0.1555021898444911</v>
      </c>
      <c r="M1253">
        <f t="shared" si="58"/>
        <v>0.31449452974550407</v>
      </c>
      <c r="N1253">
        <f t="shared" si="59"/>
        <v>4</v>
      </c>
    </row>
    <row r="1254" spans="1:14" x14ac:dyDescent="0.35">
      <c r="A1254" t="str">
        <f t="shared" si="57"/>
        <v>18097322600_2025</v>
      </c>
      <c r="B1254">
        <v>18097322600</v>
      </c>
      <c r="C1254">
        <v>2025</v>
      </c>
      <c r="E1254">
        <v>0.45491967459828991</v>
      </c>
      <c r="F1254">
        <v>-0.79482846402969354</v>
      </c>
      <c r="G1254">
        <v>-0.19464784364222301</v>
      </c>
      <c r="H1254">
        <v>-0.73311117695418926</v>
      </c>
      <c r="I1254">
        <v>0.9747775722670956</v>
      </c>
      <c r="M1254">
        <f t="shared" si="58"/>
        <v>-0.29289023776072021</v>
      </c>
      <c r="N1254">
        <f t="shared" si="59"/>
        <v>5</v>
      </c>
    </row>
    <row r="1255" spans="1:14" x14ac:dyDescent="0.35">
      <c r="A1255" t="str">
        <f t="shared" si="57"/>
        <v>18097322600_2026</v>
      </c>
      <c r="B1255">
        <v>18097322600</v>
      </c>
      <c r="C1255">
        <v>2026</v>
      </c>
      <c r="E1255">
        <v>0.54166843596600034</v>
      </c>
      <c r="F1255">
        <v>-0.83954599154349041</v>
      </c>
      <c r="G1255">
        <v>-0.23220547537418049</v>
      </c>
      <c r="H1255">
        <v>-0.5843745212143977</v>
      </c>
      <c r="I1255">
        <v>0.91620257295774121</v>
      </c>
      <c r="M1255">
        <f t="shared" si="58"/>
        <v>-0.19825497920832702</v>
      </c>
      <c r="N1255">
        <f t="shared" si="59"/>
        <v>5</v>
      </c>
    </row>
    <row r="1256" spans="1:14" x14ac:dyDescent="0.35">
      <c r="A1256" t="str">
        <f t="shared" si="57"/>
        <v>18097322600_2027</v>
      </c>
      <c r="B1256">
        <v>18097322600</v>
      </c>
      <c r="C1256">
        <v>2027</v>
      </c>
      <c r="E1256">
        <v>0.52073988675254301</v>
      </c>
      <c r="F1256">
        <v>-0.96013337959493517</v>
      </c>
      <c r="G1256">
        <v>-0.2219045155011902</v>
      </c>
      <c r="H1256">
        <v>-0.64475931873125802</v>
      </c>
      <c r="I1256">
        <v>0.77831209752534758</v>
      </c>
      <c r="M1256">
        <f t="shared" si="58"/>
        <v>-0.52774522954949277</v>
      </c>
      <c r="N1256">
        <f t="shared" si="59"/>
        <v>5</v>
      </c>
    </row>
    <row r="1257" spans="1:14" x14ac:dyDescent="0.35">
      <c r="A1257" t="str">
        <f t="shared" si="57"/>
        <v>18097322600_2028</v>
      </c>
      <c r="B1257">
        <v>18097322600</v>
      </c>
      <c r="C1257">
        <v>2028</v>
      </c>
      <c r="E1257">
        <v>0.53682608962784162</v>
      </c>
      <c r="F1257">
        <v>-0.99969251038063001</v>
      </c>
      <c r="G1257">
        <v>-0.22651999566300229</v>
      </c>
      <c r="H1257">
        <v>-0.57782370601049349</v>
      </c>
      <c r="I1257">
        <v>0.63209216338647545</v>
      </c>
      <c r="M1257">
        <f t="shared" si="58"/>
        <v>-0.63511795903980872</v>
      </c>
      <c r="N1257">
        <f t="shared" si="59"/>
        <v>5</v>
      </c>
    </row>
    <row r="1258" spans="1:14" x14ac:dyDescent="0.35">
      <c r="A1258" t="str">
        <f t="shared" si="57"/>
        <v>18097330203_2024</v>
      </c>
      <c r="B1258">
        <v>18097330203</v>
      </c>
      <c r="C1258">
        <v>2024</v>
      </c>
      <c r="E1258">
        <v>-1.48057952322478E-3</v>
      </c>
      <c r="G1258">
        <v>0.17686107353264871</v>
      </c>
      <c r="I1258">
        <v>0.28370234077754042</v>
      </c>
      <c r="M1258">
        <f t="shared" si="58"/>
        <v>0.45908283478696432</v>
      </c>
      <c r="N1258">
        <f t="shared" si="59"/>
        <v>3</v>
      </c>
    </row>
    <row r="1259" spans="1:14" x14ac:dyDescent="0.35">
      <c r="A1259" t="str">
        <f t="shared" si="57"/>
        <v>18097330203_2025</v>
      </c>
      <c r="B1259">
        <v>18097330203</v>
      </c>
      <c r="C1259">
        <v>2025</v>
      </c>
      <c r="E1259">
        <v>-1.9578930103536878E-2</v>
      </c>
      <c r="F1259">
        <v>0.92619432991928563</v>
      </c>
      <c r="G1259">
        <v>-0.13339243308584919</v>
      </c>
      <c r="I1259">
        <v>0.39553007917605681</v>
      </c>
      <c r="M1259">
        <f t="shared" si="58"/>
        <v>1.1687530459059563</v>
      </c>
      <c r="N1259">
        <f t="shared" si="59"/>
        <v>4</v>
      </c>
    </row>
    <row r="1260" spans="1:14" x14ac:dyDescent="0.35">
      <c r="A1260" t="str">
        <f t="shared" si="57"/>
        <v>18097330203_2026</v>
      </c>
      <c r="B1260">
        <v>18097330203</v>
      </c>
      <c r="C1260">
        <v>2026</v>
      </c>
      <c r="E1260">
        <v>-2.448116860655751E-2</v>
      </c>
      <c r="F1260">
        <v>1.001634336655886</v>
      </c>
      <c r="G1260">
        <v>0.4525447906501463</v>
      </c>
      <c r="I1260">
        <v>0.41240894908816339</v>
      </c>
      <c r="M1260">
        <f t="shared" si="58"/>
        <v>1.8421069077876382</v>
      </c>
      <c r="N1260">
        <f t="shared" si="59"/>
        <v>4</v>
      </c>
    </row>
    <row r="1261" spans="1:14" x14ac:dyDescent="0.35">
      <c r="A1261" t="str">
        <f t="shared" si="57"/>
        <v>18097330203_2027</v>
      </c>
      <c r="B1261">
        <v>18097330203</v>
      </c>
      <c r="C1261">
        <v>2027</v>
      </c>
      <c r="E1261">
        <v>3.0413127595036699E-2</v>
      </c>
      <c r="F1261">
        <v>1.150462373504836</v>
      </c>
      <c r="G1261">
        <v>-2.8447902039593149E-2</v>
      </c>
      <c r="I1261">
        <v>0.39984790898468942</v>
      </c>
      <c r="M1261">
        <f t="shared" si="58"/>
        <v>1.5522755080449691</v>
      </c>
      <c r="N1261">
        <f t="shared" si="59"/>
        <v>4</v>
      </c>
    </row>
    <row r="1262" spans="1:14" x14ac:dyDescent="0.35">
      <c r="A1262" t="str">
        <f t="shared" si="57"/>
        <v>18097330203_2028</v>
      </c>
      <c r="B1262">
        <v>18097330203</v>
      </c>
      <c r="C1262">
        <v>2028</v>
      </c>
      <c r="E1262">
        <v>9.1274816655309218E-2</v>
      </c>
      <c r="F1262">
        <v>1.3072920571211031</v>
      </c>
      <c r="G1262">
        <v>0.4164839578500717</v>
      </c>
      <c r="I1262">
        <v>0.36706600437821718</v>
      </c>
      <c r="M1262">
        <f t="shared" si="58"/>
        <v>2.1821168360047012</v>
      </c>
      <c r="N1262">
        <f t="shared" si="59"/>
        <v>4</v>
      </c>
    </row>
    <row r="1263" spans="1:14" x14ac:dyDescent="0.35">
      <c r="A1263" t="str">
        <f t="shared" si="57"/>
        <v>18097330206_2024</v>
      </c>
      <c r="B1263">
        <v>18097330206</v>
      </c>
      <c r="C1263">
        <v>2024</v>
      </c>
      <c r="E1263">
        <v>-0.1205162150732685</v>
      </c>
      <c r="F1263">
        <v>-1.6545871876239</v>
      </c>
      <c r="G1263">
        <v>-0.1121276242225403</v>
      </c>
      <c r="H1263">
        <v>-5.4189389378271877E-2</v>
      </c>
      <c r="I1263">
        <v>-0.5394078643427106</v>
      </c>
      <c r="M1263">
        <f t="shared" si="58"/>
        <v>-2.4808282806406914</v>
      </c>
      <c r="N1263">
        <f t="shared" si="59"/>
        <v>5</v>
      </c>
    </row>
    <row r="1264" spans="1:14" x14ac:dyDescent="0.35">
      <c r="A1264" t="str">
        <f t="shared" si="57"/>
        <v>18097330206_2025</v>
      </c>
      <c r="B1264">
        <v>18097330206</v>
      </c>
      <c r="C1264">
        <v>2025</v>
      </c>
      <c r="E1264">
        <v>0.33424082534205057</v>
      </c>
      <c r="F1264">
        <v>-0.55287159772525019</v>
      </c>
      <c r="G1264">
        <v>-5.68826312368464E-2</v>
      </c>
      <c r="H1264">
        <v>-0.82381552003015968</v>
      </c>
      <c r="I1264">
        <v>-0.44612408427456057</v>
      </c>
      <c r="M1264">
        <f t="shared" si="58"/>
        <v>-1.5454530079247664</v>
      </c>
      <c r="N1264">
        <f t="shared" si="59"/>
        <v>5</v>
      </c>
    </row>
    <row r="1265" spans="1:14" x14ac:dyDescent="0.35">
      <c r="A1265" t="str">
        <f t="shared" si="57"/>
        <v>18097330206_2026</v>
      </c>
      <c r="B1265">
        <v>18097330206</v>
      </c>
      <c r="C1265">
        <v>2026</v>
      </c>
      <c r="E1265">
        <v>-3.1927091671400093E-2</v>
      </c>
      <c r="F1265">
        <v>-0.35681588989129348</v>
      </c>
      <c r="G1265">
        <v>-8.1318897988091193E-2</v>
      </c>
      <c r="H1265">
        <v>-0.65366647242308951</v>
      </c>
      <c r="I1265">
        <v>-0.44807412040590888</v>
      </c>
      <c r="M1265">
        <f t="shared" si="58"/>
        <v>-1.5718024723797832</v>
      </c>
      <c r="N1265">
        <f t="shared" si="59"/>
        <v>5</v>
      </c>
    </row>
    <row r="1266" spans="1:14" x14ac:dyDescent="0.35">
      <c r="A1266" t="str">
        <f t="shared" si="57"/>
        <v>18097330206_2027</v>
      </c>
      <c r="B1266">
        <v>18097330206</v>
      </c>
      <c r="C1266">
        <v>2027</v>
      </c>
      <c r="E1266">
        <v>0.24755172914655471</v>
      </c>
      <c r="F1266">
        <v>-0.2481472725264319</v>
      </c>
      <c r="G1266">
        <v>-3.666109792864379E-2</v>
      </c>
      <c r="H1266">
        <v>-0.69695655428626391</v>
      </c>
      <c r="I1266">
        <v>-0.30029434310042741</v>
      </c>
      <c r="M1266">
        <f t="shared" si="58"/>
        <v>-1.0345075386952123</v>
      </c>
      <c r="N1266">
        <f t="shared" si="59"/>
        <v>5</v>
      </c>
    </row>
    <row r="1267" spans="1:14" x14ac:dyDescent="0.35">
      <c r="A1267" t="str">
        <f t="shared" si="57"/>
        <v>18097330206_2028</v>
      </c>
      <c r="B1267">
        <v>18097330206</v>
      </c>
      <c r="C1267">
        <v>2028</v>
      </c>
      <c r="E1267">
        <v>0.1602195352983603</v>
      </c>
      <c r="F1267">
        <v>-0.11526596984538701</v>
      </c>
      <c r="G1267">
        <v>-5.058078210529058E-2</v>
      </c>
      <c r="H1267">
        <v>-0.61104546724020425</v>
      </c>
      <c r="I1267">
        <v>-0.17618971154461319</v>
      </c>
      <c r="M1267">
        <f t="shared" si="58"/>
        <v>-0.79286239543713466</v>
      </c>
      <c r="N1267">
        <f t="shared" si="59"/>
        <v>5</v>
      </c>
    </row>
    <row r="1268" spans="1:14" x14ac:dyDescent="0.35">
      <c r="A1268" t="str">
        <f t="shared" si="57"/>
        <v>18097330208_2024</v>
      </c>
      <c r="B1268">
        <v>18097330208</v>
      </c>
      <c r="C1268">
        <v>2024</v>
      </c>
      <c r="E1268">
        <v>-5.6614505713292696E-3</v>
      </c>
      <c r="F1268">
        <v>-1.141291545253968</v>
      </c>
      <c r="G1268">
        <v>8.8901552447141503E-3</v>
      </c>
      <c r="H1268">
        <v>0.1333196367556268</v>
      </c>
      <c r="I1268">
        <v>-0.54558400252673334</v>
      </c>
      <c r="M1268">
        <f t="shared" si="58"/>
        <v>-1.5503272063516895</v>
      </c>
      <c r="N1268">
        <f t="shared" si="59"/>
        <v>5</v>
      </c>
    </row>
    <row r="1269" spans="1:14" x14ac:dyDescent="0.35">
      <c r="A1269" t="str">
        <f t="shared" si="57"/>
        <v>18097330208_2025</v>
      </c>
      <c r="B1269">
        <v>18097330208</v>
      </c>
      <c r="C1269">
        <v>2025</v>
      </c>
      <c r="E1269">
        <v>-0.22269356315576891</v>
      </c>
      <c r="F1269">
        <v>-0.2231158660846323</v>
      </c>
      <c r="G1269">
        <v>-4.8133854956521317E-2</v>
      </c>
      <c r="H1269">
        <v>-0.84451879548319886</v>
      </c>
      <c r="I1269">
        <v>0.3170033849273976</v>
      </c>
      <c r="M1269">
        <f t="shared" si="58"/>
        <v>-1.0214586947527238</v>
      </c>
      <c r="N1269">
        <f t="shared" si="59"/>
        <v>5</v>
      </c>
    </row>
    <row r="1270" spans="1:14" x14ac:dyDescent="0.35">
      <c r="A1270" t="str">
        <f t="shared" si="57"/>
        <v>18097330208_2026</v>
      </c>
      <c r="B1270">
        <v>18097330208</v>
      </c>
      <c r="C1270">
        <v>2026</v>
      </c>
      <c r="E1270">
        <v>-0.14300807035931379</v>
      </c>
      <c r="F1270">
        <v>-0.22888050008427829</v>
      </c>
      <c r="G1270">
        <v>-0.1906022751155502</v>
      </c>
      <c r="H1270">
        <v>-0.26935772692817</v>
      </c>
      <c r="I1270">
        <v>-0.10905261783851559</v>
      </c>
      <c r="M1270">
        <f t="shared" si="58"/>
        <v>-0.94090119032582797</v>
      </c>
      <c r="N1270">
        <f t="shared" si="59"/>
        <v>5</v>
      </c>
    </row>
    <row r="1271" spans="1:14" x14ac:dyDescent="0.35">
      <c r="A1271" t="str">
        <f t="shared" si="57"/>
        <v>18097330208_2027</v>
      </c>
      <c r="B1271">
        <v>18097330208</v>
      </c>
      <c r="C1271">
        <v>2027</v>
      </c>
      <c r="E1271">
        <v>-0.1317951679963443</v>
      </c>
      <c r="F1271">
        <v>-0.26012476102074761</v>
      </c>
      <c r="G1271">
        <v>-0.21895412968078379</v>
      </c>
      <c r="H1271">
        <v>-0.5698920611862075</v>
      </c>
      <c r="I1271">
        <v>0.1662991837801735</v>
      </c>
      <c r="M1271">
        <f t="shared" si="58"/>
        <v>-1.0144669361039098</v>
      </c>
      <c r="N1271">
        <f t="shared" si="59"/>
        <v>5</v>
      </c>
    </row>
    <row r="1272" spans="1:14" x14ac:dyDescent="0.35">
      <c r="A1272" t="str">
        <f t="shared" si="57"/>
        <v>18097330208_2028</v>
      </c>
      <c r="B1272">
        <v>18097330208</v>
      </c>
      <c r="C1272">
        <v>2028</v>
      </c>
      <c r="E1272">
        <v>-3.4672311203892567E-2</v>
      </c>
      <c r="F1272">
        <v>-0.23451888217291941</v>
      </c>
      <c r="G1272">
        <v>-0.2404227175965078</v>
      </c>
      <c r="H1272">
        <v>-0.46509407259532098</v>
      </c>
      <c r="I1272">
        <v>0.1232225649204912</v>
      </c>
      <c r="M1272">
        <f t="shared" si="58"/>
        <v>-0.85148541864814953</v>
      </c>
      <c r="N1272">
        <f t="shared" si="59"/>
        <v>5</v>
      </c>
    </row>
    <row r="1273" spans="1:14" x14ac:dyDescent="0.35">
      <c r="A1273" t="str">
        <f t="shared" si="57"/>
        <v>18097330209_2025</v>
      </c>
      <c r="B1273">
        <v>18097330209</v>
      </c>
      <c r="C1273">
        <v>2025</v>
      </c>
      <c r="E1273">
        <v>-1.4464077101506421</v>
      </c>
      <c r="F1273">
        <v>1.583505298725316</v>
      </c>
      <c r="G1273">
        <v>0.3587529412903811</v>
      </c>
      <c r="H1273">
        <v>-0.74853964260971739</v>
      </c>
      <c r="I1273">
        <v>-0.69250481797517627</v>
      </c>
      <c r="M1273">
        <f t="shared" si="58"/>
        <v>-0.9451939307198387</v>
      </c>
      <c r="N1273">
        <f t="shared" si="59"/>
        <v>5</v>
      </c>
    </row>
    <row r="1274" spans="1:14" x14ac:dyDescent="0.35">
      <c r="A1274" t="str">
        <f t="shared" si="57"/>
        <v>18097330209_2026</v>
      </c>
      <c r="B1274">
        <v>18097330209</v>
      </c>
      <c r="C1274">
        <v>2026</v>
      </c>
      <c r="E1274">
        <v>-1.593641815390697</v>
      </c>
      <c r="F1274">
        <v>1.7166824410595829</v>
      </c>
      <c r="G1274">
        <v>0.30068170801752903</v>
      </c>
      <c r="H1274">
        <v>-0.60606764207848085</v>
      </c>
      <c r="I1274">
        <v>-0.6733588645751124</v>
      </c>
      <c r="M1274">
        <f t="shared" si="58"/>
        <v>-0.85570417296717838</v>
      </c>
      <c r="N1274">
        <f t="shared" si="59"/>
        <v>5</v>
      </c>
    </row>
    <row r="1275" spans="1:14" x14ac:dyDescent="0.35">
      <c r="A1275" t="str">
        <f t="shared" si="57"/>
        <v>18097330209_2027</v>
      </c>
      <c r="B1275">
        <v>18097330209</v>
      </c>
      <c r="C1275">
        <v>2027</v>
      </c>
      <c r="E1275">
        <v>-1.696067212097977</v>
      </c>
      <c r="F1275">
        <v>1.9729260532948301</v>
      </c>
      <c r="G1275">
        <v>0.39919460198012141</v>
      </c>
      <c r="H1275">
        <v>-0.65816231998356134</v>
      </c>
      <c r="I1275">
        <v>-0.50716341419460031</v>
      </c>
      <c r="M1275">
        <f t="shared" si="58"/>
        <v>-0.48927229100118719</v>
      </c>
      <c r="N1275">
        <f t="shared" si="59"/>
        <v>5</v>
      </c>
    </row>
    <row r="1276" spans="1:14" x14ac:dyDescent="0.35">
      <c r="A1276" t="str">
        <f t="shared" si="57"/>
        <v>18097330209_2028</v>
      </c>
      <c r="B1276">
        <v>18097330209</v>
      </c>
      <c r="C1276">
        <v>2028</v>
      </c>
      <c r="E1276">
        <v>-1.612589423959734</v>
      </c>
      <c r="F1276">
        <v>2.2069163444950131</v>
      </c>
      <c r="G1276">
        <v>0.35045953613115849</v>
      </c>
      <c r="H1276">
        <v>-0.5872244565315573</v>
      </c>
      <c r="I1276">
        <v>-0.3493819591748854</v>
      </c>
      <c r="M1276">
        <f t="shared" si="58"/>
        <v>8.1800409599947499E-3</v>
      </c>
      <c r="N1276">
        <f t="shared" si="59"/>
        <v>5</v>
      </c>
    </row>
    <row r="1277" spans="1:14" x14ac:dyDescent="0.35">
      <c r="A1277" t="str">
        <f t="shared" si="57"/>
        <v>18097330213_2024</v>
      </c>
      <c r="B1277">
        <v>18097330213</v>
      </c>
      <c r="C1277">
        <v>2024</v>
      </c>
      <c r="E1277">
        <v>0.23802456396167329</v>
      </c>
      <c r="F1277">
        <v>-0.99287078569705323</v>
      </c>
      <c r="G1277">
        <v>-0.31889406569393758</v>
      </c>
      <c r="I1277">
        <v>0.6336528365436892</v>
      </c>
      <c r="M1277">
        <f t="shared" si="58"/>
        <v>-0.4400874508856284</v>
      </c>
      <c r="N1277">
        <f t="shared" si="59"/>
        <v>4</v>
      </c>
    </row>
    <row r="1278" spans="1:14" x14ac:dyDescent="0.35">
      <c r="A1278" t="str">
        <f t="shared" si="57"/>
        <v>18097330213_2025</v>
      </c>
      <c r="B1278">
        <v>18097330213</v>
      </c>
      <c r="C1278">
        <v>2025</v>
      </c>
      <c r="E1278">
        <v>0.39383042236406562</v>
      </c>
      <c r="F1278">
        <v>-1.352601453732984</v>
      </c>
      <c r="G1278">
        <v>-0.52698312902509692</v>
      </c>
      <c r="I1278">
        <v>0.70037055042640595</v>
      </c>
      <c r="M1278">
        <f t="shared" si="58"/>
        <v>-0.78538360996760948</v>
      </c>
      <c r="N1278">
        <f t="shared" si="59"/>
        <v>4</v>
      </c>
    </row>
    <row r="1279" spans="1:14" x14ac:dyDescent="0.35">
      <c r="A1279" t="str">
        <f t="shared" si="57"/>
        <v>18097330213_2026</v>
      </c>
      <c r="B1279">
        <v>18097330213</v>
      </c>
      <c r="C1279">
        <v>2026</v>
      </c>
      <c r="E1279">
        <v>0.43940638082848821</v>
      </c>
      <c r="F1279">
        <v>-1.438832240623902</v>
      </c>
      <c r="G1279">
        <v>-0.56687002981001111</v>
      </c>
      <c r="I1279">
        <v>0.69879681031037899</v>
      </c>
      <c r="M1279">
        <f t="shared" si="58"/>
        <v>-0.86749907929504588</v>
      </c>
      <c r="N1279">
        <f t="shared" si="59"/>
        <v>4</v>
      </c>
    </row>
    <row r="1280" spans="1:14" x14ac:dyDescent="0.35">
      <c r="A1280" t="str">
        <f t="shared" si="57"/>
        <v>18097330213_2027</v>
      </c>
      <c r="B1280">
        <v>18097330213</v>
      </c>
      <c r="C1280">
        <v>2027</v>
      </c>
      <c r="E1280">
        <v>0.43884517420781882</v>
      </c>
      <c r="F1280">
        <v>-1.6476948554287849</v>
      </c>
      <c r="G1280">
        <v>-0.60966505186630704</v>
      </c>
      <c r="I1280">
        <v>0.61616664878032901</v>
      </c>
      <c r="M1280">
        <f t="shared" si="58"/>
        <v>-1.2023480843069441</v>
      </c>
      <c r="N1280">
        <f t="shared" si="59"/>
        <v>4</v>
      </c>
    </row>
    <row r="1281" spans="1:14" x14ac:dyDescent="0.35">
      <c r="A1281" t="str">
        <f t="shared" si="57"/>
        <v>18097330213_2028</v>
      </c>
      <c r="B1281">
        <v>18097330213</v>
      </c>
      <c r="C1281">
        <v>2028</v>
      </c>
      <c r="E1281">
        <v>0.46435894677396022</v>
      </c>
      <c r="F1281">
        <v>-1.7513565387432439</v>
      </c>
      <c r="G1281">
        <v>-0.58702476097604184</v>
      </c>
      <c r="I1281">
        <v>0.52091815435303102</v>
      </c>
      <c r="M1281">
        <f t="shared" si="58"/>
        <v>-1.3531041985922945</v>
      </c>
      <c r="N1281">
        <f t="shared" si="59"/>
        <v>4</v>
      </c>
    </row>
    <row r="1282" spans="1:14" x14ac:dyDescent="0.35">
      <c r="A1282" t="str">
        <f t="shared" si="57"/>
        <v>18097330700_2025</v>
      </c>
      <c r="B1282">
        <v>18097330700</v>
      </c>
      <c r="C1282">
        <v>2025</v>
      </c>
      <c r="E1282">
        <v>0.95688833076791202</v>
      </c>
      <c r="F1282">
        <v>5.5746739912181931E-2</v>
      </c>
      <c r="G1282">
        <v>0.16281433930471981</v>
      </c>
      <c r="I1282">
        <v>4.1043690545203022E-2</v>
      </c>
      <c r="M1282">
        <f t="shared" si="58"/>
        <v>1.2164931005300168</v>
      </c>
      <c r="N1282">
        <f t="shared" si="59"/>
        <v>4</v>
      </c>
    </row>
    <row r="1283" spans="1:14" x14ac:dyDescent="0.35">
      <c r="A1283" t="str">
        <f t="shared" ref="A1283:A1346" si="60">TEXT(B1283,0)&amp;"_"&amp;TEXT(C1283,0)</f>
        <v>18097330700_2026</v>
      </c>
      <c r="B1283">
        <v>18097330700</v>
      </c>
      <c r="C1283">
        <v>2026</v>
      </c>
      <c r="E1283">
        <v>1.021828478932574</v>
      </c>
      <c r="F1283">
        <v>7.4334709699302878E-2</v>
      </c>
      <c r="G1283">
        <v>0.11377456293120421</v>
      </c>
      <c r="I1283">
        <v>7.0639707210146979E-2</v>
      </c>
      <c r="M1283">
        <f t="shared" ref="M1283:M1346" si="61">SUM(D1283:K1283)</f>
        <v>1.2805774587732279</v>
      </c>
      <c r="N1283">
        <f t="shared" ref="N1283:N1346" si="62">IF(D1283=0,0,1)+IF(E1283=0,0,1)+IF(F1283=0,0,1)+IF(G1283=0,0,1)+IF(H1283=0,0,1)+IF(I1283=0,0,1)++IF(J1283=0,0,1)++IF(K1283=0,0,1)</f>
        <v>4</v>
      </c>
    </row>
    <row r="1284" spans="1:14" x14ac:dyDescent="0.35">
      <c r="A1284" t="str">
        <f t="shared" si="60"/>
        <v>18097330700_2027</v>
      </c>
      <c r="B1284">
        <v>18097330700</v>
      </c>
      <c r="C1284">
        <v>2027</v>
      </c>
      <c r="E1284">
        <v>0.94527336388026084</v>
      </c>
      <c r="F1284">
        <v>8.8362494098189012E-2</v>
      </c>
      <c r="G1284">
        <v>0.18210863158855289</v>
      </c>
      <c r="I1284">
        <v>0.13060568694239361</v>
      </c>
      <c r="M1284">
        <f t="shared" si="61"/>
        <v>1.3463501765093966</v>
      </c>
      <c r="N1284">
        <f t="shared" si="62"/>
        <v>4</v>
      </c>
    </row>
    <row r="1285" spans="1:14" x14ac:dyDescent="0.35">
      <c r="A1285" t="str">
        <f t="shared" si="60"/>
        <v>18097330700_2028</v>
      </c>
      <c r="B1285">
        <v>18097330700</v>
      </c>
      <c r="C1285">
        <v>2028</v>
      </c>
      <c r="E1285">
        <v>0.88661805648010605</v>
      </c>
      <c r="F1285">
        <v>0.14655645712858231</v>
      </c>
      <c r="G1285">
        <v>0.14905862054477009</v>
      </c>
      <c r="I1285">
        <v>0.1666860278966984</v>
      </c>
      <c r="M1285">
        <f t="shared" si="61"/>
        <v>1.3489191620501568</v>
      </c>
      <c r="N1285">
        <f t="shared" si="62"/>
        <v>4</v>
      </c>
    </row>
    <row r="1286" spans="1:14" x14ac:dyDescent="0.35">
      <c r="A1286" t="str">
        <f t="shared" si="60"/>
        <v>18097340109_2025</v>
      </c>
      <c r="B1286">
        <v>18097340109</v>
      </c>
      <c r="C1286">
        <v>2025</v>
      </c>
      <c r="E1286">
        <v>0.28296325927141219</v>
      </c>
      <c r="F1286">
        <v>-7.6626546326653402E-2</v>
      </c>
      <c r="G1286">
        <v>-0.89576212761344098</v>
      </c>
      <c r="H1286">
        <v>-0.83743904035891081</v>
      </c>
      <c r="I1286">
        <v>-0.16735295444056161</v>
      </c>
      <c r="M1286">
        <f t="shared" si="61"/>
        <v>-1.6942174094681548</v>
      </c>
      <c r="N1286">
        <f t="shared" si="62"/>
        <v>5</v>
      </c>
    </row>
    <row r="1287" spans="1:14" x14ac:dyDescent="0.35">
      <c r="A1287" t="str">
        <f t="shared" si="60"/>
        <v>18097340109_2026</v>
      </c>
      <c r="B1287">
        <v>18097340109</v>
      </c>
      <c r="C1287">
        <v>2026</v>
      </c>
      <c r="E1287">
        <v>0.26118752181389232</v>
      </c>
      <c r="F1287">
        <v>1.010462170261762</v>
      </c>
      <c r="G1287">
        <v>-0.83997694779854604</v>
      </c>
      <c r="H1287">
        <v>-0.80711685714743053</v>
      </c>
      <c r="I1287">
        <v>-0.14645073034403239</v>
      </c>
      <c r="M1287">
        <f t="shared" si="61"/>
        <v>-0.52189484321435464</v>
      </c>
      <c r="N1287">
        <f t="shared" si="62"/>
        <v>5</v>
      </c>
    </row>
    <row r="1288" spans="1:14" x14ac:dyDescent="0.35">
      <c r="A1288" t="str">
        <f t="shared" si="60"/>
        <v>18097340109_2027</v>
      </c>
      <c r="B1288">
        <v>18097340109</v>
      </c>
      <c r="C1288">
        <v>2027</v>
      </c>
      <c r="E1288">
        <v>0.33791190323526771</v>
      </c>
      <c r="F1288">
        <v>-3.9080475141156801E-3</v>
      </c>
      <c r="G1288">
        <v>-0.98812954184219803</v>
      </c>
      <c r="H1288">
        <v>-0.74015421895618538</v>
      </c>
      <c r="I1288">
        <v>-4.3327338086411628E-2</v>
      </c>
      <c r="M1288">
        <f t="shared" si="61"/>
        <v>-1.4376072431636431</v>
      </c>
      <c r="N1288">
        <f t="shared" si="62"/>
        <v>5</v>
      </c>
    </row>
    <row r="1289" spans="1:14" x14ac:dyDescent="0.35">
      <c r="A1289" t="str">
        <f t="shared" si="60"/>
        <v>18097340109_2028</v>
      </c>
      <c r="B1289">
        <v>18097340109</v>
      </c>
      <c r="C1289">
        <v>2028</v>
      </c>
      <c r="E1289">
        <v>0.33147286927716613</v>
      </c>
      <c r="F1289">
        <v>1.2392519434239071</v>
      </c>
      <c r="G1289">
        <v>-0.89872709772215265</v>
      </c>
      <c r="H1289">
        <v>-0.66617954189340833</v>
      </c>
      <c r="I1289">
        <v>3.0255092456739019E-2</v>
      </c>
      <c r="M1289">
        <f t="shared" si="61"/>
        <v>3.6073265542251376E-2</v>
      </c>
      <c r="N1289">
        <f t="shared" si="62"/>
        <v>5</v>
      </c>
    </row>
    <row r="1290" spans="1:14" x14ac:dyDescent="0.35">
      <c r="A1290" t="str">
        <f t="shared" si="60"/>
        <v>18097340300_2025</v>
      </c>
      <c r="B1290">
        <v>18097340300</v>
      </c>
      <c r="C1290">
        <v>2025</v>
      </c>
      <c r="E1290">
        <v>-0.30559285114471041</v>
      </c>
      <c r="F1290">
        <v>0.22317176923411269</v>
      </c>
      <c r="G1290">
        <v>0.10604683004509539</v>
      </c>
      <c r="I1290">
        <v>-3.1374551125949148</v>
      </c>
      <c r="M1290">
        <f t="shared" si="61"/>
        <v>-3.1138293644604174</v>
      </c>
      <c r="N1290">
        <f t="shared" si="62"/>
        <v>4</v>
      </c>
    </row>
    <row r="1291" spans="1:14" x14ac:dyDescent="0.35">
      <c r="A1291" t="str">
        <f t="shared" si="60"/>
        <v>18097340300_2026</v>
      </c>
      <c r="B1291">
        <v>18097340300</v>
      </c>
      <c r="C1291">
        <v>2026</v>
      </c>
      <c r="E1291">
        <v>-0.24458937403998779</v>
      </c>
      <c r="F1291">
        <v>0.24852917298939151</v>
      </c>
      <c r="G1291">
        <v>5.205129187323345E-2</v>
      </c>
      <c r="I1291">
        <v>-3.807859050863704</v>
      </c>
      <c r="M1291">
        <f t="shared" si="61"/>
        <v>-3.7518679600410669</v>
      </c>
      <c r="N1291">
        <f t="shared" si="62"/>
        <v>4</v>
      </c>
    </row>
    <row r="1292" spans="1:14" x14ac:dyDescent="0.35">
      <c r="A1292" t="str">
        <f t="shared" si="60"/>
        <v>18097340300_2027</v>
      </c>
      <c r="B1292">
        <v>18097340300</v>
      </c>
      <c r="C1292">
        <v>2027</v>
      </c>
      <c r="E1292">
        <v>-0.2291766045318672</v>
      </c>
      <c r="F1292">
        <v>0.29186136607126473</v>
      </c>
      <c r="G1292">
        <v>0.1121115251287685</v>
      </c>
      <c r="I1292">
        <v>-4.2373203769396417</v>
      </c>
      <c r="M1292">
        <f t="shared" si="61"/>
        <v>-4.0625240902714754</v>
      </c>
      <c r="N1292">
        <f t="shared" si="62"/>
        <v>4</v>
      </c>
    </row>
    <row r="1293" spans="1:14" x14ac:dyDescent="0.35">
      <c r="A1293" t="str">
        <f t="shared" si="60"/>
        <v>18097340300_2028</v>
      </c>
      <c r="B1293">
        <v>18097340300</v>
      </c>
      <c r="C1293">
        <v>2028</v>
      </c>
      <c r="E1293">
        <v>-0.1249497371491135</v>
      </c>
      <c r="F1293">
        <v>0.3668024635901922</v>
      </c>
      <c r="G1293">
        <v>8.2668632114567472E-2</v>
      </c>
      <c r="I1293">
        <v>-5.3932655993580774</v>
      </c>
      <c r="M1293">
        <f t="shared" si="61"/>
        <v>-5.068744240802431</v>
      </c>
      <c r="N1293">
        <f t="shared" si="62"/>
        <v>4</v>
      </c>
    </row>
    <row r="1294" spans="1:14" x14ac:dyDescent="0.35">
      <c r="A1294" t="str">
        <f t="shared" si="60"/>
        <v>18097340902_2025</v>
      </c>
      <c r="B1294">
        <v>18097340902</v>
      </c>
      <c r="C1294">
        <v>2025</v>
      </c>
      <c r="E1294">
        <v>0.52724894214106</v>
      </c>
      <c r="F1294">
        <v>-0.54883168354211476</v>
      </c>
      <c r="G1294">
        <v>-0.1353227755201519</v>
      </c>
      <c r="I1294">
        <v>1.7099095110944329</v>
      </c>
      <c r="M1294">
        <f t="shared" si="61"/>
        <v>1.5530039941732263</v>
      </c>
      <c r="N1294">
        <f t="shared" si="62"/>
        <v>4</v>
      </c>
    </row>
    <row r="1295" spans="1:14" x14ac:dyDescent="0.35">
      <c r="A1295" t="str">
        <f t="shared" si="60"/>
        <v>18097340902_2026</v>
      </c>
      <c r="B1295">
        <v>18097340902</v>
      </c>
      <c r="C1295">
        <v>2026</v>
      </c>
      <c r="E1295">
        <v>0.55570482502390994</v>
      </c>
      <c r="F1295">
        <v>-0.63428661590863322</v>
      </c>
      <c r="G1295">
        <v>-0.22377527542074849</v>
      </c>
      <c r="I1295">
        <v>-0.17074616955140451</v>
      </c>
      <c r="M1295">
        <f t="shared" si="61"/>
        <v>-0.4731032358568763</v>
      </c>
      <c r="N1295">
        <f t="shared" si="62"/>
        <v>4</v>
      </c>
    </row>
    <row r="1296" spans="1:14" x14ac:dyDescent="0.35">
      <c r="A1296" t="str">
        <f t="shared" si="60"/>
        <v>18097340902_2027</v>
      </c>
      <c r="B1296">
        <v>18097340902</v>
      </c>
      <c r="C1296">
        <v>2027</v>
      </c>
      <c r="E1296">
        <v>0.56504725258063249</v>
      </c>
      <c r="F1296">
        <v>-0.66560421559294491</v>
      </c>
      <c r="G1296">
        <v>-0.1641429031815046</v>
      </c>
      <c r="I1296">
        <v>1.277070202027583</v>
      </c>
      <c r="M1296">
        <f t="shared" si="61"/>
        <v>1.0123703358337659</v>
      </c>
      <c r="N1296">
        <f t="shared" si="62"/>
        <v>4</v>
      </c>
    </row>
    <row r="1297" spans="1:14" x14ac:dyDescent="0.35">
      <c r="A1297" t="str">
        <f t="shared" si="60"/>
        <v>18097340902_2028</v>
      </c>
      <c r="B1297">
        <v>18097340902</v>
      </c>
      <c r="C1297">
        <v>2028</v>
      </c>
      <c r="E1297">
        <v>0.55798077494503973</v>
      </c>
      <c r="F1297">
        <v>-0.73399600117552732</v>
      </c>
      <c r="G1297">
        <v>-0.21047147467140859</v>
      </c>
      <c r="I1297">
        <v>6.172502184334705E-2</v>
      </c>
      <c r="M1297">
        <f t="shared" si="61"/>
        <v>-0.32476167905854914</v>
      </c>
      <c r="N1297">
        <f t="shared" si="62"/>
        <v>4</v>
      </c>
    </row>
    <row r="1298" spans="1:14" x14ac:dyDescent="0.35">
      <c r="A1298" t="str">
        <f t="shared" si="60"/>
        <v>18097341700_2025</v>
      </c>
      <c r="B1298">
        <v>18097341700</v>
      </c>
      <c r="C1298">
        <v>2025</v>
      </c>
      <c r="E1298">
        <v>-3.4378302472729012</v>
      </c>
      <c r="F1298">
        <v>0.42040850219279668</v>
      </c>
      <c r="G1298">
        <v>0.26375762403961173</v>
      </c>
      <c r="H1298">
        <v>-8.7628743870453288E-2</v>
      </c>
      <c r="I1298">
        <v>-0.12897885506226031</v>
      </c>
      <c r="M1298">
        <f t="shared" si="61"/>
        <v>-2.9702717199732063</v>
      </c>
      <c r="N1298">
        <f t="shared" si="62"/>
        <v>5</v>
      </c>
    </row>
    <row r="1299" spans="1:14" x14ac:dyDescent="0.35">
      <c r="A1299" t="str">
        <f t="shared" si="60"/>
        <v>18097341700_2026</v>
      </c>
      <c r="B1299">
        <v>18097341700</v>
      </c>
      <c r="C1299">
        <v>2026</v>
      </c>
      <c r="E1299">
        <v>1.6148507223836379</v>
      </c>
      <c r="F1299">
        <v>0.46179870394320471</v>
      </c>
      <c r="G1299">
        <v>-0.73812605269739595</v>
      </c>
      <c r="H1299">
        <v>-0.25367605005724331</v>
      </c>
      <c r="I1299">
        <v>-9.1407385826078616E-2</v>
      </c>
      <c r="M1299">
        <f t="shared" si="61"/>
        <v>0.99343993774612449</v>
      </c>
      <c r="N1299">
        <f t="shared" si="62"/>
        <v>5</v>
      </c>
    </row>
    <row r="1300" spans="1:14" x14ac:dyDescent="0.35">
      <c r="A1300" t="str">
        <f t="shared" si="60"/>
        <v>18097341700_2027</v>
      </c>
      <c r="B1300">
        <v>18097341700</v>
      </c>
      <c r="C1300">
        <v>2027</v>
      </c>
      <c r="E1300">
        <v>-3.325301815152689</v>
      </c>
      <c r="F1300">
        <v>0.53515302147147292</v>
      </c>
      <c r="G1300">
        <v>0.1064155937041088</v>
      </c>
      <c r="H1300">
        <v>-0.24813639788370381</v>
      </c>
      <c r="I1300">
        <v>-3.7559811765545299E-3</v>
      </c>
      <c r="M1300">
        <f t="shared" si="61"/>
        <v>-2.935625579037366</v>
      </c>
      <c r="N1300">
        <f t="shared" si="62"/>
        <v>5</v>
      </c>
    </row>
    <row r="1301" spans="1:14" x14ac:dyDescent="0.35">
      <c r="A1301" t="str">
        <f t="shared" si="60"/>
        <v>18097341700_2028</v>
      </c>
      <c r="B1301">
        <v>18097341700</v>
      </c>
      <c r="C1301">
        <v>2028</v>
      </c>
      <c r="E1301">
        <v>1.0129646494766891</v>
      </c>
      <c r="F1301">
        <v>0.6338870826796672</v>
      </c>
      <c r="G1301">
        <v>-0.63594224450213133</v>
      </c>
      <c r="H1301">
        <v>-0.37148662516757192</v>
      </c>
      <c r="I1301">
        <v>6.3484672058142219E-2</v>
      </c>
      <c r="M1301">
        <f t="shared" si="61"/>
        <v>0.70290753454479515</v>
      </c>
      <c r="N1301">
        <f t="shared" si="62"/>
        <v>5</v>
      </c>
    </row>
    <row r="1302" spans="1:14" x14ac:dyDescent="0.35">
      <c r="A1302" t="str">
        <f t="shared" si="60"/>
        <v>18097354200_2025</v>
      </c>
      <c r="B1302">
        <v>18097354200</v>
      </c>
      <c r="C1302">
        <v>2025</v>
      </c>
      <c r="E1302">
        <v>0.28026216124796482</v>
      </c>
      <c r="F1302">
        <v>0.32030342161094227</v>
      </c>
      <c r="G1302">
        <v>-0.25521575593725171</v>
      </c>
      <c r="H1302">
        <v>-0.63961048572770363</v>
      </c>
      <c r="I1302">
        <v>0.20864008761784181</v>
      </c>
      <c r="M1302">
        <f t="shared" si="61"/>
        <v>-8.5620571188206374E-2</v>
      </c>
      <c r="N1302">
        <f t="shared" si="62"/>
        <v>5</v>
      </c>
    </row>
    <row r="1303" spans="1:14" x14ac:dyDescent="0.35">
      <c r="A1303" t="str">
        <f t="shared" si="60"/>
        <v>18097354200_2026</v>
      </c>
      <c r="B1303">
        <v>18097354200</v>
      </c>
      <c r="C1303">
        <v>2026</v>
      </c>
      <c r="E1303">
        <v>0.17281108027014991</v>
      </c>
      <c r="F1303">
        <v>0.33074277971167981</v>
      </c>
      <c r="G1303">
        <v>-0.29049312018389539</v>
      </c>
      <c r="H1303">
        <v>-0.53992678049945009</v>
      </c>
      <c r="I1303">
        <v>0.2268913903065112</v>
      </c>
      <c r="M1303">
        <f t="shared" si="61"/>
        <v>-9.9974650395004611E-2</v>
      </c>
      <c r="N1303">
        <f t="shared" si="62"/>
        <v>5</v>
      </c>
    </row>
    <row r="1304" spans="1:14" x14ac:dyDescent="0.35">
      <c r="A1304" t="str">
        <f t="shared" si="60"/>
        <v>18097354200_2027</v>
      </c>
      <c r="B1304">
        <v>18097354200</v>
      </c>
      <c r="C1304">
        <v>2027</v>
      </c>
      <c r="E1304">
        <v>0.35713798278105802</v>
      </c>
      <c r="F1304">
        <v>0.40070960876719952</v>
      </c>
      <c r="G1304">
        <v>-0.28984740144300403</v>
      </c>
      <c r="H1304">
        <v>-0.59852163723528129</v>
      </c>
      <c r="I1304">
        <v>0.25775975462044642</v>
      </c>
      <c r="M1304">
        <f t="shared" si="61"/>
        <v>0.12723830749041865</v>
      </c>
      <c r="N1304">
        <f t="shared" si="62"/>
        <v>5</v>
      </c>
    </row>
    <row r="1305" spans="1:14" x14ac:dyDescent="0.35">
      <c r="A1305" t="str">
        <f t="shared" si="60"/>
        <v>18097354200_2028</v>
      </c>
      <c r="B1305">
        <v>18097354200</v>
      </c>
      <c r="C1305">
        <v>2028</v>
      </c>
      <c r="E1305">
        <v>0.24651180484318619</v>
      </c>
      <c r="F1305">
        <v>0.47671189452614798</v>
      </c>
      <c r="G1305">
        <v>-0.28963560777478808</v>
      </c>
      <c r="H1305">
        <v>-0.55217332941868402</v>
      </c>
      <c r="I1305">
        <v>0.26160488314231067</v>
      </c>
      <c r="M1305">
        <f t="shared" si="61"/>
        <v>0.14301964531817274</v>
      </c>
      <c r="N1305">
        <f t="shared" si="62"/>
        <v>5</v>
      </c>
    </row>
    <row r="1306" spans="1:14" x14ac:dyDescent="0.35">
      <c r="A1306" t="str">
        <f t="shared" si="60"/>
        <v>18097357600_2025</v>
      </c>
      <c r="B1306">
        <v>18097357600</v>
      </c>
      <c r="C1306">
        <v>2025</v>
      </c>
      <c r="E1306">
        <v>-0.34414868601796528</v>
      </c>
      <c r="F1306">
        <v>-0.16975792273561791</v>
      </c>
      <c r="G1306">
        <v>-0.54659418681987559</v>
      </c>
      <c r="I1306">
        <v>0.34823205641592231</v>
      </c>
      <c r="M1306">
        <f t="shared" si="61"/>
        <v>-0.71226873915753663</v>
      </c>
      <c r="N1306">
        <f t="shared" si="62"/>
        <v>4</v>
      </c>
    </row>
    <row r="1307" spans="1:14" x14ac:dyDescent="0.35">
      <c r="A1307" t="str">
        <f t="shared" si="60"/>
        <v>18097357600_2026</v>
      </c>
      <c r="B1307">
        <v>18097357600</v>
      </c>
      <c r="C1307">
        <v>2026</v>
      </c>
      <c r="E1307">
        <v>-0.26765042100105318</v>
      </c>
      <c r="F1307">
        <v>-0.16538962255261819</v>
      </c>
      <c r="G1307">
        <v>-0.57119182773204591</v>
      </c>
      <c r="I1307">
        <v>0.36015308124944229</v>
      </c>
      <c r="M1307">
        <f t="shared" si="61"/>
        <v>-0.644078790036275</v>
      </c>
      <c r="N1307">
        <f t="shared" si="62"/>
        <v>4</v>
      </c>
    </row>
    <row r="1308" spans="1:14" x14ac:dyDescent="0.35">
      <c r="A1308" t="str">
        <f t="shared" si="60"/>
        <v>18097357600_2027</v>
      </c>
      <c r="B1308">
        <v>18097357600</v>
      </c>
      <c r="C1308">
        <v>2027</v>
      </c>
      <c r="E1308">
        <v>-0.26089324956339299</v>
      </c>
      <c r="F1308">
        <v>-0.18852251668967679</v>
      </c>
      <c r="G1308">
        <v>-0.61705274812529864</v>
      </c>
      <c r="I1308">
        <v>0.36103707359861048</v>
      </c>
      <c r="M1308">
        <f t="shared" si="61"/>
        <v>-0.70543144077975783</v>
      </c>
      <c r="N1308">
        <f t="shared" si="62"/>
        <v>4</v>
      </c>
    </row>
    <row r="1309" spans="1:14" x14ac:dyDescent="0.35">
      <c r="A1309" t="str">
        <f t="shared" si="60"/>
        <v>18097357600_2028</v>
      </c>
      <c r="B1309">
        <v>18097357600</v>
      </c>
      <c r="C1309">
        <v>2028</v>
      </c>
      <c r="E1309">
        <v>-0.15066173654724749</v>
      </c>
      <c r="F1309">
        <v>-0.15487235471159799</v>
      </c>
      <c r="G1309">
        <v>-0.59360582623827918</v>
      </c>
      <c r="I1309">
        <v>0.3384850985722016</v>
      </c>
      <c r="M1309">
        <f t="shared" si="61"/>
        <v>-0.56065481892492297</v>
      </c>
      <c r="N1309">
        <f t="shared" si="62"/>
        <v>4</v>
      </c>
    </row>
    <row r="1310" spans="1:14" x14ac:dyDescent="0.35">
      <c r="A1310" t="str">
        <f t="shared" si="60"/>
        <v>18097361400_2025</v>
      </c>
      <c r="B1310">
        <v>18097361400</v>
      </c>
      <c r="C1310">
        <v>2025</v>
      </c>
      <c r="E1310">
        <v>-9.7203112325237997E-2</v>
      </c>
      <c r="F1310">
        <v>0.1685852887565015</v>
      </c>
      <c r="G1310">
        <v>-0.9495747703613614</v>
      </c>
      <c r="H1310">
        <v>0.55014600920845824</v>
      </c>
      <c r="I1310">
        <v>0.5008591423291644</v>
      </c>
      <c r="M1310">
        <f t="shared" si="61"/>
        <v>0.17281255760752479</v>
      </c>
      <c r="N1310">
        <f t="shared" si="62"/>
        <v>5</v>
      </c>
    </row>
    <row r="1311" spans="1:14" x14ac:dyDescent="0.35">
      <c r="A1311" t="str">
        <f t="shared" si="60"/>
        <v>18097361400_2026</v>
      </c>
      <c r="B1311">
        <v>18097361400</v>
      </c>
      <c r="C1311">
        <v>2026</v>
      </c>
      <c r="E1311">
        <v>-1.4441475661992199E-2</v>
      </c>
      <c r="F1311">
        <v>-0.47607464772834901</v>
      </c>
      <c r="G1311">
        <v>-0.95871395015699357</v>
      </c>
      <c r="H1311">
        <v>0.591507499670335</v>
      </c>
      <c r="I1311">
        <v>0.50020182437350369</v>
      </c>
      <c r="M1311">
        <f t="shared" si="61"/>
        <v>-0.35752074950349622</v>
      </c>
      <c r="N1311">
        <f t="shared" si="62"/>
        <v>5</v>
      </c>
    </row>
    <row r="1312" spans="1:14" x14ac:dyDescent="0.35">
      <c r="A1312" t="str">
        <f t="shared" si="60"/>
        <v>18097361400_2027</v>
      </c>
      <c r="B1312">
        <v>18097361400</v>
      </c>
      <c r="C1312">
        <v>2027</v>
      </c>
      <c r="E1312">
        <v>-5.6882622358160502E-3</v>
      </c>
      <c r="F1312">
        <v>-3.7548167038192408E-2</v>
      </c>
      <c r="G1312">
        <v>-1.068797522305853</v>
      </c>
      <c r="H1312">
        <v>0.45845529591981682</v>
      </c>
      <c r="I1312">
        <v>0.46906113150994649</v>
      </c>
      <c r="M1312">
        <f t="shared" si="61"/>
        <v>-0.18451752415009809</v>
      </c>
      <c r="N1312">
        <f t="shared" si="62"/>
        <v>5</v>
      </c>
    </row>
    <row r="1313" spans="1:14" x14ac:dyDescent="0.35">
      <c r="A1313" t="str">
        <f t="shared" si="60"/>
        <v>18097361400_2028</v>
      </c>
      <c r="B1313">
        <v>18097361400</v>
      </c>
      <c r="C1313">
        <v>2028</v>
      </c>
      <c r="E1313">
        <v>8.0023006669658503E-2</v>
      </c>
      <c r="F1313">
        <v>-0.36188870945664459</v>
      </c>
      <c r="G1313">
        <v>-1.0132265939656111</v>
      </c>
      <c r="H1313">
        <v>0.31454028440367959</v>
      </c>
      <c r="I1313">
        <v>0.41661931519965489</v>
      </c>
      <c r="M1313">
        <f t="shared" si="61"/>
        <v>-0.56393269714926264</v>
      </c>
      <c r="N1313">
        <f t="shared" si="62"/>
        <v>5</v>
      </c>
    </row>
    <row r="1314" spans="1:14" x14ac:dyDescent="0.35">
      <c r="A1314" t="str">
        <f t="shared" si="60"/>
        <v>18097361600_2025</v>
      </c>
      <c r="B1314">
        <v>18097361600</v>
      </c>
      <c r="C1314">
        <v>2025</v>
      </c>
      <c r="E1314">
        <v>-0.29243072246470059</v>
      </c>
      <c r="F1314">
        <v>-1.50036655581926</v>
      </c>
      <c r="G1314">
        <v>-0.55981147405052367</v>
      </c>
      <c r="H1314">
        <v>0.73278051819134182</v>
      </c>
      <c r="I1314">
        <v>-0.2277925238429479</v>
      </c>
      <c r="M1314">
        <f t="shared" si="61"/>
        <v>-1.8476207579860902</v>
      </c>
      <c r="N1314">
        <f t="shared" si="62"/>
        <v>5</v>
      </c>
    </row>
    <row r="1315" spans="1:14" x14ac:dyDescent="0.35">
      <c r="A1315" t="str">
        <f t="shared" si="60"/>
        <v>18097361600_2026</v>
      </c>
      <c r="B1315">
        <v>18097361600</v>
      </c>
      <c r="C1315">
        <v>2026</v>
      </c>
      <c r="E1315">
        <v>-0.24197885211858289</v>
      </c>
      <c r="F1315">
        <v>-0.38098735607300588</v>
      </c>
      <c r="G1315">
        <v>-0.80548809383134157</v>
      </c>
      <c r="H1315">
        <v>2.8982821222061621</v>
      </c>
      <c r="I1315">
        <v>-0.20050179772059909</v>
      </c>
      <c r="M1315">
        <f t="shared" si="61"/>
        <v>1.2693260224626326</v>
      </c>
      <c r="N1315">
        <f t="shared" si="62"/>
        <v>5</v>
      </c>
    </row>
    <row r="1316" spans="1:14" x14ac:dyDescent="0.35">
      <c r="A1316" t="str">
        <f t="shared" si="60"/>
        <v>18097361600_2027</v>
      </c>
      <c r="B1316">
        <v>18097361600</v>
      </c>
      <c r="C1316">
        <v>2027</v>
      </c>
      <c r="E1316">
        <v>-0.22115843556378009</v>
      </c>
      <c r="F1316">
        <v>-1.448254893028051</v>
      </c>
      <c r="G1316">
        <v>-0.65521922031985014</v>
      </c>
      <c r="H1316">
        <v>1.8778028676114309</v>
      </c>
      <c r="I1316">
        <v>-9.0987277739465161E-2</v>
      </c>
      <c r="M1316">
        <f t="shared" si="61"/>
        <v>-0.53781695903971549</v>
      </c>
      <c r="N1316">
        <f t="shared" si="62"/>
        <v>5</v>
      </c>
    </row>
    <row r="1317" spans="1:14" x14ac:dyDescent="0.35">
      <c r="A1317" t="str">
        <f t="shared" si="60"/>
        <v>18097361600_2028</v>
      </c>
      <c r="B1317">
        <v>18097361600</v>
      </c>
      <c r="C1317">
        <v>2028</v>
      </c>
      <c r="E1317">
        <v>-0.1198836127045995</v>
      </c>
      <c r="F1317">
        <v>-0.75884906681930442</v>
      </c>
      <c r="G1317">
        <v>-0.82758367087047024</v>
      </c>
      <c r="H1317">
        <v>3.0929887365066229</v>
      </c>
      <c r="I1317">
        <v>-6.6532807530292502E-3</v>
      </c>
      <c r="M1317">
        <f t="shared" si="61"/>
        <v>1.3800191053592195</v>
      </c>
      <c r="N1317">
        <f t="shared" si="62"/>
        <v>5</v>
      </c>
    </row>
    <row r="1318" spans="1:14" x14ac:dyDescent="0.35">
      <c r="A1318" t="str">
        <f t="shared" si="60"/>
        <v>18097370202_2025</v>
      </c>
      <c r="B1318">
        <v>18097370202</v>
      </c>
      <c r="C1318">
        <v>2025</v>
      </c>
      <c r="E1318">
        <v>-4.6695768260687519E-2</v>
      </c>
      <c r="F1318">
        <v>-0.17683025070562131</v>
      </c>
      <c r="G1318">
        <v>-0.93094105401463678</v>
      </c>
      <c r="H1318">
        <v>-4.0324744760940119E-2</v>
      </c>
      <c r="I1318">
        <v>0.22338829687951969</v>
      </c>
      <c r="M1318">
        <f t="shared" si="61"/>
        <v>-0.97140352086236603</v>
      </c>
      <c r="N1318">
        <f t="shared" si="62"/>
        <v>5</v>
      </c>
    </row>
    <row r="1319" spans="1:14" x14ac:dyDescent="0.35">
      <c r="A1319" t="str">
        <f t="shared" si="60"/>
        <v>18097370202_2026</v>
      </c>
      <c r="B1319">
        <v>18097370202</v>
      </c>
      <c r="C1319">
        <v>2026</v>
      </c>
      <c r="E1319">
        <v>3.0235449808942359E-2</v>
      </c>
      <c r="F1319">
        <v>-0.17757454707441139</v>
      </c>
      <c r="G1319">
        <v>-0.81646292188778913</v>
      </c>
      <c r="H1319">
        <v>-7.48887835079729E-2</v>
      </c>
      <c r="I1319">
        <v>0.33939052606676201</v>
      </c>
      <c r="M1319">
        <f t="shared" si="61"/>
        <v>-0.69930027659446914</v>
      </c>
      <c r="N1319">
        <f t="shared" si="62"/>
        <v>5</v>
      </c>
    </row>
    <row r="1320" spans="1:14" x14ac:dyDescent="0.35">
      <c r="A1320" t="str">
        <f t="shared" si="60"/>
        <v>18097370202_2027</v>
      </c>
      <c r="B1320">
        <v>18097370202</v>
      </c>
      <c r="C1320">
        <v>2027</v>
      </c>
      <c r="E1320">
        <v>4.1612277566364118E-2</v>
      </c>
      <c r="F1320">
        <v>-0.199850875523164</v>
      </c>
      <c r="G1320">
        <v>-0.9986261528526974</v>
      </c>
      <c r="H1320">
        <v>-0.1848692116565305</v>
      </c>
      <c r="I1320">
        <v>0.29288715468891341</v>
      </c>
      <c r="M1320">
        <f t="shared" si="61"/>
        <v>-1.0488468077771145</v>
      </c>
      <c r="N1320">
        <f t="shared" si="62"/>
        <v>5</v>
      </c>
    </row>
    <row r="1321" spans="1:14" x14ac:dyDescent="0.35">
      <c r="A1321" t="str">
        <f t="shared" si="60"/>
        <v>18097370202_2028</v>
      </c>
      <c r="B1321">
        <v>18097370202</v>
      </c>
      <c r="C1321">
        <v>2028</v>
      </c>
      <c r="E1321">
        <v>0.1206672635994654</v>
      </c>
      <c r="F1321">
        <v>-0.16883084738017551</v>
      </c>
      <c r="G1321">
        <v>-0.88958312864361866</v>
      </c>
      <c r="H1321">
        <v>-0.26997876196820642</v>
      </c>
      <c r="I1321">
        <v>0.31500026293536437</v>
      </c>
      <c r="M1321">
        <f t="shared" si="61"/>
        <v>-0.89272521145717088</v>
      </c>
      <c r="N1321">
        <f t="shared" si="62"/>
        <v>5</v>
      </c>
    </row>
    <row r="1322" spans="1:14" x14ac:dyDescent="0.35">
      <c r="A1322" t="str">
        <f t="shared" si="60"/>
        <v>18097370301_2025</v>
      </c>
      <c r="B1322">
        <v>18097370301</v>
      </c>
      <c r="C1322">
        <v>2025</v>
      </c>
      <c r="E1322">
        <v>-0.29420302604928472</v>
      </c>
      <c r="F1322">
        <v>1.720684652591921</v>
      </c>
      <c r="G1322">
        <v>-0.38690570462831902</v>
      </c>
      <c r="I1322">
        <v>0.40170295799752093</v>
      </c>
      <c r="M1322">
        <f t="shared" si="61"/>
        <v>1.4412788799118381</v>
      </c>
      <c r="N1322">
        <f t="shared" si="62"/>
        <v>4</v>
      </c>
    </row>
    <row r="1323" spans="1:14" x14ac:dyDescent="0.35">
      <c r="A1323" t="str">
        <f t="shared" si="60"/>
        <v>18097370301_2026</v>
      </c>
      <c r="B1323">
        <v>18097370301</v>
      </c>
      <c r="C1323">
        <v>2026</v>
      </c>
      <c r="E1323">
        <v>0.34954376115216179</v>
      </c>
      <c r="F1323">
        <v>1.8631878601830381</v>
      </c>
      <c r="G1323">
        <v>-0.417190538359414</v>
      </c>
      <c r="I1323">
        <v>0.40938653080431853</v>
      </c>
      <c r="M1323">
        <f t="shared" si="61"/>
        <v>2.2049276137801046</v>
      </c>
      <c r="N1323">
        <f t="shared" si="62"/>
        <v>4</v>
      </c>
    </row>
    <row r="1324" spans="1:14" x14ac:dyDescent="0.35">
      <c r="A1324" t="str">
        <f t="shared" si="60"/>
        <v>18097370301_2027</v>
      </c>
      <c r="B1324">
        <v>18097370301</v>
      </c>
      <c r="C1324">
        <v>2027</v>
      </c>
      <c r="E1324">
        <v>-0.17665458578198981</v>
      </c>
      <c r="F1324">
        <v>2.1407148549735329</v>
      </c>
      <c r="G1324">
        <v>-0.43748079819916902</v>
      </c>
      <c r="I1324">
        <v>0.399295442891198</v>
      </c>
      <c r="M1324">
        <f t="shared" si="61"/>
        <v>1.9258749138835718</v>
      </c>
      <c r="N1324">
        <f t="shared" si="62"/>
        <v>4</v>
      </c>
    </row>
    <row r="1325" spans="1:14" x14ac:dyDescent="0.35">
      <c r="A1325" t="str">
        <f t="shared" si="60"/>
        <v>18097370301_2028</v>
      </c>
      <c r="B1325">
        <v>18097370301</v>
      </c>
      <c r="C1325">
        <v>2028</v>
      </c>
      <c r="E1325">
        <v>0.36649022484856331</v>
      </c>
      <c r="F1325">
        <v>2.390253191555558</v>
      </c>
      <c r="G1325">
        <v>-0.42677033744013648</v>
      </c>
      <c r="I1325">
        <v>0.36632100471340079</v>
      </c>
      <c r="M1325">
        <f t="shared" si="61"/>
        <v>2.6962940836773854</v>
      </c>
      <c r="N1325">
        <f t="shared" si="62"/>
        <v>4</v>
      </c>
    </row>
    <row r="1326" spans="1:14" x14ac:dyDescent="0.35">
      <c r="A1326" t="str">
        <f t="shared" si="60"/>
        <v>18097370302_2025</v>
      </c>
      <c r="B1326">
        <v>18097370302</v>
      </c>
      <c r="C1326">
        <v>2025</v>
      </c>
      <c r="E1326">
        <v>-1.960707047282487</v>
      </c>
      <c r="F1326">
        <v>-0.58547879921283563</v>
      </c>
      <c r="G1326">
        <v>0.61074882649370599</v>
      </c>
      <c r="I1326">
        <v>-9.0968235062348999E-3</v>
      </c>
      <c r="M1326">
        <f t="shared" si="61"/>
        <v>-1.9445338435078516</v>
      </c>
      <c r="N1326">
        <f t="shared" si="62"/>
        <v>4</v>
      </c>
    </row>
    <row r="1327" spans="1:14" x14ac:dyDescent="0.35">
      <c r="A1327" t="str">
        <f t="shared" si="60"/>
        <v>18097370302_2026</v>
      </c>
      <c r="B1327">
        <v>18097370302</v>
      </c>
      <c r="C1327">
        <v>2026</v>
      </c>
      <c r="E1327">
        <v>1.937661642108601</v>
      </c>
      <c r="F1327">
        <v>1.8123775607125781</v>
      </c>
      <c r="G1327">
        <v>-0.77309439205105857</v>
      </c>
      <c r="I1327">
        <v>2.2400728472104111E-2</v>
      </c>
      <c r="M1327">
        <f t="shared" si="61"/>
        <v>2.9993455392422246</v>
      </c>
      <c r="N1327">
        <f t="shared" si="62"/>
        <v>4</v>
      </c>
    </row>
    <row r="1328" spans="1:14" x14ac:dyDescent="0.35">
      <c r="A1328" t="str">
        <f t="shared" si="60"/>
        <v>18097370302_2027</v>
      </c>
      <c r="B1328">
        <v>18097370302</v>
      </c>
      <c r="C1328">
        <v>2027</v>
      </c>
      <c r="E1328">
        <v>-1.754659318541832</v>
      </c>
      <c r="F1328">
        <v>-0.4669883644400547</v>
      </c>
      <c r="G1328">
        <v>0.58138372270978211</v>
      </c>
      <c r="I1328">
        <v>9.1310201696142443E-2</v>
      </c>
      <c r="M1328">
        <f t="shared" si="61"/>
        <v>-1.5489537585759621</v>
      </c>
      <c r="N1328">
        <f t="shared" si="62"/>
        <v>4</v>
      </c>
    </row>
    <row r="1329" spans="1:14" x14ac:dyDescent="0.35">
      <c r="A1329" t="str">
        <f t="shared" si="60"/>
        <v>18097370302_2028</v>
      </c>
      <c r="B1329">
        <v>18097370302</v>
      </c>
      <c r="C1329">
        <v>2028</v>
      </c>
      <c r="E1329">
        <v>1.5838310058119469</v>
      </c>
      <c r="F1329">
        <v>2.0305493722647978</v>
      </c>
      <c r="G1329">
        <v>-0.73013892230724986</v>
      </c>
      <c r="I1329">
        <v>0.13666676808625339</v>
      </c>
      <c r="M1329">
        <f t="shared" si="61"/>
        <v>3.0209082238557481</v>
      </c>
      <c r="N1329">
        <f t="shared" si="62"/>
        <v>4</v>
      </c>
    </row>
    <row r="1330" spans="1:14" x14ac:dyDescent="0.35">
      <c r="A1330" t="str">
        <f t="shared" si="60"/>
        <v>18097380100_2025</v>
      </c>
      <c r="B1330">
        <v>18097380100</v>
      </c>
      <c r="C1330">
        <v>2025</v>
      </c>
      <c r="E1330">
        <v>-0.88110161021239541</v>
      </c>
      <c r="F1330">
        <v>0.79680719643026299</v>
      </c>
      <c r="G1330">
        <v>-1.1915541759317869</v>
      </c>
      <c r="H1330">
        <v>-0.50525280494029778</v>
      </c>
      <c r="I1330">
        <v>-0.27380558755270928</v>
      </c>
      <c r="M1330">
        <f t="shared" si="61"/>
        <v>-2.0549069822069264</v>
      </c>
      <c r="N1330">
        <f t="shared" si="62"/>
        <v>5</v>
      </c>
    </row>
    <row r="1331" spans="1:14" x14ac:dyDescent="0.35">
      <c r="A1331" t="str">
        <f t="shared" si="60"/>
        <v>18097380100_2026</v>
      </c>
      <c r="B1331">
        <v>18097380100</v>
      </c>
      <c r="C1331">
        <v>2026</v>
      </c>
      <c r="E1331">
        <v>-0.7999387399233141</v>
      </c>
      <c r="F1331">
        <v>1.56222853280336</v>
      </c>
      <c r="G1331">
        <v>-1.1920937513534771</v>
      </c>
      <c r="H1331">
        <v>-0.402578805056657</v>
      </c>
      <c r="I1331">
        <v>-0.18450431742605561</v>
      </c>
      <c r="M1331">
        <f t="shared" si="61"/>
        <v>-1.0168870809561437</v>
      </c>
      <c r="N1331">
        <f t="shared" si="62"/>
        <v>5</v>
      </c>
    </row>
    <row r="1332" spans="1:14" x14ac:dyDescent="0.35">
      <c r="A1332" t="str">
        <f t="shared" si="60"/>
        <v>18097380100_2027</v>
      </c>
      <c r="B1332">
        <v>18097380100</v>
      </c>
      <c r="C1332">
        <v>2027</v>
      </c>
      <c r="E1332">
        <v>-0.8722957259538755</v>
      </c>
      <c r="F1332">
        <v>1.170559164034249</v>
      </c>
      <c r="G1332">
        <v>-1.3406971726087931</v>
      </c>
      <c r="H1332">
        <v>-0.50231230293353313</v>
      </c>
      <c r="I1332">
        <v>-0.11242634724091349</v>
      </c>
      <c r="M1332">
        <f t="shared" si="61"/>
        <v>-1.6571723847028661</v>
      </c>
      <c r="N1332">
        <f t="shared" si="62"/>
        <v>5</v>
      </c>
    </row>
    <row r="1333" spans="1:14" x14ac:dyDescent="0.35">
      <c r="A1333" t="str">
        <f t="shared" si="60"/>
        <v>18097380100_2028</v>
      </c>
      <c r="B1333">
        <v>18097380100</v>
      </c>
      <c r="C1333">
        <v>2028</v>
      </c>
      <c r="E1333">
        <v>-0.69724451299952472</v>
      </c>
      <c r="F1333">
        <v>1.8602263636104981</v>
      </c>
      <c r="G1333">
        <v>-1.2658392402888941</v>
      </c>
      <c r="H1333">
        <v>-0.48373904104560639</v>
      </c>
      <c r="I1333">
        <v>-4.9192124514700801E-3</v>
      </c>
      <c r="M1333">
        <f t="shared" si="61"/>
        <v>-0.59151564317499705</v>
      </c>
      <c r="N1333">
        <f t="shared" si="62"/>
        <v>5</v>
      </c>
    </row>
    <row r="1334" spans="1:14" x14ac:dyDescent="0.35">
      <c r="A1334" t="str">
        <f t="shared" si="60"/>
        <v>18097380300_2025</v>
      </c>
      <c r="B1334">
        <v>18097380300</v>
      </c>
      <c r="C1334">
        <v>2025</v>
      </c>
      <c r="E1334">
        <v>0.18723716949911709</v>
      </c>
      <c r="F1334">
        <v>0.86238998084784091</v>
      </c>
      <c r="G1334">
        <v>-0.7206932148697216</v>
      </c>
      <c r="H1334">
        <v>-0.8703968215038117</v>
      </c>
      <c r="I1334">
        <v>-0.25499375183665451</v>
      </c>
      <c r="M1334">
        <f t="shared" si="61"/>
        <v>-0.79645663786322973</v>
      </c>
      <c r="N1334">
        <f t="shared" si="62"/>
        <v>5</v>
      </c>
    </row>
    <row r="1335" spans="1:14" x14ac:dyDescent="0.35">
      <c r="A1335" t="str">
        <f t="shared" si="60"/>
        <v>18097380300_2026</v>
      </c>
      <c r="B1335">
        <v>18097380300</v>
      </c>
      <c r="C1335">
        <v>2026</v>
      </c>
      <c r="E1335">
        <v>0.27288538912395521</v>
      </c>
      <c r="F1335">
        <v>0.98736279051687037</v>
      </c>
      <c r="G1335">
        <v>-0.73868018644677336</v>
      </c>
      <c r="H1335">
        <v>-0.68875587376886427</v>
      </c>
      <c r="I1335">
        <v>-0.1863565285309306</v>
      </c>
      <c r="M1335">
        <f t="shared" si="61"/>
        <v>-0.35354440910574264</v>
      </c>
      <c r="N1335">
        <f t="shared" si="62"/>
        <v>5</v>
      </c>
    </row>
    <row r="1336" spans="1:14" x14ac:dyDescent="0.35">
      <c r="A1336" t="str">
        <f t="shared" si="60"/>
        <v>18097380300_2027</v>
      </c>
      <c r="B1336">
        <v>18097380300</v>
      </c>
      <c r="C1336">
        <v>2027</v>
      </c>
      <c r="E1336">
        <v>0.27255125815129999</v>
      </c>
      <c r="F1336">
        <v>1.103687945615591</v>
      </c>
      <c r="G1336">
        <v>-0.81222898909997221</v>
      </c>
      <c r="H1336">
        <v>-0.72296675606558691</v>
      </c>
      <c r="I1336">
        <v>-6.5252286884996111E-2</v>
      </c>
      <c r="M1336">
        <f t="shared" si="61"/>
        <v>-0.22420882828366434</v>
      </c>
      <c r="N1336">
        <f t="shared" si="62"/>
        <v>5</v>
      </c>
    </row>
    <row r="1337" spans="1:14" x14ac:dyDescent="0.35">
      <c r="A1337" t="str">
        <f t="shared" si="60"/>
        <v>18097380300_2028</v>
      </c>
      <c r="B1337">
        <v>18097380300</v>
      </c>
      <c r="C1337">
        <v>2028</v>
      </c>
      <c r="E1337">
        <v>0.3241994216837128</v>
      </c>
      <c r="F1337">
        <v>1.2778154359476961</v>
      </c>
      <c r="G1337">
        <v>-0.77490905226986673</v>
      </c>
      <c r="H1337">
        <v>-0.62735885139457437</v>
      </c>
      <c r="I1337">
        <v>2.2804690507756312E-2</v>
      </c>
      <c r="M1337">
        <f t="shared" si="61"/>
        <v>0.22255164447472403</v>
      </c>
      <c r="N1337">
        <f t="shared" si="62"/>
        <v>5</v>
      </c>
    </row>
    <row r="1338" spans="1:14" x14ac:dyDescent="0.35">
      <c r="A1338" t="str">
        <f t="shared" si="60"/>
        <v>18097381001_2025</v>
      </c>
      <c r="B1338">
        <v>18097381001</v>
      </c>
      <c r="C1338">
        <v>2025</v>
      </c>
      <c r="E1338">
        <v>0.1323304509426749</v>
      </c>
      <c r="F1338">
        <v>-0.21083557513319259</v>
      </c>
      <c r="G1338">
        <v>-0.55180666863289307</v>
      </c>
      <c r="H1338">
        <v>-0.88157615684621038</v>
      </c>
      <c r="I1338">
        <v>-0.1044579846928647</v>
      </c>
      <c r="M1338">
        <f t="shared" si="61"/>
        <v>-1.6163459343624857</v>
      </c>
      <c r="N1338">
        <f t="shared" si="62"/>
        <v>5</v>
      </c>
    </row>
    <row r="1339" spans="1:14" x14ac:dyDescent="0.35">
      <c r="A1339" t="str">
        <f t="shared" si="60"/>
        <v>18097381001_2026</v>
      </c>
      <c r="B1339">
        <v>18097381001</v>
      </c>
      <c r="C1339">
        <v>2026</v>
      </c>
      <c r="E1339">
        <v>-1.1765828835464149</v>
      </c>
      <c r="F1339">
        <v>1.471511878080684</v>
      </c>
      <c r="G1339">
        <v>-1.861690600999812</v>
      </c>
      <c r="H1339">
        <v>-0.6970007923811562</v>
      </c>
      <c r="I1339">
        <v>8.4308723436903668E-2</v>
      </c>
      <c r="M1339">
        <f t="shared" si="61"/>
        <v>-2.1794536754097953</v>
      </c>
      <c r="N1339">
        <f t="shared" si="62"/>
        <v>5</v>
      </c>
    </row>
    <row r="1340" spans="1:14" x14ac:dyDescent="0.35">
      <c r="A1340" t="str">
        <f t="shared" si="60"/>
        <v>18097381001_2027</v>
      </c>
      <c r="B1340">
        <v>18097381001</v>
      </c>
      <c r="C1340">
        <v>2027</v>
      </c>
      <c r="E1340">
        <v>7.873035651455193E-2</v>
      </c>
      <c r="F1340">
        <v>-2.0967685786895229E-2</v>
      </c>
      <c r="G1340">
        <v>-0.936194292354803</v>
      </c>
      <c r="H1340">
        <v>-0.72901786332975949</v>
      </c>
      <c r="I1340">
        <v>5.0831960453040968E-2</v>
      </c>
      <c r="M1340">
        <f t="shared" si="61"/>
        <v>-1.5566175245038647</v>
      </c>
      <c r="N1340">
        <f t="shared" si="62"/>
        <v>5</v>
      </c>
    </row>
    <row r="1341" spans="1:14" x14ac:dyDescent="0.35">
      <c r="A1341" t="str">
        <f t="shared" si="60"/>
        <v>18097381001_2028</v>
      </c>
      <c r="B1341">
        <v>18097381001</v>
      </c>
      <c r="C1341">
        <v>2028</v>
      </c>
      <c r="E1341">
        <v>-0.87437529426847371</v>
      </c>
      <c r="F1341">
        <v>1.651832091217003</v>
      </c>
      <c r="G1341">
        <v>-1.7720621235388341</v>
      </c>
      <c r="H1341">
        <v>-0.63112795225758267</v>
      </c>
      <c r="I1341">
        <v>0.15583136450721399</v>
      </c>
      <c r="M1341">
        <f t="shared" si="61"/>
        <v>-1.4699019143406733</v>
      </c>
      <c r="N1341">
        <f t="shared" si="62"/>
        <v>5</v>
      </c>
    </row>
    <row r="1342" spans="1:14" x14ac:dyDescent="0.35">
      <c r="A1342" t="str">
        <f t="shared" si="60"/>
        <v>18097381201_2025</v>
      </c>
      <c r="B1342">
        <v>18097381201</v>
      </c>
      <c r="C1342">
        <v>2025</v>
      </c>
      <c r="E1342">
        <v>-7.3932610067256765E-2</v>
      </c>
      <c r="F1342">
        <v>-0.90777788502809964</v>
      </c>
      <c r="G1342">
        <v>-0.72221994363333097</v>
      </c>
      <c r="H1342">
        <v>-0.87980935017764261</v>
      </c>
      <c r="I1342">
        <v>-0.38039586276421539</v>
      </c>
      <c r="M1342">
        <f t="shared" si="61"/>
        <v>-2.9641356516705453</v>
      </c>
      <c r="N1342">
        <f t="shared" si="62"/>
        <v>5</v>
      </c>
    </row>
    <row r="1343" spans="1:14" x14ac:dyDescent="0.35">
      <c r="A1343" t="str">
        <f t="shared" si="60"/>
        <v>18097381201_2026</v>
      </c>
      <c r="B1343">
        <v>18097381201</v>
      </c>
      <c r="C1343">
        <v>2026</v>
      </c>
      <c r="E1343">
        <v>-0.41982414039801041</v>
      </c>
      <c r="F1343">
        <v>-0.93239586900437643</v>
      </c>
      <c r="G1343">
        <v>-0.54047044922572485</v>
      </c>
      <c r="H1343">
        <v>-0.69658737930719739</v>
      </c>
      <c r="I1343">
        <v>-0.34890120325872448</v>
      </c>
      <c r="M1343">
        <f t="shared" si="61"/>
        <v>-2.9381790411940338</v>
      </c>
      <c r="N1343">
        <f t="shared" si="62"/>
        <v>5</v>
      </c>
    </row>
    <row r="1344" spans="1:14" x14ac:dyDescent="0.35">
      <c r="A1344" t="str">
        <f t="shared" si="60"/>
        <v>18097381201_2027</v>
      </c>
      <c r="B1344">
        <v>18097381201</v>
      </c>
      <c r="C1344">
        <v>2027</v>
      </c>
      <c r="E1344">
        <v>-8.3751565795460475E-2</v>
      </c>
      <c r="F1344">
        <v>-1.083044378623736</v>
      </c>
      <c r="G1344">
        <v>-0.77410041455283762</v>
      </c>
      <c r="H1344">
        <v>-0.72850830298984992</v>
      </c>
      <c r="I1344">
        <v>-0.22004314805205771</v>
      </c>
      <c r="M1344">
        <f t="shared" si="61"/>
        <v>-2.8894478100139418</v>
      </c>
      <c r="N1344">
        <f t="shared" si="62"/>
        <v>5</v>
      </c>
    </row>
    <row r="1345" spans="1:14" x14ac:dyDescent="0.35">
      <c r="A1345" t="str">
        <f t="shared" si="60"/>
        <v>18097381201_2028</v>
      </c>
      <c r="B1345">
        <v>18097381201</v>
      </c>
      <c r="C1345">
        <v>2028</v>
      </c>
      <c r="E1345">
        <v>-0.21438697913940249</v>
      </c>
      <c r="F1345">
        <v>-1.1251019381005569</v>
      </c>
      <c r="G1345">
        <v>-0.59123386714264869</v>
      </c>
      <c r="H1345">
        <v>-0.63087238717379601</v>
      </c>
      <c r="I1345">
        <v>-0.1094081842736323</v>
      </c>
      <c r="M1345">
        <f t="shared" si="61"/>
        <v>-2.6710033558300363</v>
      </c>
      <c r="N1345">
        <f t="shared" si="62"/>
        <v>5</v>
      </c>
    </row>
    <row r="1346" spans="1:14" x14ac:dyDescent="0.35">
      <c r="A1346" t="str">
        <f t="shared" si="60"/>
        <v>18097390101_2025</v>
      </c>
      <c r="B1346">
        <v>18097390101</v>
      </c>
      <c r="C1346">
        <v>2025</v>
      </c>
      <c r="E1346">
        <v>-0.33644406233696672</v>
      </c>
      <c r="F1346">
        <v>-0.37958024765254661</v>
      </c>
      <c r="G1346">
        <v>-0.16291293788542471</v>
      </c>
      <c r="I1346">
        <v>9.0687233304711526E-2</v>
      </c>
      <c r="M1346">
        <f t="shared" si="61"/>
        <v>-0.78825001457022659</v>
      </c>
      <c r="N1346">
        <f t="shared" si="62"/>
        <v>4</v>
      </c>
    </row>
    <row r="1347" spans="1:14" x14ac:dyDescent="0.35">
      <c r="A1347" t="str">
        <f t="shared" ref="A1347:A1410" si="63">TEXT(B1347,0)&amp;"_"&amp;TEXT(C1347,0)</f>
        <v>18097390101_2026</v>
      </c>
      <c r="B1347">
        <v>18097390101</v>
      </c>
      <c r="C1347">
        <v>2026</v>
      </c>
      <c r="E1347">
        <v>-1.0714849903041781</v>
      </c>
      <c r="F1347">
        <v>-1.3218720381264391</v>
      </c>
      <c r="G1347">
        <v>-0.2185766216022185</v>
      </c>
      <c r="I1347">
        <v>0.11859772029824379</v>
      </c>
      <c r="M1347">
        <f t="shared" ref="M1347:M1410" si="64">SUM(D1347:K1347)</f>
        <v>-2.4933359297345916</v>
      </c>
      <c r="N1347">
        <f t="shared" ref="N1347:N1410" si="65">IF(D1347=0,0,1)+IF(E1347=0,0,1)+IF(F1347=0,0,1)+IF(G1347=0,0,1)+IF(H1347=0,0,1)+IF(I1347=0,0,1)++IF(J1347=0,0,1)++IF(K1347=0,0,1)</f>
        <v>4</v>
      </c>
    </row>
    <row r="1348" spans="1:14" x14ac:dyDescent="0.35">
      <c r="A1348" t="str">
        <f t="shared" si="63"/>
        <v>18097390101_2027</v>
      </c>
      <c r="B1348">
        <v>18097390101</v>
      </c>
      <c r="C1348">
        <v>2027</v>
      </c>
      <c r="E1348">
        <v>-0.37849840063109269</v>
      </c>
      <c r="F1348">
        <v>-0.4797454605159181</v>
      </c>
      <c r="G1348">
        <v>-0.19642581244836729</v>
      </c>
      <c r="I1348">
        <v>0.16932218434204341</v>
      </c>
      <c r="M1348">
        <f t="shared" si="64"/>
        <v>-0.88534748925333462</v>
      </c>
      <c r="N1348">
        <f t="shared" si="65"/>
        <v>4</v>
      </c>
    </row>
    <row r="1349" spans="1:14" x14ac:dyDescent="0.35">
      <c r="A1349" t="str">
        <f t="shared" si="63"/>
        <v>18097390101_2028</v>
      </c>
      <c r="B1349">
        <v>18097390101</v>
      </c>
      <c r="C1349">
        <v>2028</v>
      </c>
      <c r="E1349">
        <v>-0.84400587320102549</v>
      </c>
      <c r="F1349">
        <v>-1.574890284800267</v>
      </c>
      <c r="G1349">
        <v>-0.2071824677796501</v>
      </c>
      <c r="I1349">
        <v>0.19609126842237801</v>
      </c>
      <c r="M1349">
        <f t="shared" si="64"/>
        <v>-2.4299873573585646</v>
      </c>
      <c r="N1349">
        <f t="shared" si="65"/>
        <v>4</v>
      </c>
    </row>
    <row r="1350" spans="1:14" x14ac:dyDescent="0.35">
      <c r="A1350" t="str">
        <f t="shared" si="63"/>
        <v>18097390402_2025</v>
      </c>
      <c r="B1350">
        <v>18097390402</v>
      </c>
      <c r="C1350">
        <v>2025</v>
      </c>
      <c r="E1350">
        <v>-6.5276471050168247E-2</v>
      </c>
      <c r="F1350">
        <v>-0.26741557695381812</v>
      </c>
      <c r="G1350">
        <v>-0.27149918320372401</v>
      </c>
      <c r="H1350">
        <v>-0.68784079527896347</v>
      </c>
      <c r="I1350">
        <v>-0.38009597030741982</v>
      </c>
      <c r="M1350">
        <f t="shared" si="64"/>
        <v>-1.6721279967940939</v>
      </c>
      <c r="N1350">
        <f t="shared" si="65"/>
        <v>5</v>
      </c>
    </row>
    <row r="1351" spans="1:14" x14ac:dyDescent="0.35">
      <c r="A1351" t="str">
        <f t="shared" si="63"/>
        <v>18097390402_2026</v>
      </c>
      <c r="B1351">
        <v>18097390402</v>
      </c>
      <c r="C1351">
        <v>2026</v>
      </c>
      <c r="E1351">
        <v>1.0632610155203731E-2</v>
      </c>
      <c r="F1351">
        <v>-0.31481405866489692</v>
      </c>
      <c r="G1351">
        <v>-0.3061694178028645</v>
      </c>
      <c r="H1351">
        <v>-0.55824865339242113</v>
      </c>
      <c r="I1351">
        <v>1.2608511259139661</v>
      </c>
      <c r="M1351">
        <f t="shared" si="64"/>
        <v>9.2251606208987313E-2</v>
      </c>
      <c r="N1351">
        <f t="shared" si="65"/>
        <v>5</v>
      </c>
    </row>
    <row r="1352" spans="1:14" x14ac:dyDescent="0.35">
      <c r="A1352" t="str">
        <f t="shared" si="63"/>
        <v>18097390402_2027</v>
      </c>
      <c r="B1352">
        <v>18097390402</v>
      </c>
      <c r="C1352">
        <v>2027</v>
      </c>
      <c r="E1352">
        <v>2.2659410662839889E-2</v>
      </c>
      <c r="F1352">
        <v>-0.33279977700189689</v>
      </c>
      <c r="G1352">
        <v>-0.30811928544376649</v>
      </c>
      <c r="H1352">
        <v>-0.62829195754824418</v>
      </c>
      <c r="I1352">
        <v>-2.9412544576408382E-2</v>
      </c>
      <c r="M1352">
        <f t="shared" si="64"/>
        <v>-1.275964153907476</v>
      </c>
      <c r="N1352">
        <f t="shared" si="65"/>
        <v>5</v>
      </c>
    </row>
    <row r="1353" spans="1:14" x14ac:dyDescent="0.35">
      <c r="A1353" t="str">
        <f t="shared" si="63"/>
        <v>18097390402_2028</v>
      </c>
      <c r="B1353">
        <v>18097390402</v>
      </c>
      <c r="C1353">
        <v>2028</v>
      </c>
      <c r="E1353">
        <v>0.1037128677616746</v>
      </c>
      <c r="F1353">
        <v>-0.32845240051837632</v>
      </c>
      <c r="G1353">
        <v>-0.30660947278425549</v>
      </c>
      <c r="H1353">
        <v>-0.56834096906615483</v>
      </c>
      <c r="I1353">
        <v>0.75230971751404174</v>
      </c>
      <c r="M1353">
        <f t="shared" si="64"/>
        <v>-0.3473802570930703</v>
      </c>
      <c r="N1353">
        <f t="shared" si="65"/>
        <v>5</v>
      </c>
    </row>
    <row r="1354" spans="1:14" x14ac:dyDescent="0.35">
      <c r="A1354" t="str">
        <f t="shared" si="63"/>
        <v>18097390403_2025</v>
      </c>
      <c r="B1354">
        <v>18097390403</v>
      </c>
      <c r="C1354">
        <v>2025</v>
      </c>
      <c r="E1354">
        <v>-0.10166909363531269</v>
      </c>
      <c r="F1354">
        <v>2.0149024620709999</v>
      </c>
      <c r="G1354">
        <v>-1.9093913923684959E-2</v>
      </c>
      <c r="I1354">
        <v>0.29278809128780559</v>
      </c>
      <c r="M1354">
        <f t="shared" si="64"/>
        <v>2.1869275457998079</v>
      </c>
      <c r="N1354">
        <f t="shared" si="65"/>
        <v>4</v>
      </c>
    </row>
    <row r="1355" spans="1:14" x14ac:dyDescent="0.35">
      <c r="A1355" t="str">
        <f t="shared" si="63"/>
        <v>18097390403_2026</v>
      </c>
      <c r="B1355">
        <v>18097390403</v>
      </c>
      <c r="C1355">
        <v>2026</v>
      </c>
      <c r="E1355">
        <v>-0.79182694785362695</v>
      </c>
      <c r="F1355">
        <v>2.179448550685152</v>
      </c>
      <c r="G1355">
        <v>-0.71321216719356118</v>
      </c>
      <c r="I1355">
        <v>0.30876802251451491</v>
      </c>
      <c r="M1355">
        <f t="shared" si="64"/>
        <v>0.98317745815247859</v>
      </c>
      <c r="N1355">
        <f t="shared" si="65"/>
        <v>4</v>
      </c>
    </row>
    <row r="1356" spans="1:14" x14ac:dyDescent="0.35">
      <c r="A1356" t="str">
        <f t="shared" si="63"/>
        <v>18097390403_2027</v>
      </c>
      <c r="B1356">
        <v>18097390403</v>
      </c>
      <c r="C1356">
        <v>2027</v>
      </c>
      <c r="E1356">
        <v>-0.14455583437752029</v>
      </c>
      <c r="F1356">
        <v>2.503598660531638</v>
      </c>
      <c r="G1356">
        <v>-6.7216008776442709E-2</v>
      </c>
      <c r="I1356">
        <v>0.32082667698306883</v>
      </c>
      <c r="M1356">
        <f t="shared" si="64"/>
        <v>2.6126534943607438</v>
      </c>
      <c r="N1356">
        <f t="shared" si="65"/>
        <v>4</v>
      </c>
    </row>
    <row r="1357" spans="1:14" x14ac:dyDescent="0.35">
      <c r="A1357" t="str">
        <f t="shared" si="63"/>
        <v>18097390403_2028</v>
      </c>
      <c r="B1357">
        <v>18097390403</v>
      </c>
      <c r="C1357">
        <v>2028</v>
      </c>
      <c r="E1357">
        <v>-0.53764480656991698</v>
      </c>
      <c r="F1357">
        <v>2.7869787079107819</v>
      </c>
      <c r="G1357">
        <v>-0.7113463914149879</v>
      </c>
      <c r="I1357">
        <v>0.30902177883617682</v>
      </c>
      <c r="M1357">
        <f t="shared" si="64"/>
        <v>1.8470092887620542</v>
      </c>
      <c r="N1357">
        <f t="shared" si="65"/>
        <v>4</v>
      </c>
    </row>
    <row r="1358" spans="1:14" x14ac:dyDescent="0.35">
      <c r="A1358" t="str">
        <f t="shared" si="63"/>
        <v>18097390404_2025</v>
      </c>
      <c r="B1358">
        <v>18097390404</v>
      </c>
      <c r="C1358">
        <v>2025</v>
      </c>
      <c r="E1358">
        <v>0.28183535468582221</v>
      </c>
      <c r="F1358">
        <v>-0.36893913937911571</v>
      </c>
      <c r="G1358">
        <v>-0.38650514093043831</v>
      </c>
      <c r="I1358">
        <v>0.53854809883463861</v>
      </c>
      <c r="M1358">
        <f t="shared" si="64"/>
        <v>6.4939173210906809E-2</v>
      </c>
      <c r="N1358">
        <f t="shared" si="65"/>
        <v>4</v>
      </c>
    </row>
    <row r="1359" spans="1:14" x14ac:dyDescent="0.35">
      <c r="A1359" t="str">
        <f t="shared" si="63"/>
        <v>18097390404_2026</v>
      </c>
      <c r="B1359">
        <v>18097390404</v>
      </c>
      <c r="C1359">
        <v>2026</v>
      </c>
      <c r="E1359">
        <v>0.42431686636216298</v>
      </c>
      <c r="F1359">
        <v>-0.36846516217752001</v>
      </c>
      <c r="G1359">
        <v>-0.42980362678991502</v>
      </c>
      <c r="I1359">
        <v>0.31576739152415029</v>
      </c>
      <c r="M1359">
        <f t="shared" si="64"/>
        <v>-5.818453108112176E-2</v>
      </c>
      <c r="N1359">
        <f t="shared" si="65"/>
        <v>4</v>
      </c>
    </row>
    <row r="1360" spans="1:14" x14ac:dyDescent="0.35">
      <c r="A1360" t="str">
        <f t="shared" si="63"/>
        <v>18097390404_2027</v>
      </c>
      <c r="B1360">
        <v>18097390404</v>
      </c>
      <c r="C1360">
        <v>2027</v>
      </c>
      <c r="E1360">
        <v>0.37144940127559822</v>
      </c>
      <c r="F1360">
        <v>-0.41222977626019031</v>
      </c>
      <c r="G1360">
        <v>-0.44516328535659111</v>
      </c>
      <c r="I1360">
        <v>0.48394558044946839</v>
      </c>
      <c r="M1360">
        <f t="shared" si="64"/>
        <v>-1.9980798917147991E-3</v>
      </c>
      <c r="N1360">
        <f t="shared" si="65"/>
        <v>4</v>
      </c>
    </row>
    <row r="1361" spans="1:14" x14ac:dyDescent="0.35">
      <c r="A1361" t="str">
        <f t="shared" si="63"/>
        <v>18097390404_2028</v>
      </c>
      <c r="B1361">
        <v>18097390404</v>
      </c>
      <c r="C1361">
        <v>2028</v>
      </c>
      <c r="E1361">
        <v>0.4390924022511043</v>
      </c>
      <c r="F1361">
        <v>-0.39680869356048731</v>
      </c>
      <c r="G1361">
        <v>-0.43699737348082968</v>
      </c>
      <c r="I1361">
        <v>0.32204422469310601</v>
      </c>
      <c r="M1361">
        <f t="shared" si="64"/>
        <v>-7.2669440097106686E-2</v>
      </c>
      <c r="N1361">
        <f t="shared" si="65"/>
        <v>4</v>
      </c>
    </row>
    <row r="1362" spans="1:14" x14ac:dyDescent="0.35">
      <c r="A1362" t="str">
        <f t="shared" si="63"/>
        <v>18097390407_2024</v>
      </c>
      <c r="B1362">
        <v>18097390407</v>
      </c>
      <c r="C1362">
        <v>2024</v>
      </c>
      <c r="E1362">
        <v>-0.45437963016331712</v>
      </c>
      <c r="G1362">
        <v>-0.31466286512073549</v>
      </c>
      <c r="I1362">
        <v>-0.1489721024617508</v>
      </c>
      <c r="M1362">
        <f t="shared" si="64"/>
        <v>-0.91801459774580341</v>
      </c>
      <c r="N1362">
        <f t="shared" si="65"/>
        <v>3</v>
      </c>
    </row>
    <row r="1363" spans="1:14" x14ac:dyDescent="0.35">
      <c r="A1363" t="str">
        <f t="shared" si="63"/>
        <v>18097390407_2025</v>
      </c>
      <c r="B1363">
        <v>18097390407</v>
      </c>
      <c r="C1363">
        <v>2025</v>
      </c>
      <c r="E1363">
        <v>0.39509078909596451</v>
      </c>
      <c r="G1363">
        <v>-0.69316429527407386</v>
      </c>
      <c r="I1363">
        <v>-0.1001369360115555</v>
      </c>
      <c r="M1363">
        <f t="shared" si="64"/>
        <v>-0.39821044218966484</v>
      </c>
      <c r="N1363">
        <f t="shared" si="65"/>
        <v>3</v>
      </c>
    </row>
    <row r="1364" spans="1:14" x14ac:dyDescent="0.35">
      <c r="A1364" t="str">
        <f t="shared" si="63"/>
        <v>18097390407_2026</v>
      </c>
      <c r="B1364">
        <v>18097390407</v>
      </c>
      <c r="C1364">
        <v>2026</v>
      </c>
      <c r="E1364">
        <v>-0.97607974846043599</v>
      </c>
      <c r="G1364">
        <v>-0.67569325710185035</v>
      </c>
      <c r="I1364">
        <v>-6.6305901351484064E-2</v>
      </c>
      <c r="M1364">
        <f t="shared" si="64"/>
        <v>-1.7180789069137705</v>
      </c>
      <c r="N1364">
        <f t="shared" si="65"/>
        <v>3</v>
      </c>
    </row>
    <row r="1365" spans="1:14" x14ac:dyDescent="0.35">
      <c r="A1365" t="str">
        <f t="shared" si="63"/>
        <v>18097390407_2027</v>
      </c>
      <c r="B1365">
        <v>18097390407</v>
      </c>
      <c r="C1365">
        <v>2027</v>
      </c>
      <c r="E1365">
        <v>0.47946177644597848</v>
      </c>
      <c r="G1365">
        <v>-0.76384520791242316</v>
      </c>
      <c r="I1365">
        <v>1.8237062166605891E-2</v>
      </c>
      <c r="M1365">
        <f t="shared" si="64"/>
        <v>-0.26614636929983881</v>
      </c>
      <c r="N1365">
        <f t="shared" si="65"/>
        <v>3</v>
      </c>
    </row>
    <row r="1366" spans="1:14" x14ac:dyDescent="0.35">
      <c r="A1366" t="str">
        <f t="shared" si="63"/>
        <v>18097390407_2028</v>
      </c>
      <c r="B1366">
        <v>18097390407</v>
      </c>
      <c r="C1366">
        <v>2028</v>
      </c>
      <c r="E1366">
        <v>-0.75642189802961612</v>
      </c>
      <c r="G1366">
        <v>-0.71628802185373119</v>
      </c>
      <c r="I1366">
        <v>8.0239682511641777E-2</v>
      </c>
      <c r="M1366">
        <f t="shared" si="64"/>
        <v>-1.3924702373717055</v>
      </c>
      <c r="N1366">
        <f t="shared" si="65"/>
        <v>3</v>
      </c>
    </row>
    <row r="1367" spans="1:14" x14ac:dyDescent="0.35">
      <c r="A1367" t="str">
        <f t="shared" si="63"/>
        <v>18097390600_2025</v>
      </c>
      <c r="B1367">
        <v>18097390600</v>
      </c>
      <c r="C1367">
        <v>2025</v>
      </c>
      <c r="E1367">
        <v>0.5134252749110636</v>
      </c>
      <c r="F1367">
        <v>0.21913466638665621</v>
      </c>
      <c r="G1367">
        <v>-0.60442321514902253</v>
      </c>
      <c r="H1367">
        <v>-0.7780561688852845</v>
      </c>
      <c r="I1367">
        <v>0.40020711769583062</v>
      </c>
      <c r="M1367">
        <f t="shared" si="64"/>
        <v>-0.24971232504075658</v>
      </c>
      <c r="N1367">
        <f t="shared" si="65"/>
        <v>5</v>
      </c>
    </row>
    <row r="1368" spans="1:14" x14ac:dyDescent="0.35">
      <c r="A1368" t="str">
        <f t="shared" si="63"/>
        <v>18097390600_2026</v>
      </c>
      <c r="B1368">
        <v>18097390600</v>
      </c>
      <c r="C1368">
        <v>2026</v>
      </c>
      <c r="E1368">
        <v>0.52248235381450059</v>
      </c>
      <c r="F1368">
        <v>0.24988306604640251</v>
      </c>
      <c r="G1368">
        <v>-0.62673597815307436</v>
      </c>
      <c r="H1368">
        <v>-0.44513460659511522</v>
      </c>
      <c r="I1368">
        <v>0.40770686047190829</v>
      </c>
      <c r="M1368">
        <f t="shared" si="64"/>
        <v>0.10820169558462184</v>
      </c>
      <c r="N1368">
        <f t="shared" si="65"/>
        <v>5</v>
      </c>
    </row>
    <row r="1369" spans="1:14" x14ac:dyDescent="0.35">
      <c r="A1369" t="str">
        <f t="shared" si="63"/>
        <v>18097390600_2027</v>
      </c>
      <c r="B1369">
        <v>18097390600</v>
      </c>
      <c r="C1369">
        <v>2027</v>
      </c>
      <c r="E1369">
        <v>0.55279609306433497</v>
      </c>
      <c r="F1369">
        <v>0.28976922860592652</v>
      </c>
      <c r="G1369">
        <v>-0.68175423992926709</v>
      </c>
      <c r="H1369">
        <v>-0.65812526094405566</v>
      </c>
      <c r="I1369">
        <v>0.39793004775410712</v>
      </c>
      <c r="M1369">
        <f t="shared" si="64"/>
        <v>-9.9384131448954083E-2</v>
      </c>
      <c r="N1369">
        <f t="shared" si="65"/>
        <v>5</v>
      </c>
    </row>
    <row r="1370" spans="1:14" x14ac:dyDescent="0.35">
      <c r="A1370" t="str">
        <f t="shared" si="63"/>
        <v>18097390600_2028</v>
      </c>
      <c r="B1370">
        <v>18097390600</v>
      </c>
      <c r="C1370">
        <v>2028</v>
      </c>
      <c r="E1370">
        <v>0.53431239922463258</v>
      </c>
      <c r="F1370">
        <v>0.36674069181565888</v>
      </c>
      <c r="G1370">
        <v>-0.65370291078934695</v>
      </c>
      <c r="H1370">
        <v>-0.51627447505040669</v>
      </c>
      <c r="I1370">
        <v>0.36531817590676308</v>
      </c>
      <c r="M1370">
        <f t="shared" si="64"/>
        <v>9.6393881107300849E-2</v>
      </c>
      <c r="N1370">
        <f t="shared" si="65"/>
        <v>5</v>
      </c>
    </row>
    <row r="1371" spans="1:14" x14ac:dyDescent="0.35">
      <c r="A1371" t="str">
        <f t="shared" si="63"/>
        <v>18097390800_2025</v>
      </c>
      <c r="B1371">
        <v>18097390800</v>
      </c>
      <c r="C1371">
        <v>2025</v>
      </c>
      <c r="E1371">
        <v>-0.43140501725053282</v>
      </c>
      <c r="F1371">
        <v>0.50930757631122847</v>
      </c>
      <c r="G1371">
        <v>-0.66436877688774154</v>
      </c>
      <c r="H1371">
        <v>-1.142941760125374</v>
      </c>
      <c r="I1371">
        <v>-1.0336214513956981</v>
      </c>
      <c r="M1371">
        <f t="shared" si="64"/>
        <v>-2.7630294293481179</v>
      </c>
      <c r="N1371">
        <f t="shared" si="65"/>
        <v>5</v>
      </c>
    </row>
    <row r="1372" spans="1:14" x14ac:dyDescent="0.35">
      <c r="A1372" t="str">
        <f t="shared" si="63"/>
        <v>18097390800_2026</v>
      </c>
      <c r="B1372">
        <v>18097390800</v>
      </c>
      <c r="C1372">
        <v>2026</v>
      </c>
      <c r="E1372">
        <v>-0.38544954957380878</v>
      </c>
      <c r="F1372">
        <v>0.57008227250789878</v>
      </c>
      <c r="G1372">
        <v>-0.69179200167484767</v>
      </c>
      <c r="H1372">
        <v>-0.86314902353372247</v>
      </c>
      <c r="I1372">
        <v>-9.9964879309252158E-2</v>
      </c>
      <c r="M1372">
        <f t="shared" si="64"/>
        <v>-1.4702731815837324</v>
      </c>
      <c r="N1372">
        <f t="shared" si="65"/>
        <v>5</v>
      </c>
    </row>
    <row r="1373" spans="1:14" x14ac:dyDescent="0.35">
      <c r="A1373" t="str">
        <f t="shared" si="63"/>
        <v>18097390800_2027</v>
      </c>
      <c r="B1373">
        <v>18097390800</v>
      </c>
      <c r="C1373">
        <v>2027</v>
      </c>
      <c r="E1373">
        <v>-0.37005754120173451</v>
      </c>
      <c r="F1373">
        <v>0.65208676986507652</v>
      </c>
      <c r="G1373">
        <v>-0.75413728814102265</v>
      </c>
      <c r="H1373">
        <v>-0.86185715374116389</v>
      </c>
      <c r="I1373">
        <v>-0.65522231364468408</v>
      </c>
      <c r="M1373">
        <f t="shared" si="64"/>
        <v>-1.9891875268635286</v>
      </c>
      <c r="N1373">
        <f t="shared" si="65"/>
        <v>5</v>
      </c>
    </row>
    <row r="1374" spans="1:14" x14ac:dyDescent="0.35">
      <c r="A1374" t="str">
        <f t="shared" si="63"/>
        <v>18097390800_2028</v>
      </c>
      <c r="B1374">
        <v>18097390800</v>
      </c>
      <c r="C1374">
        <v>2028</v>
      </c>
      <c r="E1374">
        <v>-0.25647839445552129</v>
      </c>
      <c r="F1374">
        <v>0.76571631737812951</v>
      </c>
      <c r="G1374">
        <v>-0.7222321217664186</v>
      </c>
      <c r="H1374">
        <v>-0.70485792638055955</v>
      </c>
      <c r="I1374">
        <v>-3.7161629720270477E-2</v>
      </c>
      <c r="M1374">
        <f t="shared" si="64"/>
        <v>-0.95501375494464036</v>
      </c>
      <c r="N1374">
        <f t="shared" si="65"/>
        <v>5</v>
      </c>
    </row>
    <row r="1375" spans="1:14" x14ac:dyDescent="0.35">
      <c r="A1375" t="str">
        <f t="shared" si="63"/>
        <v>18097391000_2025</v>
      </c>
      <c r="B1375">
        <v>18097391000</v>
      </c>
      <c r="C1375">
        <v>2025</v>
      </c>
      <c r="E1375">
        <v>1.210213530982596E-2</v>
      </c>
      <c r="F1375">
        <v>-0.30584644197623218</v>
      </c>
      <c r="G1375">
        <v>7.7952936802580017E-2</v>
      </c>
      <c r="I1375">
        <v>0.15381825497594359</v>
      </c>
      <c r="M1375">
        <f t="shared" si="64"/>
        <v>-6.1973114887882597E-2</v>
      </c>
      <c r="N1375">
        <f t="shared" si="65"/>
        <v>4</v>
      </c>
    </row>
    <row r="1376" spans="1:14" x14ac:dyDescent="0.35">
      <c r="A1376" t="str">
        <f t="shared" si="63"/>
        <v>18097391000_2026</v>
      </c>
      <c r="B1376">
        <v>18097391000</v>
      </c>
      <c r="C1376">
        <v>2026</v>
      </c>
      <c r="E1376">
        <v>9.2043947121868835E-2</v>
      </c>
      <c r="F1376">
        <v>-0.31416240729441852</v>
      </c>
      <c r="G1376">
        <v>3.030656671429913E-2</v>
      </c>
      <c r="I1376">
        <v>0.24354945419059509</v>
      </c>
      <c r="M1376">
        <f t="shared" si="64"/>
        <v>5.1737560732344534E-2</v>
      </c>
      <c r="N1376">
        <f t="shared" si="65"/>
        <v>4</v>
      </c>
    </row>
    <row r="1377" spans="1:14" x14ac:dyDescent="0.35">
      <c r="A1377" t="str">
        <f t="shared" si="63"/>
        <v>18097391000_2027</v>
      </c>
      <c r="B1377">
        <v>18097391000</v>
      </c>
      <c r="C1377">
        <v>2027</v>
      </c>
      <c r="E1377">
        <v>0.10110751786342929</v>
      </c>
      <c r="F1377">
        <v>-0.35735889526192022</v>
      </c>
      <c r="G1377">
        <v>8.4059684858123304E-2</v>
      </c>
      <c r="I1377">
        <v>0.2256546669534478</v>
      </c>
      <c r="M1377">
        <f t="shared" si="64"/>
        <v>5.3462974413080205E-2</v>
      </c>
      <c r="N1377">
        <f t="shared" si="65"/>
        <v>4</v>
      </c>
    </row>
    <row r="1378" spans="1:14" x14ac:dyDescent="0.35">
      <c r="A1378" t="str">
        <f t="shared" si="63"/>
        <v>18097391000_2028</v>
      </c>
      <c r="B1378">
        <v>18097391000</v>
      </c>
      <c r="C1378">
        <v>2028</v>
      </c>
      <c r="E1378">
        <v>0.17364691070426311</v>
      </c>
      <c r="F1378">
        <v>-0.34072002264122231</v>
      </c>
      <c r="G1378">
        <v>5.7710575941599687E-2</v>
      </c>
      <c r="I1378">
        <v>0.26595145961632682</v>
      </c>
      <c r="M1378">
        <f t="shared" si="64"/>
        <v>0.15658892362096732</v>
      </c>
      <c r="N1378">
        <f t="shared" si="65"/>
        <v>4</v>
      </c>
    </row>
    <row r="1379" spans="1:14" x14ac:dyDescent="0.35">
      <c r="A1379" t="str">
        <f t="shared" si="63"/>
        <v>18097310103_2024</v>
      </c>
      <c r="B1379">
        <v>18097310103</v>
      </c>
      <c r="C1379">
        <v>2024</v>
      </c>
      <c r="F1379">
        <v>-1.447526173751466</v>
      </c>
      <c r="G1379">
        <v>0.4241412887078555</v>
      </c>
      <c r="I1379">
        <v>0.59417302707731867</v>
      </c>
      <c r="M1379">
        <f t="shared" si="64"/>
        <v>-0.4292118579662918</v>
      </c>
      <c r="N1379">
        <f t="shared" si="65"/>
        <v>3</v>
      </c>
    </row>
    <row r="1380" spans="1:14" x14ac:dyDescent="0.35">
      <c r="A1380" t="str">
        <f t="shared" si="63"/>
        <v>18097320204_2024</v>
      </c>
      <c r="B1380">
        <v>18097320204</v>
      </c>
      <c r="C1380">
        <v>2024</v>
      </c>
      <c r="F1380">
        <v>1.4524870493569451</v>
      </c>
      <c r="G1380">
        <v>-0.74913157536542996</v>
      </c>
      <c r="H1380">
        <v>-0.15485787375021889</v>
      </c>
      <c r="I1380">
        <v>-1.0455164177117691</v>
      </c>
      <c r="M1380">
        <f t="shared" si="64"/>
        <v>-0.49701881747047283</v>
      </c>
      <c r="N1380">
        <f t="shared" si="65"/>
        <v>4</v>
      </c>
    </row>
    <row r="1381" spans="1:14" x14ac:dyDescent="0.35">
      <c r="A1381" t="str">
        <f t="shared" si="63"/>
        <v>18097320304_2024</v>
      </c>
      <c r="B1381">
        <v>18097320304</v>
      </c>
      <c r="C1381">
        <v>2024</v>
      </c>
      <c r="F1381">
        <v>0.46604749662909539</v>
      </c>
      <c r="G1381">
        <v>0.2571739043892472</v>
      </c>
      <c r="I1381">
        <v>-5.9854640390989637E-2</v>
      </c>
      <c r="M1381">
        <f t="shared" si="64"/>
        <v>0.663366760627353</v>
      </c>
      <c r="N1381">
        <f t="shared" si="65"/>
        <v>3</v>
      </c>
    </row>
    <row r="1382" spans="1:14" x14ac:dyDescent="0.35">
      <c r="A1382" t="str">
        <f t="shared" si="63"/>
        <v>18097322600_2024</v>
      </c>
      <c r="B1382">
        <v>18097322600</v>
      </c>
      <c r="C1382">
        <v>2024</v>
      </c>
      <c r="F1382">
        <v>2.953308393149785</v>
      </c>
      <c r="G1382">
        <v>-6.1282794954663031E-2</v>
      </c>
      <c r="H1382">
        <v>-3.102779395191399E-2</v>
      </c>
      <c r="I1382">
        <v>5.5555300207145712E-2</v>
      </c>
      <c r="M1382">
        <f t="shared" si="64"/>
        <v>2.9165531044503541</v>
      </c>
      <c r="N1382">
        <f t="shared" si="65"/>
        <v>4</v>
      </c>
    </row>
    <row r="1383" spans="1:14" x14ac:dyDescent="0.35">
      <c r="A1383" t="str">
        <f t="shared" si="63"/>
        <v>18097330202_2024</v>
      </c>
      <c r="B1383">
        <v>18097330202</v>
      </c>
      <c r="C1383">
        <v>2024</v>
      </c>
      <c r="F1383">
        <v>1.62836309862215</v>
      </c>
      <c r="G1383">
        <v>-0.47745807268735763</v>
      </c>
      <c r="H1383">
        <v>0.1119325488862771</v>
      </c>
      <c r="I1383">
        <v>-0.66130597445186312</v>
      </c>
      <c r="M1383">
        <f t="shared" si="64"/>
        <v>0.60153160036920628</v>
      </c>
      <c r="N1383">
        <f t="shared" si="65"/>
        <v>4</v>
      </c>
    </row>
    <row r="1384" spans="1:14" x14ac:dyDescent="0.35">
      <c r="A1384" t="str">
        <f t="shared" si="63"/>
        <v>18097330202_2025</v>
      </c>
      <c r="B1384">
        <v>18097330202</v>
      </c>
      <c r="C1384">
        <v>2025</v>
      </c>
      <c r="F1384">
        <v>-0.18559306277432749</v>
      </c>
      <c r="G1384">
        <v>-1.323263016733232</v>
      </c>
      <c r="H1384">
        <v>0.30563378846447492</v>
      </c>
      <c r="I1384">
        <v>-5.4506438233635143E-2</v>
      </c>
      <c r="M1384">
        <f t="shared" si="64"/>
        <v>-1.2577287292767196</v>
      </c>
      <c r="N1384">
        <f t="shared" si="65"/>
        <v>4</v>
      </c>
    </row>
    <row r="1385" spans="1:14" x14ac:dyDescent="0.35">
      <c r="A1385" t="str">
        <f t="shared" si="63"/>
        <v>18097330202_2026</v>
      </c>
      <c r="B1385">
        <v>18097330202</v>
      </c>
      <c r="C1385">
        <v>2026</v>
      </c>
      <c r="F1385">
        <v>9.3615274546683822E-2</v>
      </c>
      <c r="G1385">
        <v>-1.318888439929252</v>
      </c>
      <c r="H1385">
        <v>0.3476555352288731</v>
      </c>
      <c r="I1385">
        <v>-1.9875718533284931E-2</v>
      </c>
      <c r="M1385">
        <f t="shared" si="64"/>
        <v>-0.89749334868698005</v>
      </c>
      <c r="N1385">
        <f t="shared" si="65"/>
        <v>4</v>
      </c>
    </row>
    <row r="1386" spans="1:14" x14ac:dyDescent="0.35">
      <c r="A1386" t="str">
        <f t="shared" si="63"/>
        <v>18097330202_2027</v>
      </c>
      <c r="B1386">
        <v>18097330202</v>
      </c>
      <c r="C1386">
        <v>2027</v>
      </c>
      <c r="F1386">
        <v>-0.1068006296753346</v>
      </c>
      <c r="G1386">
        <v>-1.4884904206322731</v>
      </c>
      <c r="H1386">
        <v>0.18569749392527099</v>
      </c>
      <c r="I1386">
        <v>5.7168622708855567E-2</v>
      </c>
      <c r="M1386">
        <f t="shared" si="64"/>
        <v>-1.3524249336734813</v>
      </c>
      <c r="N1386">
        <f t="shared" si="65"/>
        <v>4</v>
      </c>
    </row>
    <row r="1387" spans="1:14" x14ac:dyDescent="0.35">
      <c r="A1387" t="str">
        <f t="shared" si="63"/>
        <v>18097330202_2028</v>
      </c>
      <c r="B1387">
        <v>18097330202</v>
      </c>
      <c r="C1387">
        <v>2028</v>
      </c>
      <c r="F1387">
        <v>9.3263569452082695E-2</v>
      </c>
      <c r="G1387">
        <v>-1.403131695786072</v>
      </c>
      <c r="H1387">
        <v>5.5325924831245668E-2</v>
      </c>
      <c r="I1387">
        <v>0.1105569141106971</v>
      </c>
      <c r="M1387">
        <f t="shared" si="64"/>
        <v>-1.1439852873920466</v>
      </c>
      <c r="N1387">
        <f t="shared" si="65"/>
        <v>4</v>
      </c>
    </row>
    <row r="1388" spans="1:14" x14ac:dyDescent="0.35">
      <c r="A1388" t="str">
        <f t="shared" si="63"/>
        <v>18097330209_2024</v>
      </c>
      <c r="B1388">
        <v>18097330209</v>
      </c>
      <c r="C1388">
        <v>2024</v>
      </c>
      <c r="F1388">
        <v>-0.4684035298084947</v>
      </c>
      <c r="G1388">
        <v>0.59705541199526513</v>
      </c>
      <c r="H1388">
        <v>-0.3698991122879996</v>
      </c>
      <c r="I1388">
        <v>-0.55427040545404493</v>
      </c>
      <c r="M1388">
        <f t="shared" si="64"/>
        <v>-0.79551763555527411</v>
      </c>
      <c r="N1388">
        <f t="shared" si="65"/>
        <v>4</v>
      </c>
    </row>
    <row r="1389" spans="1:14" x14ac:dyDescent="0.35">
      <c r="A1389" t="str">
        <f t="shared" si="63"/>
        <v>18097330700_2024</v>
      </c>
      <c r="B1389">
        <v>18097330700</v>
      </c>
      <c r="C1389">
        <v>2024</v>
      </c>
      <c r="F1389">
        <v>4.6432533458569276</v>
      </c>
      <c r="G1389">
        <v>0.29399599998619652</v>
      </c>
      <c r="I1389">
        <v>-0.15172080210792391</v>
      </c>
      <c r="M1389">
        <f t="shared" si="64"/>
        <v>4.7855285437352002</v>
      </c>
      <c r="N1389">
        <f t="shared" si="65"/>
        <v>3</v>
      </c>
    </row>
    <row r="1390" spans="1:14" x14ac:dyDescent="0.35">
      <c r="A1390" t="str">
        <f t="shared" si="63"/>
        <v>18097340109_2024</v>
      </c>
      <c r="B1390">
        <v>18097340109</v>
      </c>
      <c r="C1390">
        <v>2024</v>
      </c>
      <c r="F1390">
        <v>1.4926832783251101</v>
      </c>
      <c r="G1390">
        <v>-0.31247344365149832</v>
      </c>
      <c r="H1390">
        <v>-0.66017925071053818</v>
      </c>
      <c r="I1390">
        <v>-0.64974191508952206</v>
      </c>
      <c r="M1390">
        <f t="shared" si="64"/>
        <v>-0.12971133112644861</v>
      </c>
      <c r="N1390">
        <f t="shared" si="65"/>
        <v>4</v>
      </c>
    </row>
    <row r="1391" spans="1:14" x14ac:dyDescent="0.35">
      <c r="A1391" t="str">
        <f t="shared" si="63"/>
        <v>18097340110_2024</v>
      </c>
      <c r="B1391">
        <v>18097340110</v>
      </c>
      <c r="C1391">
        <v>2024</v>
      </c>
      <c r="F1391">
        <v>1.6896584408891131</v>
      </c>
      <c r="G1391">
        <v>1.8938410857753388E-2</v>
      </c>
      <c r="H1391">
        <v>0.17145872835576129</v>
      </c>
      <c r="M1391">
        <f t="shared" si="64"/>
        <v>1.880055580102628</v>
      </c>
      <c r="N1391">
        <f t="shared" si="65"/>
        <v>3</v>
      </c>
    </row>
    <row r="1392" spans="1:14" x14ac:dyDescent="0.35">
      <c r="A1392" t="str">
        <f t="shared" si="63"/>
        <v>18097340110_2025</v>
      </c>
      <c r="B1392">
        <v>18097340110</v>
      </c>
      <c r="C1392">
        <v>2025</v>
      </c>
      <c r="F1392">
        <v>0.36950171310400698</v>
      </c>
      <c r="G1392">
        <v>-0.8282729231856375</v>
      </c>
      <c r="H1392">
        <v>0.12432490560399399</v>
      </c>
      <c r="M1392">
        <f t="shared" si="64"/>
        <v>-0.33444630447763651</v>
      </c>
      <c r="N1392">
        <f t="shared" si="65"/>
        <v>3</v>
      </c>
    </row>
    <row r="1393" spans="1:14" x14ac:dyDescent="0.35">
      <c r="A1393" t="str">
        <f t="shared" si="63"/>
        <v>18097340110_2026</v>
      </c>
      <c r="B1393">
        <v>18097340110</v>
      </c>
      <c r="C1393">
        <v>2026</v>
      </c>
      <c r="F1393">
        <v>0.37515866954040838</v>
      </c>
      <c r="G1393">
        <v>-9.7311619592590007E-2</v>
      </c>
      <c r="H1393">
        <v>0.16303426736330279</v>
      </c>
      <c r="M1393">
        <f t="shared" si="64"/>
        <v>0.44088131731112118</v>
      </c>
      <c r="N1393">
        <f t="shared" si="65"/>
        <v>3</v>
      </c>
    </row>
    <row r="1394" spans="1:14" x14ac:dyDescent="0.35">
      <c r="A1394" t="str">
        <f t="shared" si="63"/>
        <v>18097340110_2027</v>
      </c>
      <c r="B1394">
        <v>18097340110</v>
      </c>
      <c r="C1394">
        <v>2027</v>
      </c>
      <c r="F1394">
        <v>0.46804896785887401</v>
      </c>
      <c r="G1394">
        <v>-0.87531835068894348</v>
      </c>
      <c r="H1394">
        <v>-9.0656923968821315E-4</v>
      </c>
      <c r="M1394">
        <f t="shared" si="64"/>
        <v>-0.40817595206975771</v>
      </c>
      <c r="N1394">
        <f t="shared" si="65"/>
        <v>3</v>
      </c>
    </row>
    <row r="1395" spans="1:14" x14ac:dyDescent="0.35">
      <c r="A1395" t="str">
        <f t="shared" si="63"/>
        <v>18097340110_2028</v>
      </c>
      <c r="B1395">
        <v>18097340110</v>
      </c>
      <c r="C1395">
        <v>2028</v>
      </c>
      <c r="F1395">
        <v>0.53027083073507053</v>
      </c>
      <c r="G1395">
        <v>-0.13230224751038969</v>
      </c>
      <c r="H1395">
        <v>-0.10676285963571081</v>
      </c>
      <c r="M1395">
        <f t="shared" si="64"/>
        <v>0.29120572358897007</v>
      </c>
      <c r="N1395">
        <f t="shared" si="65"/>
        <v>3</v>
      </c>
    </row>
    <row r="1396" spans="1:14" x14ac:dyDescent="0.35">
      <c r="A1396" t="str">
        <f t="shared" si="63"/>
        <v>18097340300_2024</v>
      </c>
      <c r="B1396">
        <v>18097340300</v>
      </c>
      <c r="C1396">
        <v>2024</v>
      </c>
      <c r="F1396">
        <v>0.857507644739254</v>
      </c>
      <c r="G1396">
        <v>0.18339421984169141</v>
      </c>
      <c r="I1396">
        <v>3.421614010228093</v>
      </c>
      <c r="M1396">
        <f t="shared" si="64"/>
        <v>4.4625158748090383</v>
      </c>
      <c r="N1396">
        <f t="shared" si="65"/>
        <v>3</v>
      </c>
    </row>
    <row r="1397" spans="1:14" x14ac:dyDescent="0.35">
      <c r="A1397" t="str">
        <f t="shared" si="63"/>
        <v>18097340902_2024</v>
      </c>
      <c r="B1397">
        <v>18097340902</v>
      </c>
      <c r="C1397">
        <v>2024</v>
      </c>
      <c r="F1397">
        <v>1.035923778020124</v>
      </c>
      <c r="G1397">
        <v>-0.25214029982240399</v>
      </c>
      <c r="I1397">
        <v>-0.48661732360511262</v>
      </c>
      <c r="M1397">
        <f t="shared" si="64"/>
        <v>0.29716615459260737</v>
      </c>
      <c r="N1397">
        <f t="shared" si="65"/>
        <v>3</v>
      </c>
    </row>
    <row r="1398" spans="1:14" x14ac:dyDescent="0.35">
      <c r="A1398" t="str">
        <f t="shared" si="63"/>
        <v>18097341700_2024</v>
      </c>
      <c r="B1398">
        <v>18097341700</v>
      </c>
      <c r="C1398">
        <v>2024</v>
      </c>
      <c r="F1398">
        <v>1.626788567421807</v>
      </c>
      <c r="G1398">
        <v>-0.32341248029359748</v>
      </c>
      <c r="H1398">
        <v>-0.1434578660621654</v>
      </c>
      <c r="I1398">
        <v>0.1713425346673301</v>
      </c>
      <c r="M1398">
        <f t="shared" si="64"/>
        <v>1.3312607557333742</v>
      </c>
      <c r="N1398">
        <f t="shared" si="65"/>
        <v>4</v>
      </c>
    </row>
    <row r="1399" spans="1:14" x14ac:dyDescent="0.35">
      <c r="A1399" t="str">
        <f t="shared" si="63"/>
        <v>18097354200_2024</v>
      </c>
      <c r="B1399">
        <v>18097354200</v>
      </c>
      <c r="C1399">
        <v>2024</v>
      </c>
      <c r="F1399">
        <v>0.70291820514116377</v>
      </c>
      <c r="G1399">
        <v>2.751605168095575E-2</v>
      </c>
      <c r="H1399">
        <v>-0.28959882187646901</v>
      </c>
      <c r="I1399">
        <v>0.18578979441518489</v>
      </c>
      <c r="M1399">
        <f t="shared" si="64"/>
        <v>0.62662522936083542</v>
      </c>
      <c r="N1399">
        <f t="shared" si="65"/>
        <v>4</v>
      </c>
    </row>
    <row r="1400" spans="1:14" x14ac:dyDescent="0.35">
      <c r="A1400" t="str">
        <f t="shared" si="63"/>
        <v>18097357600_2024</v>
      </c>
      <c r="B1400">
        <v>18097357600</v>
      </c>
      <c r="C1400">
        <v>2024</v>
      </c>
      <c r="F1400">
        <v>0.1984536135809046</v>
      </c>
      <c r="G1400">
        <v>-1.783814855406007E-2</v>
      </c>
      <c r="I1400">
        <v>0.55293206287783647</v>
      </c>
      <c r="M1400">
        <f t="shared" si="64"/>
        <v>0.73354752790468103</v>
      </c>
      <c r="N1400">
        <f t="shared" si="65"/>
        <v>3</v>
      </c>
    </row>
    <row r="1401" spans="1:14" x14ac:dyDescent="0.35">
      <c r="A1401" t="str">
        <f t="shared" si="63"/>
        <v>18097360404_2024</v>
      </c>
      <c r="B1401">
        <v>18097360404</v>
      </c>
      <c r="C1401">
        <v>2024</v>
      </c>
      <c r="F1401">
        <v>1.8390916376465081</v>
      </c>
      <c r="G1401">
        <v>-1.672891539265063</v>
      </c>
      <c r="H1401">
        <v>-0.16071880674183689</v>
      </c>
      <c r="I1401">
        <v>2.2226983331409982</v>
      </c>
      <c r="M1401">
        <f t="shared" si="64"/>
        <v>2.2281796247806063</v>
      </c>
      <c r="N1401">
        <f t="shared" si="65"/>
        <v>4</v>
      </c>
    </row>
    <row r="1402" spans="1:14" x14ac:dyDescent="0.35">
      <c r="A1402" t="str">
        <f t="shared" si="63"/>
        <v>18097360404_2025</v>
      </c>
      <c r="B1402">
        <v>18097360404</v>
      </c>
      <c r="C1402">
        <v>2025</v>
      </c>
      <c r="F1402">
        <v>0.64379931153442937</v>
      </c>
      <c r="G1402">
        <v>-1.339590388072124</v>
      </c>
      <c r="H1402">
        <v>-0.89628084414074094</v>
      </c>
      <c r="I1402">
        <v>-0.1044553831007331</v>
      </c>
      <c r="M1402">
        <f t="shared" si="64"/>
        <v>-1.6965273037791686</v>
      </c>
      <c r="N1402">
        <f t="shared" si="65"/>
        <v>4</v>
      </c>
    </row>
    <row r="1403" spans="1:14" x14ac:dyDescent="0.35">
      <c r="A1403" t="str">
        <f t="shared" si="63"/>
        <v>18097360404_2026</v>
      </c>
      <c r="B1403">
        <v>18097360404</v>
      </c>
      <c r="C1403">
        <v>2026</v>
      </c>
      <c r="F1403">
        <v>0.72034952029224497</v>
      </c>
      <c r="G1403">
        <v>-1.7561132329554989</v>
      </c>
      <c r="H1403">
        <v>-0.72273169566933215</v>
      </c>
      <c r="I1403">
        <v>9.4655414770700802E-2</v>
      </c>
      <c r="M1403">
        <f t="shared" si="64"/>
        <v>-1.6638399935618853</v>
      </c>
      <c r="N1403">
        <f t="shared" si="65"/>
        <v>4</v>
      </c>
    </row>
    <row r="1404" spans="1:14" x14ac:dyDescent="0.35">
      <c r="A1404" t="str">
        <f t="shared" si="63"/>
        <v>18097360404_2027</v>
      </c>
      <c r="B1404">
        <v>18097360404</v>
      </c>
      <c r="C1404">
        <v>2027</v>
      </c>
      <c r="F1404">
        <v>0.82254940663070619</v>
      </c>
      <c r="G1404">
        <v>-1.6759601422780359</v>
      </c>
      <c r="H1404">
        <v>-0.74107295140640972</v>
      </c>
      <c r="I1404">
        <v>6.6502568857806518E-2</v>
      </c>
      <c r="M1404">
        <f t="shared" si="64"/>
        <v>-1.5279811181959331</v>
      </c>
      <c r="N1404">
        <f t="shared" si="65"/>
        <v>4</v>
      </c>
    </row>
    <row r="1405" spans="1:14" x14ac:dyDescent="0.35">
      <c r="A1405" t="str">
        <f t="shared" si="63"/>
        <v>18097360404_2028</v>
      </c>
      <c r="B1405">
        <v>18097360404</v>
      </c>
      <c r="C1405">
        <v>2028</v>
      </c>
      <c r="F1405">
        <v>0.95246710687913605</v>
      </c>
      <c r="G1405">
        <v>-1.7748427536632589</v>
      </c>
      <c r="H1405">
        <v>-0.64130425620279397</v>
      </c>
      <c r="I1405">
        <v>0.15748022645437559</v>
      </c>
      <c r="M1405">
        <f t="shared" si="64"/>
        <v>-1.3061996765325412</v>
      </c>
      <c r="N1405">
        <f t="shared" si="65"/>
        <v>4</v>
      </c>
    </row>
    <row r="1406" spans="1:14" x14ac:dyDescent="0.35">
      <c r="A1406" t="str">
        <f t="shared" si="63"/>
        <v>18097361400_2024</v>
      </c>
      <c r="B1406">
        <v>18097361400</v>
      </c>
      <c r="C1406">
        <v>2024</v>
      </c>
      <c r="F1406">
        <v>-1.040060859203372</v>
      </c>
      <c r="G1406">
        <v>-0.23565432427684579</v>
      </c>
      <c r="H1406">
        <v>1.1698142232771169</v>
      </c>
      <c r="I1406">
        <v>0.53701622161601337</v>
      </c>
      <c r="M1406">
        <f t="shared" si="64"/>
        <v>0.43111526141291245</v>
      </c>
      <c r="N1406">
        <f t="shared" si="65"/>
        <v>4</v>
      </c>
    </row>
    <row r="1407" spans="1:14" x14ac:dyDescent="0.35">
      <c r="A1407" t="str">
        <f t="shared" si="63"/>
        <v>18097361600_2024</v>
      </c>
      <c r="B1407">
        <v>18097361600</v>
      </c>
      <c r="C1407">
        <v>2024</v>
      </c>
      <c r="F1407">
        <v>-1.766486677394552</v>
      </c>
      <c r="G1407">
        <v>-0.22561775697451991</v>
      </c>
      <c r="H1407">
        <v>0.11995397990912519</v>
      </c>
      <c r="I1407">
        <v>-0.58201669110308263</v>
      </c>
      <c r="M1407">
        <f t="shared" si="64"/>
        <v>-2.4541671455630292</v>
      </c>
      <c r="N1407">
        <f t="shared" si="65"/>
        <v>4</v>
      </c>
    </row>
    <row r="1408" spans="1:14" x14ac:dyDescent="0.35">
      <c r="A1408" t="str">
        <f t="shared" si="63"/>
        <v>18097370202_2024</v>
      </c>
      <c r="B1408">
        <v>18097370202</v>
      </c>
      <c r="C1408">
        <v>2024</v>
      </c>
      <c r="F1408">
        <v>0.18843352200194161</v>
      </c>
      <c r="G1408">
        <v>0.27269789996300892</v>
      </c>
      <c r="H1408">
        <v>-0.16535514190059389</v>
      </c>
      <c r="I1408">
        <v>0.63289599136546593</v>
      </c>
      <c r="M1408">
        <f t="shared" si="64"/>
        <v>0.92867227142982256</v>
      </c>
      <c r="N1408">
        <f t="shared" si="65"/>
        <v>4</v>
      </c>
    </row>
    <row r="1409" spans="1:14" x14ac:dyDescent="0.35">
      <c r="A1409" t="str">
        <f t="shared" si="63"/>
        <v>18097370301_2024</v>
      </c>
      <c r="B1409">
        <v>18097370301</v>
      </c>
      <c r="C1409">
        <v>2024</v>
      </c>
      <c r="F1409">
        <v>0.49388894577834203</v>
      </c>
      <c r="G1409">
        <v>-0.12777789247834351</v>
      </c>
      <c r="I1409">
        <v>0.27669372011395788</v>
      </c>
      <c r="M1409">
        <f t="shared" si="64"/>
        <v>0.64280477341395637</v>
      </c>
      <c r="N1409">
        <f t="shared" si="65"/>
        <v>3</v>
      </c>
    </row>
    <row r="1410" spans="1:14" x14ac:dyDescent="0.35">
      <c r="A1410" t="str">
        <f t="shared" si="63"/>
        <v>18097370302_2024</v>
      </c>
      <c r="B1410">
        <v>18097370302</v>
      </c>
      <c r="C1410">
        <v>2024</v>
      </c>
      <c r="F1410">
        <v>-0.29429305134108469</v>
      </c>
      <c r="G1410">
        <v>-0.27283578928534968</v>
      </c>
      <c r="I1410">
        <v>-3.9816237573734863E-2</v>
      </c>
      <c r="M1410">
        <f t="shared" si="64"/>
        <v>-0.60694507820016919</v>
      </c>
      <c r="N1410">
        <f t="shared" si="65"/>
        <v>3</v>
      </c>
    </row>
    <row r="1411" spans="1:14" x14ac:dyDescent="0.35">
      <c r="A1411" t="str">
        <f t="shared" ref="A1411:A1474" si="66">TEXT(B1411,0)&amp;"_"&amp;TEXT(C1411,0)</f>
        <v>18097380100_2024</v>
      </c>
      <c r="B1411">
        <v>18097380100</v>
      </c>
      <c r="C1411">
        <v>2024</v>
      </c>
      <c r="F1411">
        <v>9.1286950683500442E-2</v>
      </c>
      <c r="G1411">
        <v>-0.4984208173421974</v>
      </c>
      <c r="H1411">
        <v>-2.8678660739628482E-2</v>
      </c>
      <c r="I1411">
        <v>0.14973890155390709</v>
      </c>
      <c r="M1411">
        <f t="shared" ref="M1411:M1474" si="67">SUM(D1411:K1411)</f>
        <v>-0.28607362584441831</v>
      </c>
      <c r="N1411">
        <f t="shared" ref="N1411:N1474" si="68">IF(D1411=0,0,1)+IF(E1411=0,0,1)+IF(F1411=0,0,1)+IF(G1411=0,0,1)+IF(H1411=0,0,1)+IF(I1411=0,0,1)++IF(J1411=0,0,1)++IF(K1411=0,0,1)</f>
        <v>4</v>
      </c>
    </row>
    <row r="1412" spans="1:14" x14ac:dyDescent="0.35">
      <c r="A1412" t="str">
        <f t="shared" si="66"/>
        <v>18097380300_2024</v>
      </c>
      <c r="B1412">
        <v>18097380300</v>
      </c>
      <c r="C1412">
        <v>2024</v>
      </c>
      <c r="F1412">
        <v>0.46736267335860932</v>
      </c>
      <c r="G1412">
        <v>-0.31575082300907242</v>
      </c>
      <c r="H1412">
        <v>-0.16872707705143311</v>
      </c>
      <c r="I1412">
        <v>-1.76220245304754</v>
      </c>
      <c r="M1412">
        <f t="shared" si="67"/>
        <v>-1.7793176797494361</v>
      </c>
      <c r="N1412">
        <f t="shared" si="68"/>
        <v>4</v>
      </c>
    </row>
    <row r="1413" spans="1:14" x14ac:dyDescent="0.35">
      <c r="A1413" t="str">
        <f t="shared" si="66"/>
        <v>18097381001_2024</v>
      </c>
      <c r="B1413">
        <v>18097381001</v>
      </c>
      <c r="C1413">
        <v>2024</v>
      </c>
      <c r="F1413">
        <v>2.2025560187002342</v>
      </c>
      <c r="G1413">
        <v>-1.6360366531331321</v>
      </c>
      <c r="H1413">
        <v>-0.1075501510380615</v>
      </c>
      <c r="I1413">
        <v>1.3225845719687661</v>
      </c>
      <c r="M1413">
        <f t="shared" si="67"/>
        <v>1.7815537864978068</v>
      </c>
      <c r="N1413">
        <f t="shared" si="68"/>
        <v>4</v>
      </c>
    </row>
    <row r="1414" spans="1:14" x14ac:dyDescent="0.35">
      <c r="A1414" t="str">
        <f t="shared" si="66"/>
        <v>18097381201_2024</v>
      </c>
      <c r="B1414">
        <v>18097381201</v>
      </c>
      <c r="C1414">
        <v>2024</v>
      </c>
      <c r="F1414">
        <v>-0.15902117877381489</v>
      </c>
      <c r="G1414">
        <v>-0.26613008246643949</v>
      </c>
      <c r="H1414">
        <v>-0.116857794790272</v>
      </c>
      <c r="I1414">
        <v>-0.72793969627212329</v>
      </c>
      <c r="M1414">
        <f t="shared" si="67"/>
        <v>-1.2699487523026498</v>
      </c>
      <c r="N1414">
        <f t="shared" si="68"/>
        <v>4</v>
      </c>
    </row>
    <row r="1415" spans="1:14" x14ac:dyDescent="0.35">
      <c r="A1415" t="str">
        <f t="shared" si="66"/>
        <v>18097390101_2024</v>
      </c>
      <c r="B1415">
        <v>18097390101</v>
      </c>
      <c r="C1415">
        <v>2024</v>
      </c>
      <c r="F1415">
        <v>-1.207967466433552</v>
      </c>
      <c r="G1415">
        <v>-0.18191556115098681</v>
      </c>
      <c r="I1415">
        <v>6.3170701575930382E-2</v>
      </c>
      <c r="M1415">
        <f t="shared" si="67"/>
        <v>-1.3267123260086084</v>
      </c>
      <c r="N1415">
        <f t="shared" si="68"/>
        <v>3</v>
      </c>
    </row>
    <row r="1416" spans="1:14" x14ac:dyDescent="0.35">
      <c r="A1416" t="str">
        <f t="shared" si="66"/>
        <v>18097390402_2024</v>
      </c>
      <c r="B1416">
        <v>18097390402</v>
      </c>
      <c r="C1416">
        <v>2024</v>
      </c>
      <c r="F1416">
        <v>-1.1318589740644689</v>
      </c>
      <c r="G1416">
        <v>-8.9325245933963692E-3</v>
      </c>
      <c r="H1416">
        <v>0.15746815337788089</v>
      </c>
      <c r="I1416">
        <v>2.339529681634533</v>
      </c>
      <c r="M1416">
        <f t="shared" si="67"/>
        <v>1.3562063363545485</v>
      </c>
      <c r="N1416">
        <f t="shared" si="68"/>
        <v>4</v>
      </c>
    </row>
    <row r="1417" spans="1:14" x14ac:dyDescent="0.35">
      <c r="A1417" t="str">
        <f t="shared" si="66"/>
        <v>18097390403_2024</v>
      </c>
      <c r="B1417">
        <v>18097390403</v>
      </c>
      <c r="C1417">
        <v>2024</v>
      </c>
      <c r="F1417">
        <v>-1.396861261542043</v>
      </c>
      <c r="G1417">
        <v>-0.25270194060089202</v>
      </c>
      <c r="I1417">
        <v>0.1661695804220471</v>
      </c>
      <c r="M1417">
        <f t="shared" si="67"/>
        <v>-1.4833936217208878</v>
      </c>
      <c r="N1417">
        <f t="shared" si="68"/>
        <v>3</v>
      </c>
    </row>
    <row r="1418" spans="1:14" x14ac:dyDescent="0.35">
      <c r="A1418" t="str">
        <f t="shared" si="66"/>
        <v>18097390404_2024</v>
      </c>
      <c r="B1418">
        <v>18097390404</v>
      </c>
      <c r="C1418">
        <v>2024</v>
      </c>
      <c r="F1418">
        <v>-1.187430110920431</v>
      </c>
      <c r="G1418">
        <v>-0.35023922486244652</v>
      </c>
      <c r="I1418">
        <v>0.154328242167239</v>
      </c>
      <c r="M1418">
        <f t="shared" si="67"/>
        <v>-1.3833410936156387</v>
      </c>
      <c r="N1418">
        <f t="shared" si="68"/>
        <v>3</v>
      </c>
    </row>
    <row r="1419" spans="1:14" x14ac:dyDescent="0.35">
      <c r="A1419" t="str">
        <f t="shared" si="66"/>
        <v>18097390600_2024</v>
      </c>
      <c r="B1419">
        <v>18097390600</v>
      </c>
      <c r="C1419">
        <v>2024</v>
      </c>
      <c r="F1419">
        <v>1.2427480091167411</v>
      </c>
      <c r="G1419">
        <v>-0.2185410496854179</v>
      </c>
      <c r="H1419">
        <v>-0.10462244886846279</v>
      </c>
      <c r="I1419">
        <v>0.87339981634613684</v>
      </c>
      <c r="M1419">
        <f t="shared" si="67"/>
        <v>1.7929843269089973</v>
      </c>
      <c r="N1419">
        <f t="shared" si="68"/>
        <v>4</v>
      </c>
    </row>
    <row r="1420" spans="1:14" x14ac:dyDescent="0.35">
      <c r="A1420" t="str">
        <f t="shared" si="66"/>
        <v>18097390800_2024</v>
      </c>
      <c r="B1420">
        <v>18097390800</v>
      </c>
      <c r="C1420">
        <v>2024</v>
      </c>
      <c r="F1420">
        <v>-0.20667496473902691</v>
      </c>
      <c r="G1420">
        <v>-0.62862318262356109</v>
      </c>
      <c r="H1420">
        <v>-0.23816494099416621</v>
      </c>
      <c r="I1420">
        <v>0.76644600441734145</v>
      </c>
      <c r="M1420">
        <f t="shared" si="67"/>
        <v>-0.30701708393941274</v>
      </c>
      <c r="N1420">
        <f t="shared" si="68"/>
        <v>4</v>
      </c>
    </row>
    <row r="1421" spans="1:14" x14ac:dyDescent="0.35">
      <c r="A1421" t="str">
        <f t="shared" si="66"/>
        <v>18097391000_2024</v>
      </c>
      <c r="B1421">
        <v>18097391000</v>
      </c>
      <c r="C1421">
        <v>2024</v>
      </c>
      <c r="F1421">
        <v>1.86868675771931</v>
      </c>
      <c r="G1421">
        <v>0.32990980198154868</v>
      </c>
      <c r="I1421">
        <v>8.0298027315702292E-2</v>
      </c>
      <c r="M1421">
        <f t="shared" si="67"/>
        <v>2.2788945870165609</v>
      </c>
      <c r="N1421">
        <f t="shared" si="68"/>
        <v>3</v>
      </c>
    </row>
    <row r="1422" spans="1:14" x14ac:dyDescent="0.35">
      <c r="A1422" t="str">
        <f t="shared" si="66"/>
        <v>18011810605_2024</v>
      </c>
      <c r="B1422">
        <v>18011810605</v>
      </c>
      <c r="C1422">
        <v>2024</v>
      </c>
      <c r="J1422">
        <v>-0.30227617511650801</v>
      </c>
      <c r="K1422">
        <v>0.17088213730755539</v>
      </c>
      <c r="M1422">
        <f t="shared" si="67"/>
        <v>-0.13139403780895262</v>
      </c>
      <c r="N1422">
        <f t="shared" si="68"/>
        <v>2</v>
      </c>
    </row>
    <row r="1423" spans="1:14" x14ac:dyDescent="0.35">
      <c r="A1423" t="str">
        <f t="shared" si="66"/>
        <v>18011810605_2025</v>
      </c>
      <c r="B1423">
        <v>18011810605</v>
      </c>
      <c r="C1423">
        <v>2025</v>
      </c>
      <c r="J1423">
        <v>-0.3893972248338412</v>
      </c>
      <c r="K1423">
        <v>-5.5117098868447317E-2</v>
      </c>
      <c r="M1423">
        <f t="shared" si="67"/>
        <v>-0.44451432370228849</v>
      </c>
      <c r="N1423">
        <f t="shared" si="68"/>
        <v>2</v>
      </c>
    </row>
    <row r="1424" spans="1:14" x14ac:dyDescent="0.35">
      <c r="A1424" t="str">
        <f t="shared" si="66"/>
        <v>18011810605_2026</v>
      </c>
      <c r="B1424">
        <v>18011810605</v>
      </c>
      <c r="C1424">
        <v>2026</v>
      </c>
      <c r="J1424">
        <v>-0.45516976893515171</v>
      </c>
      <c r="K1424">
        <v>-7.0732063066128864E-2</v>
      </c>
      <c r="M1424">
        <f t="shared" si="67"/>
        <v>-0.5259018320012806</v>
      </c>
      <c r="N1424">
        <f t="shared" si="68"/>
        <v>2</v>
      </c>
    </row>
    <row r="1425" spans="1:14" x14ac:dyDescent="0.35">
      <c r="A1425" t="str">
        <f t="shared" si="66"/>
        <v>18011810605_2027</v>
      </c>
      <c r="B1425">
        <v>18011810605</v>
      </c>
      <c r="C1425">
        <v>2027</v>
      </c>
      <c r="J1425">
        <v>-0.48144777445684889</v>
      </c>
      <c r="K1425">
        <v>-6.4489863545660359E-2</v>
      </c>
      <c r="M1425">
        <f t="shared" si="67"/>
        <v>-0.54593763800250927</v>
      </c>
      <c r="N1425">
        <f t="shared" si="68"/>
        <v>2</v>
      </c>
    </row>
    <row r="1426" spans="1:14" x14ac:dyDescent="0.35">
      <c r="A1426" t="str">
        <f t="shared" si="66"/>
        <v>18011810605_2028</v>
      </c>
      <c r="B1426">
        <v>18011810605</v>
      </c>
      <c r="C1426">
        <v>2028</v>
      </c>
      <c r="J1426">
        <v>-0.49218906471145002</v>
      </c>
      <c r="K1426">
        <v>-4.8359156632349361E-2</v>
      </c>
      <c r="M1426">
        <f t="shared" si="67"/>
        <v>-0.54054822134379943</v>
      </c>
      <c r="N1426">
        <f t="shared" si="68"/>
        <v>2</v>
      </c>
    </row>
    <row r="1427" spans="1:14" x14ac:dyDescent="0.35">
      <c r="A1427" t="str">
        <f t="shared" si="66"/>
        <v>18057110805_2024</v>
      </c>
      <c r="B1427">
        <v>18057110805</v>
      </c>
      <c r="C1427">
        <v>2024</v>
      </c>
      <c r="J1427">
        <v>-0.73831528199974716</v>
      </c>
      <c r="M1427">
        <f t="shared" si="67"/>
        <v>-0.73831528199974716</v>
      </c>
      <c r="N1427">
        <f t="shared" si="68"/>
        <v>1</v>
      </c>
    </row>
    <row r="1428" spans="1:14" x14ac:dyDescent="0.35">
      <c r="A1428" t="str">
        <f t="shared" si="66"/>
        <v>18057110805_2025</v>
      </c>
      <c r="B1428">
        <v>18057110805</v>
      </c>
      <c r="C1428">
        <v>2025</v>
      </c>
      <c r="J1428">
        <v>-1.0224416709663009</v>
      </c>
      <c r="M1428">
        <f t="shared" si="67"/>
        <v>-1.0224416709663009</v>
      </c>
      <c r="N1428">
        <f t="shared" si="68"/>
        <v>1</v>
      </c>
    </row>
    <row r="1429" spans="1:14" x14ac:dyDescent="0.35">
      <c r="A1429" t="str">
        <f t="shared" si="66"/>
        <v>18057110805_2026</v>
      </c>
      <c r="B1429">
        <v>18057110805</v>
      </c>
      <c r="C1429">
        <v>2026</v>
      </c>
      <c r="J1429">
        <v>-1.1063883215149051</v>
      </c>
      <c r="M1429">
        <f t="shared" si="67"/>
        <v>-1.1063883215149051</v>
      </c>
      <c r="N1429">
        <f t="shared" si="68"/>
        <v>1</v>
      </c>
    </row>
    <row r="1430" spans="1:14" x14ac:dyDescent="0.35">
      <c r="A1430" t="str">
        <f t="shared" si="66"/>
        <v>18057110805_2027</v>
      </c>
      <c r="B1430">
        <v>18057110805</v>
      </c>
      <c r="C1430">
        <v>2027</v>
      </c>
      <c r="J1430">
        <v>-1.1267442385629489</v>
      </c>
      <c r="M1430">
        <f t="shared" si="67"/>
        <v>-1.1267442385629489</v>
      </c>
      <c r="N1430">
        <f t="shared" si="68"/>
        <v>1</v>
      </c>
    </row>
    <row r="1431" spans="1:14" x14ac:dyDescent="0.35">
      <c r="A1431" t="str">
        <f t="shared" si="66"/>
        <v>18057110805_2028</v>
      </c>
      <c r="B1431">
        <v>18057110805</v>
      </c>
      <c r="C1431">
        <v>2028</v>
      </c>
      <c r="J1431">
        <v>-1.1318372538216139</v>
      </c>
      <c r="M1431">
        <f t="shared" si="67"/>
        <v>-1.1318372538216139</v>
      </c>
      <c r="N1431">
        <f t="shared" si="68"/>
        <v>1</v>
      </c>
    </row>
    <row r="1432" spans="1:14" x14ac:dyDescent="0.35">
      <c r="A1432" t="str">
        <f t="shared" si="66"/>
        <v>18057110807_2024</v>
      </c>
      <c r="B1432">
        <v>18057110807</v>
      </c>
      <c r="C1432">
        <v>2024</v>
      </c>
      <c r="J1432">
        <v>-0.73831528199974716</v>
      </c>
      <c r="M1432">
        <f t="shared" si="67"/>
        <v>-0.73831528199974716</v>
      </c>
      <c r="N1432">
        <f t="shared" si="68"/>
        <v>1</v>
      </c>
    </row>
    <row r="1433" spans="1:14" x14ac:dyDescent="0.35">
      <c r="A1433" t="str">
        <f t="shared" si="66"/>
        <v>18057110807_2025</v>
      </c>
      <c r="B1433">
        <v>18057110807</v>
      </c>
      <c r="C1433">
        <v>2025</v>
      </c>
      <c r="J1433">
        <v>-1.0224416709663009</v>
      </c>
      <c r="M1433">
        <f t="shared" si="67"/>
        <v>-1.0224416709663009</v>
      </c>
      <c r="N1433">
        <f t="shared" si="68"/>
        <v>1</v>
      </c>
    </row>
    <row r="1434" spans="1:14" x14ac:dyDescent="0.35">
      <c r="A1434" t="str">
        <f t="shared" si="66"/>
        <v>18057110807_2026</v>
      </c>
      <c r="B1434">
        <v>18057110807</v>
      </c>
      <c r="C1434">
        <v>2026</v>
      </c>
      <c r="J1434">
        <v>-1.1063883215149051</v>
      </c>
      <c r="M1434">
        <f t="shared" si="67"/>
        <v>-1.1063883215149051</v>
      </c>
      <c r="N1434">
        <f t="shared" si="68"/>
        <v>1</v>
      </c>
    </row>
    <row r="1435" spans="1:14" x14ac:dyDescent="0.35">
      <c r="A1435" t="str">
        <f t="shared" si="66"/>
        <v>18057110807_2027</v>
      </c>
      <c r="B1435">
        <v>18057110807</v>
      </c>
      <c r="C1435">
        <v>2027</v>
      </c>
      <c r="J1435">
        <v>-1.1267442385629489</v>
      </c>
      <c r="M1435">
        <f t="shared" si="67"/>
        <v>-1.1267442385629489</v>
      </c>
      <c r="N1435">
        <f t="shared" si="68"/>
        <v>1</v>
      </c>
    </row>
    <row r="1436" spans="1:14" x14ac:dyDescent="0.35">
      <c r="A1436" t="str">
        <f t="shared" si="66"/>
        <v>18057110807_2028</v>
      </c>
      <c r="B1436">
        <v>18057110807</v>
      </c>
      <c r="C1436">
        <v>2028</v>
      </c>
      <c r="J1436">
        <v>-1.1318372538216139</v>
      </c>
      <c r="M1436">
        <f t="shared" si="67"/>
        <v>-1.1318372538216139</v>
      </c>
      <c r="N1436">
        <f t="shared" si="68"/>
        <v>1</v>
      </c>
    </row>
    <row r="1437" spans="1:14" x14ac:dyDescent="0.35">
      <c r="A1437" t="str">
        <f t="shared" si="66"/>
        <v>18057110810_2024</v>
      </c>
      <c r="B1437">
        <v>18057110810</v>
      </c>
      <c r="C1437">
        <v>2024</v>
      </c>
      <c r="J1437">
        <v>-0.73831528199974716</v>
      </c>
      <c r="M1437">
        <f t="shared" si="67"/>
        <v>-0.73831528199974716</v>
      </c>
      <c r="N1437">
        <f t="shared" si="68"/>
        <v>1</v>
      </c>
    </row>
    <row r="1438" spans="1:14" x14ac:dyDescent="0.35">
      <c r="A1438" t="str">
        <f t="shared" si="66"/>
        <v>18057110810_2025</v>
      </c>
      <c r="B1438">
        <v>18057110810</v>
      </c>
      <c r="C1438">
        <v>2025</v>
      </c>
      <c r="J1438">
        <v>-1.0224416709663009</v>
      </c>
      <c r="M1438">
        <f t="shared" si="67"/>
        <v>-1.0224416709663009</v>
      </c>
      <c r="N1438">
        <f t="shared" si="68"/>
        <v>1</v>
      </c>
    </row>
    <row r="1439" spans="1:14" x14ac:dyDescent="0.35">
      <c r="A1439" t="str">
        <f t="shared" si="66"/>
        <v>18057110810_2026</v>
      </c>
      <c r="B1439">
        <v>18057110810</v>
      </c>
      <c r="C1439">
        <v>2026</v>
      </c>
      <c r="J1439">
        <v>-1.1063883215149051</v>
      </c>
      <c r="M1439">
        <f t="shared" si="67"/>
        <v>-1.1063883215149051</v>
      </c>
      <c r="N1439">
        <f t="shared" si="68"/>
        <v>1</v>
      </c>
    </row>
    <row r="1440" spans="1:14" x14ac:dyDescent="0.35">
      <c r="A1440" t="str">
        <f t="shared" si="66"/>
        <v>18057110810_2027</v>
      </c>
      <c r="B1440">
        <v>18057110810</v>
      </c>
      <c r="C1440">
        <v>2027</v>
      </c>
      <c r="J1440">
        <v>-1.1267442385629489</v>
      </c>
      <c r="M1440">
        <f t="shared" si="67"/>
        <v>-1.1267442385629489</v>
      </c>
      <c r="N1440">
        <f t="shared" si="68"/>
        <v>1</v>
      </c>
    </row>
    <row r="1441" spans="1:14" x14ac:dyDescent="0.35">
      <c r="A1441" t="str">
        <f t="shared" si="66"/>
        <v>18057110810_2028</v>
      </c>
      <c r="B1441">
        <v>18057110810</v>
      </c>
      <c r="C1441">
        <v>2028</v>
      </c>
      <c r="J1441">
        <v>-1.1318372538216139</v>
      </c>
      <c r="M1441">
        <f t="shared" si="67"/>
        <v>-1.1318372538216139</v>
      </c>
      <c r="N1441">
        <f t="shared" si="68"/>
        <v>1</v>
      </c>
    </row>
    <row r="1442" spans="1:14" x14ac:dyDescent="0.35">
      <c r="A1442" t="str">
        <f t="shared" si="66"/>
        <v>18057110813_2024</v>
      </c>
      <c r="B1442">
        <v>18057110813</v>
      </c>
      <c r="C1442">
        <v>2024</v>
      </c>
      <c r="J1442">
        <v>-0.73831528199975494</v>
      </c>
      <c r="M1442">
        <f t="shared" si="67"/>
        <v>-0.73831528199975494</v>
      </c>
      <c r="N1442">
        <f t="shared" si="68"/>
        <v>1</v>
      </c>
    </row>
    <row r="1443" spans="1:14" x14ac:dyDescent="0.35">
      <c r="A1443" t="str">
        <f t="shared" si="66"/>
        <v>18057110813_2025</v>
      </c>
      <c r="B1443">
        <v>18057110813</v>
      </c>
      <c r="C1443">
        <v>2025</v>
      </c>
      <c r="J1443">
        <v>-1.0224416709663009</v>
      </c>
      <c r="M1443">
        <f t="shared" si="67"/>
        <v>-1.0224416709663009</v>
      </c>
      <c r="N1443">
        <f t="shared" si="68"/>
        <v>1</v>
      </c>
    </row>
    <row r="1444" spans="1:14" x14ac:dyDescent="0.35">
      <c r="A1444" t="str">
        <f t="shared" si="66"/>
        <v>18057110813_2026</v>
      </c>
      <c r="B1444">
        <v>18057110813</v>
      </c>
      <c r="C1444">
        <v>2026</v>
      </c>
      <c r="J1444">
        <v>-1.1063883215149051</v>
      </c>
      <c r="M1444">
        <f t="shared" si="67"/>
        <v>-1.1063883215149051</v>
      </c>
      <c r="N1444">
        <f t="shared" si="68"/>
        <v>1</v>
      </c>
    </row>
    <row r="1445" spans="1:14" x14ac:dyDescent="0.35">
      <c r="A1445" t="str">
        <f t="shared" si="66"/>
        <v>18057110813_2027</v>
      </c>
      <c r="B1445">
        <v>18057110813</v>
      </c>
      <c r="C1445">
        <v>2027</v>
      </c>
      <c r="J1445">
        <v>-1.1267442385629489</v>
      </c>
      <c r="M1445">
        <f t="shared" si="67"/>
        <v>-1.1267442385629489</v>
      </c>
      <c r="N1445">
        <f t="shared" si="68"/>
        <v>1</v>
      </c>
    </row>
    <row r="1446" spans="1:14" x14ac:dyDescent="0.35">
      <c r="A1446" t="str">
        <f t="shared" si="66"/>
        <v>18057110813_2028</v>
      </c>
      <c r="B1446">
        <v>18057110813</v>
      </c>
      <c r="C1446">
        <v>2028</v>
      </c>
      <c r="J1446">
        <v>-1.1318372538216139</v>
      </c>
      <c r="M1446">
        <f t="shared" si="67"/>
        <v>-1.1318372538216139</v>
      </c>
      <c r="N1446">
        <f t="shared" si="68"/>
        <v>1</v>
      </c>
    </row>
    <row r="1447" spans="1:14" x14ac:dyDescent="0.35">
      <c r="A1447" t="str">
        <f t="shared" si="66"/>
        <v>18057110822_2024</v>
      </c>
      <c r="B1447">
        <v>18057110822</v>
      </c>
      <c r="C1447">
        <v>2024</v>
      </c>
      <c r="J1447">
        <v>-0.73831528199974716</v>
      </c>
      <c r="M1447">
        <f t="shared" si="67"/>
        <v>-0.73831528199974716</v>
      </c>
      <c r="N1447">
        <f t="shared" si="68"/>
        <v>1</v>
      </c>
    </row>
    <row r="1448" spans="1:14" x14ac:dyDescent="0.35">
      <c r="A1448" t="str">
        <f t="shared" si="66"/>
        <v>18057110822_2025</v>
      </c>
      <c r="B1448">
        <v>18057110822</v>
      </c>
      <c r="C1448">
        <v>2025</v>
      </c>
      <c r="J1448">
        <v>-1.0224416709663009</v>
      </c>
      <c r="M1448">
        <f t="shared" si="67"/>
        <v>-1.0224416709663009</v>
      </c>
      <c r="N1448">
        <f t="shared" si="68"/>
        <v>1</v>
      </c>
    </row>
    <row r="1449" spans="1:14" x14ac:dyDescent="0.35">
      <c r="A1449" t="str">
        <f t="shared" si="66"/>
        <v>18057110822_2026</v>
      </c>
      <c r="B1449">
        <v>18057110822</v>
      </c>
      <c r="C1449">
        <v>2026</v>
      </c>
      <c r="J1449">
        <v>-1.1063883215149051</v>
      </c>
      <c r="M1449">
        <f t="shared" si="67"/>
        <v>-1.1063883215149051</v>
      </c>
      <c r="N1449">
        <f t="shared" si="68"/>
        <v>1</v>
      </c>
    </row>
    <row r="1450" spans="1:14" x14ac:dyDescent="0.35">
      <c r="A1450" t="str">
        <f t="shared" si="66"/>
        <v>18057110822_2027</v>
      </c>
      <c r="B1450">
        <v>18057110822</v>
      </c>
      <c r="C1450">
        <v>2027</v>
      </c>
      <c r="J1450">
        <v>-1.1267442385629489</v>
      </c>
      <c r="M1450">
        <f t="shared" si="67"/>
        <v>-1.1267442385629489</v>
      </c>
      <c r="N1450">
        <f t="shared" si="68"/>
        <v>1</v>
      </c>
    </row>
    <row r="1451" spans="1:14" x14ac:dyDescent="0.35">
      <c r="A1451" t="str">
        <f t="shared" si="66"/>
        <v>18057110822_2028</v>
      </c>
      <c r="B1451">
        <v>18057110822</v>
      </c>
      <c r="C1451">
        <v>2028</v>
      </c>
      <c r="J1451">
        <v>-1.1318372538216139</v>
      </c>
      <c r="M1451">
        <f t="shared" si="67"/>
        <v>-1.1318372538216139</v>
      </c>
      <c r="N1451">
        <f t="shared" si="68"/>
        <v>1</v>
      </c>
    </row>
    <row r="1452" spans="1:14" x14ac:dyDescent="0.35">
      <c r="A1452" t="str">
        <f t="shared" si="66"/>
        <v>18057111006_2024</v>
      </c>
      <c r="B1452">
        <v>18057111006</v>
      </c>
      <c r="C1452">
        <v>2024</v>
      </c>
      <c r="J1452">
        <v>-0.60750624230189876</v>
      </c>
      <c r="M1452">
        <f t="shared" si="67"/>
        <v>-0.60750624230189876</v>
      </c>
      <c r="N1452">
        <f t="shared" si="68"/>
        <v>1</v>
      </c>
    </row>
    <row r="1453" spans="1:14" x14ac:dyDescent="0.35">
      <c r="A1453" t="str">
        <f t="shared" si="66"/>
        <v>18057111006_2025</v>
      </c>
      <c r="B1453">
        <v>18057111006</v>
      </c>
      <c r="C1453">
        <v>2025</v>
      </c>
      <c r="J1453">
        <v>-0.78617577468721456</v>
      </c>
      <c r="M1453">
        <f t="shared" si="67"/>
        <v>-0.78617577468721456</v>
      </c>
      <c r="N1453">
        <f t="shared" si="68"/>
        <v>1</v>
      </c>
    </row>
    <row r="1454" spans="1:14" x14ac:dyDescent="0.35">
      <c r="A1454" t="str">
        <f t="shared" si="66"/>
        <v>18057111006_2026</v>
      </c>
      <c r="B1454">
        <v>18057111006</v>
      </c>
      <c r="C1454">
        <v>2026</v>
      </c>
      <c r="J1454">
        <v>-0.83057190725358909</v>
      </c>
      <c r="M1454">
        <f t="shared" si="67"/>
        <v>-0.83057190725358909</v>
      </c>
      <c r="N1454">
        <f t="shared" si="68"/>
        <v>1</v>
      </c>
    </row>
    <row r="1455" spans="1:14" x14ac:dyDescent="0.35">
      <c r="A1455" t="str">
        <f t="shared" si="66"/>
        <v>18057111006_2027</v>
      </c>
      <c r="B1455">
        <v>18057111006</v>
      </c>
      <c r="C1455">
        <v>2027</v>
      </c>
      <c r="J1455">
        <v>-0.84337929346785956</v>
      </c>
      <c r="M1455">
        <f t="shared" si="67"/>
        <v>-0.84337929346785956</v>
      </c>
      <c r="N1455">
        <f t="shared" si="68"/>
        <v>1</v>
      </c>
    </row>
    <row r="1456" spans="1:14" x14ac:dyDescent="0.35">
      <c r="A1456" t="str">
        <f t="shared" si="66"/>
        <v>18057111006_2028</v>
      </c>
      <c r="B1456">
        <v>18057111006</v>
      </c>
      <c r="C1456">
        <v>2028</v>
      </c>
      <c r="J1456">
        <v>-0.84817547447810271</v>
      </c>
      <c r="M1456">
        <f t="shared" si="67"/>
        <v>-0.84817547447810271</v>
      </c>
      <c r="N1456">
        <f t="shared" si="68"/>
        <v>1</v>
      </c>
    </row>
    <row r="1457" spans="1:14" x14ac:dyDescent="0.35">
      <c r="A1457" t="str">
        <f t="shared" si="66"/>
        <v>18057111101_2024</v>
      </c>
      <c r="B1457">
        <v>18057111101</v>
      </c>
      <c r="C1457">
        <v>2024</v>
      </c>
      <c r="J1457">
        <v>-0.60750624230189876</v>
      </c>
      <c r="M1457">
        <f t="shared" si="67"/>
        <v>-0.60750624230189876</v>
      </c>
      <c r="N1457">
        <f t="shared" si="68"/>
        <v>1</v>
      </c>
    </row>
    <row r="1458" spans="1:14" x14ac:dyDescent="0.35">
      <c r="A1458" t="str">
        <f t="shared" si="66"/>
        <v>18057111101_2025</v>
      </c>
      <c r="B1458">
        <v>18057111101</v>
      </c>
      <c r="C1458">
        <v>2025</v>
      </c>
      <c r="J1458">
        <v>-0.78617577468721456</v>
      </c>
      <c r="M1458">
        <f t="shared" si="67"/>
        <v>-0.78617577468721456</v>
      </c>
      <c r="N1458">
        <f t="shared" si="68"/>
        <v>1</v>
      </c>
    </row>
    <row r="1459" spans="1:14" x14ac:dyDescent="0.35">
      <c r="A1459" t="str">
        <f t="shared" si="66"/>
        <v>18057111101_2026</v>
      </c>
      <c r="B1459">
        <v>18057111101</v>
      </c>
      <c r="C1459">
        <v>2026</v>
      </c>
      <c r="J1459">
        <v>-0.83057190725358909</v>
      </c>
      <c r="M1459">
        <f t="shared" si="67"/>
        <v>-0.83057190725358909</v>
      </c>
      <c r="N1459">
        <f t="shared" si="68"/>
        <v>1</v>
      </c>
    </row>
    <row r="1460" spans="1:14" x14ac:dyDescent="0.35">
      <c r="A1460" t="str">
        <f t="shared" si="66"/>
        <v>18057111101_2027</v>
      </c>
      <c r="B1460">
        <v>18057111101</v>
      </c>
      <c r="C1460">
        <v>2027</v>
      </c>
      <c r="J1460">
        <v>-0.84337929346785956</v>
      </c>
      <c r="M1460">
        <f t="shared" si="67"/>
        <v>-0.84337929346785956</v>
      </c>
      <c r="N1460">
        <f t="shared" si="68"/>
        <v>1</v>
      </c>
    </row>
    <row r="1461" spans="1:14" x14ac:dyDescent="0.35">
      <c r="A1461" t="str">
        <f t="shared" si="66"/>
        <v>18057111101_2028</v>
      </c>
      <c r="B1461">
        <v>18057111101</v>
      </c>
      <c r="C1461">
        <v>2028</v>
      </c>
      <c r="J1461">
        <v>-0.84817547447810271</v>
      </c>
      <c r="M1461">
        <f t="shared" si="67"/>
        <v>-0.84817547447810271</v>
      </c>
      <c r="N1461">
        <f t="shared" si="68"/>
        <v>1</v>
      </c>
    </row>
    <row r="1462" spans="1:14" x14ac:dyDescent="0.35">
      <c r="A1462" t="str">
        <f t="shared" si="66"/>
        <v>18057111103_2024</v>
      </c>
      <c r="B1462">
        <v>18057111103</v>
      </c>
      <c r="C1462">
        <v>2024</v>
      </c>
      <c r="J1462">
        <v>-0.78692892640722201</v>
      </c>
      <c r="K1462">
        <v>-3.1368234426520329</v>
      </c>
      <c r="M1462">
        <f t="shared" si="67"/>
        <v>-3.9237523690592551</v>
      </c>
      <c r="N1462">
        <f t="shared" si="68"/>
        <v>2</v>
      </c>
    </row>
    <row r="1463" spans="1:14" x14ac:dyDescent="0.35">
      <c r="A1463" t="str">
        <f t="shared" si="66"/>
        <v>18057111103_2025</v>
      </c>
      <c r="B1463">
        <v>18057111103</v>
      </c>
      <c r="C1463">
        <v>2025</v>
      </c>
      <c r="J1463">
        <v>-0.83271764589878072</v>
      </c>
      <c r="K1463">
        <v>2.4978158406081689E-2</v>
      </c>
      <c r="M1463">
        <f t="shared" si="67"/>
        <v>-0.80773948749269908</v>
      </c>
      <c r="N1463">
        <f t="shared" si="68"/>
        <v>2</v>
      </c>
    </row>
    <row r="1464" spans="1:14" x14ac:dyDescent="0.35">
      <c r="A1464" t="str">
        <f t="shared" si="66"/>
        <v>18057111103_2026</v>
      </c>
      <c r="B1464">
        <v>18057111103</v>
      </c>
      <c r="C1464">
        <v>2026</v>
      </c>
      <c r="J1464">
        <v>-0.86144710797339819</v>
      </c>
      <c r="K1464">
        <v>-6.5877727681601869E-2</v>
      </c>
      <c r="M1464">
        <f t="shared" si="67"/>
        <v>-0.92732483565500001</v>
      </c>
      <c r="N1464">
        <f t="shared" si="68"/>
        <v>2</v>
      </c>
    </row>
    <row r="1465" spans="1:14" x14ac:dyDescent="0.35">
      <c r="A1465" t="str">
        <f t="shared" si="66"/>
        <v>18057111103_2027</v>
      </c>
      <c r="B1465">
        <v>18057111103</v>
      </c>
      <c r="C1465">
        <v>2027</v>
      </c>
      <c r="J1465">
        <v>-0.87422517455550985</v>
      </c>
      <c r="K1465">
        <v>-2.9214423877722179E-2</v>
      </c>
      <c r="M1465">
        <f t="shared" si="67"/>
        <v>-0.90343959843323207</v>
      </c>
      <c r="N1465">
        <f t="shared" si="68"/>
        <v>2</v>
      </c>
    </row>
    <row r="1466" spans="1:14" x14ac:dyDescent="0.35">
      <c r="A1466" t="str">
        <f t="shared" si="66"/>
        <v>18057111103_2028</v>
      </c>
      <c r="B1466">
        <v>18057111103</v>
      </c>
      <c r="C1466">
        <v>2028</v>
      </c>
      <c r="J1466">
        <v>-0.87963137789831136</v>
      </c>
      <c r="K1466">
        <v>-2.6283887794906261E-2</v>
      </c>
      <c r="M1466">
        <f t="shared" si="67"/>
        <v>-0.90591526569321768</v>
      </c>
      <c r="N1466">
        <f t="shared" si="68"/>
        <v>2</v>
      </c>
    </row>
    <row r="1467" spans="1:14" x14ac:dyDescent="0.35">
      <c r="A1467" t="str">
        <f t="shared" si="66"/>
        <v>18057111104_2024</v>
      </c>
      <c r="B1467">
        <v>18057111104</v>
      </c>
      <c r="C1467">
        <v>2024</v>
      </c>
      <c r="J1467">
        <v>-0.60750624230189876</v>
      </c>
      <c r="M1467">
        <f t="shared" si="67"/>
        <v>-0.60750624230189876</v>
      </c>
      <c r="N1467">
        <f t="shared" si="68"/>
        <v>1</v>
      </c>
    </row>
    <row r="1468" spans="1:14" x14ac:dyDescent="0.35">
      <c r="A1468" t="str">
        <f t="shared" si="66"/>
        <v>18057111104_2025</v>
      </c>
      <c r="B1468">
        <v>18057111104</v>
      </c>
      <c r="C1468">
        <v>2025</v>
      </c>
      <c r="J1468">
        <v>-0.78617577468721456</v>
      </c>
      <c r="M1468">
        <f t="shared" si="67"/>
        <v>-0.78617577468721456</v>
      </c>
      <c r="N1468">
        <f t="shared" si="68"/>
        <v>1</v>
      </c>
    </row>
    <row r="1469" spans="1:14" x14ac:dyDescent="0.35">
      <c r="A1469" t="str">
        <f t="shared" si="66"/>
        <v>18057111104_2026</v>
      </c>
      <c r="B1469">
        <v>18057111104</v>
      </c>
      <c r="C1469">
        <v>2026</v>
      </c>
      <c r="J1469">
        <v>-0.83057190725358909</v>
      </c>
      <c r="M1469">
        <f t="shared" si="67"/>
        <v>-0.83057190725358909</v>
      </c>
      <c r="N1469">
        <f t="shared" si="68"/>
        <v>1</v>
      </c>
    </row>
    <row r="1470" spans="1:14" x14ac:dyDescent="0.35">
      <c r="A1470" t="str">
        <f t="shared" si="66"/>
        <v>18057111104_2027</v>
      </c>
      <c r="B1470">
        <v>18057111104</v>
      </c>
      <c r="C1470">
        <v>2027</v>
      </c>
      <c r="J1470">
        <v>-0.84337929346785956</v>
      </c>
      <c r="M1470">
        <f t="shared" si="67"/>
        <v>-0.84337929346785956</v>
      </c>
      <c r="N1470">
        <f t="shared" si="68"/>
        <v>1</v>
      </c>
    </row>
    <row r="1471" spans="1:14" x14ac:dyDescent="0.35">
      <c r="A1471" t="str">
        <f t="shared" si="66"/>
        <v>18057111104_2028</v>
      </c>
      <c r="B1471">
        <v>18057111104</v>
      </c>
      <c r="C1471">
        <v>2028</v>
      </c>
      <c r="J1471">
        <v>-0.84817547447810271</v>
      </c>
      <c r="M1471">
        <f t="shared" si="67"/>
        <v>-0.84817547447810271</v>
      </c>
      <c r="N1471">
        <f t="shared" si="68"/>
        <v>1</v>
      </c>
    </row>
    <row r="1472" spans="1:14" x14ac:dyDescent="0.35">
      <c r="A1472" t="str">
        <f t="shared" si="66"/>
        <v>18059410801_2024</v>
      </c>
      <c r="B1472">
        <v>18059410801</v>
      </c>
      <c r="C1472">
        <v>2024</v>
      </c>
      <c r="J1472">
        <v>0.20153798202790749</v>
      </c>
      <c r="M1472">
        <f t="shared" si="67"/>
        <v>0.20153798202790749</v>
      </c>
      <c r="N1472">
        <f t="shared" si="68"/>
        <v>1</v>
      </c>
    </row>
    <row r="1473" spans="1:14" x14ac:dyDescent="0.35">
      <c r="A1473" t="str">
        <f t="shared" si="66"/>
        <v>18059410801_2025</v>
      </c>
      <c r="B1473">
        <v>18059410801</v>
      </c>
      <c r="C1473">
        <v>2025</v>
      </c>
      <c r="J1473">
        <v>-8.0751700126059589E-2</v>
      </c>
      <c r="M1473">
        <f t="shared" si="67"/>
        <v>-8.0751700126059589E-2</v>
      </c>
      <c r="N1473">
        <f t="shared" si="68"/>
        <v>1</v>
      </c>
    </row>
    <row r="1474" spans="1:14" x14ac:dyDescent="0.35">
      <c r="A1474" t="str">
        <f t="shared" si="66"/>
        <v>18059410801_2026</v>
      </c>
      <c r="B1474">
        <v>18059410801</v>
      </c>
      <c r="C1474">
        <v>2026</v>
      </c>
      <c r="J1474">
        <v>-0.1755037351094223</v>
      </c>
      <c r="M1474">
        <f t="shared" si="67"/>
        <v>-0.1755037351094223</v>
      </c>
      <c r="N1474">
        <f t="shared" si="68"/>
        <v>1</v>
      </c>
    </row>
    <row r="1475" spans="1:14" x14ac:dyDescent="0.35">
      <c r="A1475" t="str">
        <f t="shared" ref="A1475:A1538" si="69">TEXT(B1475,0)&amp;"_"&amp;TEXT(C1475,0)</f>
        <v>18059410801_2027</v>
      </c>
      <c r="B1475">
        <v>18059410801</v>
      </c>
      <c r="C1475">
        <v>2027</v>
      </c>
      <c r="J1475">
        <v>-0.20845128288842391</v>
      </c>
      <c r="M1475">
        <f t="shared" ref="M1475:M1538" si="70">SUM(D1475:K1475)</f>
        <v>-0.20845128288842391</v>
      </c>
      <c r="N1475">
        <f t="shared" ref="N1475:N1538" si="71">IF(D1475=0,0,1)+IF(E1475=0,0,1)+IF(F1475=0,0,1)+IF(G1475=0,0,1)+IF(H1475=0,0,1)+IF(I1475=0,0,1)++IF(J1475=0,0,1)++IF(K1475=0,0,1)</f>
        <v>1</v>
      </c>
    </row>
    <row r="1476" spans="1:14" x14ac:dyDescent="0.35">
      <c r="A1476" t="str">
        <f t="shared" si="69"/>
        <v>18059410801_2028</v>
      </c>
      <c r="B1476">
        <v>18059410801</v>
      </c>
      <c r="C1476">
        <v>2028</v>
      </c>
      <c r="J1476">
        <v>-0.2220418666237951</v>
      </c>
      <c r="M1476">
        <f t="shared" si="70"/>
        <v>-0.2220418666237951</v>
      </c>
      <c r="N1476">
        <f t="shared" si="71"/>
        <v>1</v>
      </c>
    </row>
    <row r="1477" spans="1:14" x14ac:dyDescent="0.35">
      <c r="A1477" t="str">
        <f t="shared" si="69"/>
        <v>18059410802_2024</v>
      </c>
      <c r="B1477">
        <v>18059410802</v>
      </c>
      <c r="C1477">
        <v>2024</v>
      </c>
      <c r="J1477">
        <v>-0.43605479810168207</v>
      </c>
      <c r="K1477">
        <v>-0.11015143805733819</v>
      </c>
      <c r="M1477">
        <f t="shared" si="70"/>
        <v>-0.54620623615902031</v>
      </c>
      <c r="N1477">
        <f t="shared" si="71"/>
        <v>2</v>
      </c>
    </row>
    <row r="1478" spans="1:14" x14ac:dyDescent="0.35">
      <c r="A1478" t="str">
        <f t="shared" si="69"/>
        <v>18059410802_2025</v>
      </c>
      <c r="B1478">
        <v>18059410802</v>
      </c>
      <c r="C1478">
        <v>2025</v>
      </c>
      <c r="J1478">
        <v>-0.62165353723838346</v>
      </c>
      <c r="K1478">
        <v>-0.77977937897277994</v>
      </c>
      <c r="M1478">
        <f t="shared" si="70"/>
        <v>-1.4014329162111634</v>
      </c>
      <c r="N1478">
        <f t="shared" si="71"/>
        <v>2</v>
      </c>
    </row>
    <row r="1479" spans="1:14" x14ac:dyDescent="0.35">
      <c r="A1479" t="str">
        <f t="shared" si="69"/>
        <v>18059410802_2026</v>
      </c>
      <c r="B1479">
        <v>18059410802</v>
      </c>
      <c r="C1479">
        <v>2026</v>
      </c>
      <c r="J1479">
        <v>-0.70493064279615469</v>
      </c>
      <c r="K1479">
        <v>-0.86067903960754655</v>
      </c>
      <c r="M1479">
        <f t="shared" si="70"/>
        <v>-1.5656096824037014</v>
      </c>
      <c r="N1479">
        <f t="shared" si="71"/>
        <v>2</v>
      </c>
    </row>
    <row r="1480" spans="1:14" x14ac:dyDescent="0.35">
      <c r="A1480" t="str">
        <f t="shared" si="69"/>
        <v>18059410802_2027</v>
      </c>
      <c r="B1480">
        <v>18059410802</v>
      </c>
      <c r="C1480">
        <v>2027</v>
      </c>
      <c r="J1480">
        <v>-0.73046150372377883</v>
      </c>
      <c r="K1480">
        <v>-0.81907338086599313</v>
      </c>
      <c r="M1480">
        <f t="shared" si="70"/>
        <v>-1.5495348845897721</v>
      </c>
      <c r="N1480">
        <f t="shared" si="71"/>
        <v>2</v>
      </c>
    </row>
    <row r="1481" spans="1:14" x14ac:dyDescent="0.35">
      <c r="A1481" t="str">
        <f t="shared" si="69"/>
        <v>18059410802_2028</v>
      </c>
      <c r="B1481">
        <v>18059410802</v>
      </c>
      <c r="C1481">
        <v>2028</v>
      </c>
      <c r="J1481">
        <v>-0.73920946387251296</v>
      </c>
      <c r="K1481">
        <v>-0.8120425212943726</v>
      </c>
      <c r="M1481">
        <f t="shared" si="70"/>
        <v>-1.5512519851668856</v>
      </c>
      <c r="N1481">
        <f t="shared" si="71"/>
        <v>2</v>
      </c>
    </row>
    <row r="1482" spans="1:14" x14ac:dyDescent="0.35">
      <c r="A1482" t="str">
        <f t="shared" si="69"/>
        <v>18059410901_2024</v>
      </c>
      <c r="B1482">
        <v>18059410901</v>
      </c>
      <c r="C1482">
        <v>2024</v>
      </c>
      <c r="J1482">
        <v>0.2298924417453046</v>
      </c>
      <c r="M1482">
        <f t="shared" si="70"/>
        <v>0.2298924417453046</v>
      </c>
      <c r="N1482">
        <f t="shared" si="71"/>
        <v>1</v>
      </c>
    </row>
    <row r="1483" spans="1:14" x14ac:dyDescent="0.35">
      <c r="A1483" t="str">
        <f t="shared" si="69"/>
        <v>18059410901_2025</v>
      </c>
      <c r="B1483">
        <v>18059410901</v>
      </c>
      <c r="C1483">
        <v>2025</v>
      </c>
      <c r="J1483">
        <v>-6.0668877872378173E-2</v>
      </c>
      <c r="M1483">
        <f t="shared" si="70"/>
        <v>-6.0668877872378173E-2</v>
      </c>
      <c r="N1483">
        <f t="shared" si="71"/>
        <v>1</v>
      </c>
    </row>
    <row r="1484" spans="1:14" x14ac:dyDescent="0.35">
      <c r="A1484" t="str">
        <f t="shared" si="69"/>
        <v>18059410901_2026</v>
      </c>
      <c r="B1484">
        <v>18059410901</v>
      </c>
      <c r="C1484">
        <v>2026</v>
      </c>
      <c r="J1484">
        <v>-0.15551801567120119</v>
      </c>
      <c r="M1484">
        <f t="shared" si="70"/>
        <v>-0.15551801567120119</v>
      </c>
      <c r="N1484">
        <f t="shared" si="71"/>
        <v>1</v>
      </c>
    </row>
    <row r="1485" spans="1:14" x14ac:dyDescent="0.35">
      <c r="A1485" t="str">
        <f t="shared" si="69"/>
        <v>18059410901_2027</v>
      </c>
      <c r="B1485">
        <v>18059410901</v>
      </c>
      <c r="C1485">
        <v>2027</v>
      </c>
      <c r="J1485">
        <v>-0.18873456403012301</v>
      </c>
      <c r="M1485">
        <f t="shared" si="70"/>
        <v>-0.18873456403012301</v>
      </c>
      <c r="N1485">
        <f t="shared" si="71"/>
        <v>1</v>
      </c>
    </row>
    <row r="1486" spans="1:14" x14ac:dyDescent="0.35">
      <c r="A1486" t="str">
        <f t="shared" si="69"/>
        <v>18059410901_2028</v>
      </c>
      <c r="B1486">
        <v>18059410901</v>
      </c>
      <c r="C1486">
        <v>2028</v>
      </c>
      <c r="J1486">
        <v>-0.20250753682580599</v>
      </c>
      <c r="M1486">
        <f t="shared" si="70"/>
        <v>-0.20250753682580599</v>
      </c>
      <c r="N1486">
        <f t="shared" si="71"/>
        <v>1</v>
      </c>
    </row>
    <row r="1487" spans="1:14" x14ac:dyDescent="0.35">
      <c r="A1487" t="str">
        <f t="shared" si="69"/>
        <v>18059410902_2024</v>
      </c>
      <c r="B1487">
        <v>18059410902</v>
      </c>
      <c r="C1487">
        <v>2024</v>
      </c>
      <c r="J1487">
        <v>0.20570872763342879</v>
      </c>
      <c r="K1487">
        <v>-0.34516443945952979</v>
      </c>
      <c r="M1487">
        <f t="shared" si="70"/>
        <v>-0.139455711826101</v>
      </c>
      <c r="N1487">
        <f t="shared" si="71"/>
        <v>2</v>
      </c>
    </row>
    <row r="1488" spans="1:14" x14ac:dyDescent="0.35">
      <c r="A1488" t="str">
        <f t="shared" si="69"/>
        <v>18059410902_2025</v>
      </c>
      <c r="B1488">
        <v>18059410902</v>
      </c>
      <c r="C1488">
        <v>2025</v>
      </c>
      <c r="J1488">
        <v>-7.731129469775197E-2</v>
      </c>
      <c r="K1488">
        <v>-0.87351601606205598</v>
      </c>
      <c r="M1488">
        <f t="shared" si="70"/>
        <v>-0.95082731075980798</v>
      </c>
      <c r="N1488">
        <f t="shared" si="71"/>
        <v>2</v>
      </c>
    </row>
    <row r="1489" spans="1:14" x14ac:dyDescent="0.35">
      <c r="A1489" t="str">
        <f t="shared" si="69"/>
        <v>18059410902_2026</v>
      </c>
      <c r="B1489">
        <v>18059410902</v>
      </c>
      <c r="C1489">
        <v>2026</v>
      </c>
      <c r="J1489">
        <v>-0.1720892821096236</v>
      </c>
      <c r="K1489">
        <v>0.18807581884414989</v>
      </c>
      <c r="M1489">
        <f t="shared" si="70"/>
        <v>1.5986536734526297E-2</v>
      </c>
      <c r="N1489">
        <f t="shared" si="71"/>
        <v>2</v>
      </c>
    </row>
    <row r="1490" spans="1:14" x14ac:dyDescent="0.35">
      <c r="A1490" t="str">
        <f t="shared" si="69"/>
        <v>18059410902_2027</v>
      </c>
      <c r="B1490">
        <v>18059410902</v>
      </c>
      <c r="C1490">
        <v>2027</v>
      </c>
      <c r="J1490">
        <v>-0.20508271810540701</v>
      </c>
      <c r="K1490">
        <v>0.48627724755521667</v>
      </c>
      <c r="M1490">
        <f t="shared" si="70"/>
        <v>0.28119452944980966</v>
      </c>
      <c r="N1490">
        <f t="shared" si="71"/>
        <v>2</v>
      </c>
    </row>
    <row r="1491" spans="1:14" x14ac:dyDescent="0.35">
      <c r="A1491" t="str">
        <f t="shared" si="69"/>
        <v>18059410902_2028</v>
      </c>
      <c r="B1491">
        <v>18059410902</v>
      </c>
      <c r="C1491">
        <v>2028</v>
      </c>
      <c r="J1491">
        <v>-0.2187044631091305</v>
      </c>
      <c r="K1491">
        <v>-0.39076342792138341</v>
      </c>
      <c r="M1491">
        <f t="shared" si="70"/>
        <v>-0.60946789103051391</v>
      </c>
      <c r="N1491">
        <f t="shared" si="71"/>
        <v>2</v>
      </c>
    </row>
    <row r="1492" spans="1:14" x14ac:dyDescent="0.35">
      <c r="A1492" t="str">
        <f t="shared" si="69"/>
        <v>18063210106_2024</v>
      </c>
      <c r="B1492">
        <v>18063210106</v>
      </c>
      <c r="C1492">
        <v>2024</v>
      </c>
      <c r="J1492">
        <v>-1.3087466165271191</v>
      </c>
      <c r="K1492">
        <v>0.42504882052016207</v>
      </c>
      <c r="M1492">
        <f t="shared" si="70"/>
        <v>-0.88369779600695697</v>
      </c>
      <c r="N1492">
        <f t="shared" si="71"/>
        <v>2</v>
      </c>
    </row>
    <row r="1493" spans="1:14" x14ac:dyDescent="0.35">
      <c r="A1493" t="str">
        <f t="shared" si="69"/>
        <v>18063210106_2025</v>
      </c>
      <c r="B1493">
        <v>18063210106</v>
      </c>
      <c r="C1493">
        <v>2025</v>
      </c>
      <c r="J1493">
        <v>-1.4063736863046641</v>
      </c>
      <c r="K1493">
        <v>-0.53446274053950871</v>
      </c>
      <c r="M1493">
        <f t="shared" si="70"/>
        <v>-1.9408364268441729</v>
      </c>
      <c r="N1493">
        <f t="shared" si="71"/>
        <v>2</v>
      </c>
    </row>
    <row r="1494" spans="1:14" x14ac:dyDescent="0.35">
      <c r="A1494" t="str">
        <f t="shared" si="69"/>
        <v>18063210106_2026</v>
      </c>
      <c r="B1494">
        <v>18063210106</v>
      </c>
      <c r="C1494">
        <v>2026</v>
      </c>
      <c r="J1494">
        <v>-1.410649076738703</v>
      </c>
      <c r="K1494">
        <v>0.36863307234132608</v>
      </c>
      <c r="M1494">
        <f t="shared" si="70"/>
        <v>-1.042016004397377</v>
      </c>
      <c r="N1494">
        <f t="shared" si="71"/>
        <v>2</v>
      </c>
    </row>
    <row r="1495" spans="1:14" x14ac:dyDescent="0.35">
      <c r="A1495" t="str">
        <f t="shared" si="69"/>
        <v>18063210106_2027</v>
      </c>
      <c r="B1495">
        <v>18063210106</v>
      </c>
      <c r="C1495">
        <v>2027</v>
      </c>
      <c r="J1495">
        <v>-1.4073810114044809</v>
      </c>
      <c r="K1495">
        <v>-0.26873746090712458</v>
      </c>
      <c r="M1495">
        <f t="shared" si="70"/>
        <v>-1.6761184723116056</v>
      </c>
      <c r="N1495">
        <f t="shared" si="71"/>
        <v>2</v>
      </c>
    </row>
    <row r="1496" spans="1:14" x14ac:dyDescent="0.35">
      <c r="A1496" t="str">
        <f t="shared" si="69"/>
        <v>18063210106_2028</v>
      </c>
      <c r="B1496">
        <v>18063210106</v>
      </c>
      <c r="C1496">
        <v>2028</v>
      </c>
      <c r="J1496">
        <v>-1.4049833006464181</v>
      </c>
      <c r="K1496">
        <v>0.1901641927677992</v>
      </c>
      <c r="M1496">
        <f t="shared" si="70"/>
        <v>-1.2148191078786188</v>
      </c>
      <c r="N1496">
        <f t="shared" si="71"/>
        <v>2</v>
      </c>
    </row>
    <row r="1497" spans="1:14" x14ac:dyDescent="0.35">
      <c r="A1497" t="str">
        <f t="shared" si="69"/>
        <v>18063210107_2024</v>
      </c>
      <c r="B1497">
        <v>18063210107</v>
      </c>
      <c r="C1497">
        <v>2024</v>
      </c>
      <c r="J1497">
        <v>-1.314543731046125</v>
      </c>
      <c r="M1497">
        <f t="shared" si="70"/>
        <v>-1.314543731046125</v>
      </c>
      <c r="N1497">
        <f t="shared" si="71"/>
        <v>1</v>
      </c>
    </row>
    <row r="1498" spans="1:14" x14ac:dyDescent="0.35">
      <c r="A1498" t="str">
        <f t="shared" si="69"/>
        <v>18063210107_2025</v>
      </c>
      <c r="B1498">
        <v>18063210107</v>
      </c>
      <c r="C1498">
        <v>2025</v>
      </c>
      <c r="J1498">
        <v>-1.413059422835155</v>
      </c>
      <c r="M1498">
        <f t="shared" si="70"/>
        <v>-1.413059422835155</v>
      </c>
      <c r="N1498">
        <f t="shared" si="71"/>
        <v>1</v>
      </c>
    </row>
    <row r="1499" spans="1:14" x14ac:dyDescent="0.35">
      <c r="A1499" t="str">
        <f t="shared" si="69"/>
        <v>18063210107_2026</v>
      </c>
      <c r="B1499">
        <v>18063210107</v>
      </c>
      <c r="C1499">
        <v>2026</v>
      </c>
      <c r="J1499">
        <v>-1.417065073299143</v>
      </c>
      <c r="M1499">
        <f t="shared" si="70"/>
        <v>-1.417065073299143</v>
      </c>
      <c r="N1499">
        <f t="shared" si="71"/>
        <v>1</v>
      </c>
    </row>
    <row r="1500" spans="1:14" x14ac:dyDescent="0.35">
      <c r="A1500" t="str">
        <f t="shared" si="69"/>
        <v>18063210107_2027</v>
      </c>
      <c r="B1500">
        <v>18063210107</v>
      </c>
      <c r="C1500">
        <v>2027</v>
      </c>
      <c r="J1500">
        <v>-1.4135820336287379</v>
      </c>
      <c r="M1500">
        <f t="shared" si="70"/>
        <v>-1.4135820336287379</v>
      </c>
      <c r="N1500">
        <f t="shared" si="71"/>
        <v>1</v>
      </c>
    </row>
    <row r="1501" spans="1:14" x14ac:dyDescent="0.35">
      <c r="A1501" t="str">
        <f t="shared" si="69"/>
        <v>18063210107_2028</v>
      </c>
      <c r="B1501">
        <v>18063210107</v>
      </c>
      <c r="C1501">
        <v>2028</v>
      </c>
      <c r="J1501">
        <v>-1.411075723039616</v>
      </c>
      <c r="M1501">
        <f t="shared" si="70"/>
        <v>-1.411075723039616</v>
      </c>
      <c r="N1501">
        <f t="shared" si="71"/>
        <v>1</v>
      </c>
    </row>
    <row r="1502" spans="1:14" x14ac:dyDescent="0.35">
      <c r="A1502" t="str">
        <f t="shared" si="69"/>
        <v>18063210108_2024</v>
      </c>
      <c r="B1502">
        <v>18063210108</v>
      </c>
      <c r="C1502">
        <v>2024</v>
      </c>
      <c r="J1502">
        <v>-0.51291411716949542</v>
      </c>
      <c r="K1502">
        <v>0.42504922004500478</v>
      </c>
      <c r="M1502">
        <f t="shared" si="70"/>
        <v>-8.7864897124490637E-2</v>
      </c>
      <c r="N1502">
        <f t="shared" si="71"/>
        <v>2</v>
      </c>
    </row>
    <row r="1503" spans="1:14" x14ac:dyDescent="0.35">
      <c r="A1503" t="str">
        <f t="shared" si="69"/>
        <v>18063210108_2025</v>
      </c>
      <c r="B1503">
        <v>18063210108</v>
      </c>
      <c r="C1503">
        <v>2025</v>
      </c>
      <c r="J1503">
        <v>-0.59479519228796218</v>
      </c>
      <c r="K1503">
        <v>-0.53446547118428145</v>
      </c>
      <c r="M1503">
        <f t="shared" si="70"/>
        <v>-1.1292606634722437</v>
      </c>
      <c r="N1503">
        <f t="shared" si="71"/>
        <v>2</v>
      </c>
    </row>
    <row r="1504" spans="1:14" x14ac:dyDescent="0.35">
      <c r="A1504" t="str">
        <f t="shared" si="69"/>
        <v>18063210108_2026</v>
      </c>
      <c r="B1504">
        <v>18063210108</v>
      </c>
      <c r="C1504">
        <v>2026</v>
      </c>
      <c r="J1504">
        <v>-0.6535593140633863</v>
      </c>
      <c r="K1504">
        <v>0.36863520053033338</v>
      </c>
      <c r="M1504">
        <f t="shared" si="70"/>
        <v>-0.28492411353305291</v>
      </c>
      <c r="N1504">
        <f t="shared" si="71"/>
        <v>2</v>
      </c>
    </row>
    <row r="1505" spans="1:14" x14ac:dyDescent="0.35">
      <c r="A1505" t="str">
        <f t="shared" si="69"/>
        <v>18063210108_2027</v>
      </c>
      <c r="B1505">
        <v>18063210108</v>
      </c>
      <c r="C1505">
        <v>2027</v>
      </c>
      <c r="J1505">
        <v>-0.67629059989986162</v>
      </c>
      <c r="K1505">
        <v>-0.26874004466154328</v>
      </c>
      <c r="M1505">
        <f t="shared" si="70"/>
        <v>-0.94503064456140495</v>
      </c>
      <c r="N1505">
        <f t="shared" si="71"/>
        <v>2</v>
      </c>
    </row>
    <row r="1506" spans="1:14" x14ac:dyDescent="0.35">
      <c r="A1506" t="str">
        <f t="shared" si="69"/>
        <v>18063210108_2028</v>
      </c>
      <c r="B1506">
        <v>18063210108</v>
      </c>
      <c r="C1506">
        <v>2028</v>
      </c>
      <c r="J1506">
        <v>-0.68509470664708583</v>
      </c>
      <c r="K1506">
        <v>0.1901657843414164</v>
      </c>
      <c r="M1506">
        <f t="shared" si="70"/>
        <v>-0.49492892230566943</v>
      </c>
      <c r="N1506">
        <f t="shared" si="71"/>
        <v>2</v>
      </c>
    </row>
    <row r="1507" spans="1:14" x14ac:dyDescent="0.35">
      <c r="A1507" t="str">
        <f t="shared" si="69"/>
        <v>18063210109_2024</v>
      </c>
      <c r="B1507">
        <v>18063210109</v>
      </c>
      <c r="C1507">
        <v>2024</v>
      </c>
      <c r="J1507">
        <v>-0.51291411716949542</v>
      </c>
      <c r="K1507">
        <v>0.42504922004500478</v>
      </c>
      <c r="M1507">
        <f t="shared" si="70"/>
        <v>-8.7864897124490637E-2</v>
      </c>
      <c r="N1507">
        <f t="shared" si="71"/>
        <v>2</v>
      </c>
    </row>
    <row r="1508" spans="1:14" x14ac:dyDescent="0.35">
      <c r="A1508" t="str">
        <f t="shared" si="69"/>
        <v>18063210109_2025</v>
      </c>
      <c r="B1508">
        <v>18063210109</v>
      </c>
      <c r="C1508">
        <v>2025</v>
      </c>
      <c r="J1508">
        <v>-0.59479519228796218</v>
      </c>
      <c r="K1508">
        <v>-0.53446547118428145</v>
      </c>
      <c r="M1508">
        <f t="shared" si="70"/>
        <v>-1.1292606634722437</v>
      </c>
      <c r="N1508">
        <f t="shared" si="71"/>
        <v>2</v>
      </c>
    </row>
    <row r="1509" spans="1:14" x14ac:dyDescent="0.35">
      <c r="A1509" t="str">
        <f t="shared" si="69"/>
        <v>18063210109_2026</v>
      </c>
      <c r="B1509">
        <v>18063210109</v>
      </c>
      <c r="C1509">
        <v>2026</v>
      </c>
      <c r="J1509">
        <v>-0.6535593140633863</v>
      </c>
      <c r="K1509">
        <v>0.36863520053033338</v>
      </c>
      <c r="M1509">
        <f t="shared" si="70"/>
        <v>-0.28492411353305291</v>
      </c>
      <c r="N1509">
        <f t="shared" si="71"/>
        <v>2</v>
      </c>
    </row>
    <row r="1510" spans="1:14" x14ac:dyDescent="0.35">
      <c r="A1510" t="str">
        <f t="shared" si="69"/>
        <v>18063210109_2027</v>
      </c>
      <c r="B1510">
        <v>18063210109</v>
      </c>
      <c r="C1510">
        <v>2027</v>
      </c>
      <c r="J1510">
        <v>-0.67629059989986162</v>
      </c>
      <c r="K1510">
        <v>-0.26874004466154328</v>
      </c>
      <c r="M1510">
        <f t="shared" si="70"/>
        <v>-0.94503064456140495</v>
      </c>
      <c r="N1510">
        <f t="shared" si="71"/>
        <v>2</v>
      </c>
    </row>
    <row r="1511" spans="1:14" x14ac:dyDescent="0.35">
      <c r="A1511" t="str">
        <f t="shared" si="69"/>
        <v>18063210109_2028</v>
      </c>
      <c r="B1511">
        <v>18063210109</v>
      </c>
      <c r="C1511">
        <v>2028</v>
      </c>
      <c r="J1511">
        <v>-0.68509470664708583</v>
      </c>
      <c r="K1511">
        <v>0.1901657843414164</v>
      </c>
      <c r="M1511">
        <f t="shared" si="70"/>
        <v>-0.49492892230566943</v>
      </c>
      <c r="N1511">
        <f t="shared" si="71"/>
        <v>2</v>
      </c>
    </row>
    <row r="1512" spans="1:14" x14ac:dyDescent="0.35">
      <c r="A1512" t="str">
        <f t="shared" si="69"/>
        <v>18063210607_2024</v>
      </c>
      <c r="B1512">
        <v>18063210607</v>
      </c>
      <c r="C1512">
        <v>2024</v>
      </c>
      <c r="J1512">
        <v>-0.5079828665950582</v>
      </c>
      <c r="M1512">
        <f t="shared" si="70"/>
        <v>-0.5079828665950582</v>
      </c>
      <c r="N1512">
        <f t="shared" si="71"/>
        <v>1</v>
      </c>
    </row>
    <row r="1513" spans="1:14" x14ac:dyDescent="0.35">
      <c r="A1513" t="str">
        <f t="shared" si="69"/>
        <v>18063210607_2025</v>
      </c>
      <c r="B1513">
        <v>18063210607</v>
      </c>
      <c r="C1513">
        <v>2025</v>
      </c>
      <c r="J1513">
        <v>-0.49252179446839328</v>
      </c>
      <c r="M1513">
        <f t="shared" si="70"/>
        <v>-0.49252179446839328</v>
      </c>
      <c r="N1513">
        <f t="shared" si="71"/>
        <v>1</v>
      </c>
    </row>
    <row r="1514" spans="1:14" x14ac:dyDescent="0.35">
      <c r="A1514" t="str">
        <f t="shared" si="69"/>
        <v>18063210607_2026</v>
      </c>
      <c r="B1514">
        <v>18063210607</v>
      </c>
      <c r="C1514">
        <v>2026</v>
      </c>
      <c r="J1514">
        <v>-0.51671970348387963</v>
      </c>
      <c r="M1514">
        <f t="shared" si="70"/>
        <v>-0.51671970348387963</v>
      </c>
      <c r="N1514">
        <f t="shared" si="71"/>
        <v>1</v>
      </c>
    </row>
    <row r="1515" spans="1:14" x14ac:dyDescent="0.35">
      <c r="A1515" t="str">
        <f t="shared" si="69"/>
        <v>18063210607_2027</v>
      </c>
      <c r="B1515">
        <v>18063210607</v>
      </c>
      <c r="C1515">
        <v>2027</v>
      </c>
      <c r="J1515">
        <v>-0.53261244988574719</v>
      </c>
      <c r="M1515">
        <f t="shared" si="70"/>
        <v>-0.53261244988574719</v>
      </c>
      <c r="N1515">
        <f t="shared" si="71"/>
        <v>1</v>
      </c>
    </row>
    <row r="1516" spans="1:14" x14ac:dyDescent="0.35">
      <c r="A1516" t="str">
        <f t="shared" si="69"/>
        <v>18063210607_2028</v>
      </c>
      <c r="B1516">
        <v>18063210607</v>
      </c>
      <c r="C1516">
        <v>2028</v>
      </c>
      <c r="J1516">
        <v>-0.54087366839332707</v>
      </c>
      <c r="M1516">
        <f t="shared" si="70"/>
        <v>-0.54087366839332707</v>
      </c>
      <c r="N1516">
        <f t="shared" si="71"/>
        <v>1</v>
      </c>
    </row>
    <row r="1517" spans="1:14" x14ac:dyDescent="0.35">
      <c r="A1517" t="str">
        <f t="shared" si="69"/>
        <v>18063210608_2024</v>
      </c>
      <c r="B1517">
        <v>18063210608</v>
      </c>
      <c r="C1517">
        <v>2024</v>
      </c>
      <c r="J1517">
        <v>-0.5079828665950582</v>
      </c>
      <c r="M1517">
        <f t="shared" si="70"/>
        <v>-0.5079828665950582</v>
      </c>
      <c r="N1517">
        <f t="shared" si="71"/>
        <v>1</v>
      </c>
    </row>
    <row r="1518" spans="1:14" x14ac:dyDescent="0.35">
      <c r="A1518" t="str">
        <f t="shared" si="69"/>
        <v>18063210608_2025</v>
      </c>
      <c r="B1518">
        <v>18063210608</v>
      </c>
      <c r="C1518">
        <v>2025</v>
      </c>
      <c r="J1518">
        <v>-0.49252179446839328</v>
      </c>
      <c r="M1518">
        <f t="shared" si="70"/>
        <v>-0.49252179446839328</v>
      </c>
      <c r="N1518">
        <f t="shared" si="71"/>
        <v>1</v>
      </c>
    </row>
    <row r="1519" spans="1:14" x14ac:dyDescent="0.35">
      <c r="A1519" t="str">
        <f t="shared" si="69"/>
        <v>18063210608_2026</v>
      </c>
      <c r="B1519">
        <v>18063210608</v>
      </c>
      <c r="C1519">
        <v>2026</v>
      </c>
      <c r="J1519">
        <v>-0.51671970348387963</v>
      </c>
      <c r="M1519">
        <f t="shared" si="70"/>
        <v>-0.51671970348387963</v>
      </c>
      <c r="N1519">
        <f t="shared" si="71"/>
        <v>1</v>
      </c>
    </row>
    <row r="1520" spans="1:14" x14ac:dyDescent="0.35">
      <c r="A1520" t="str">
        <f t="shared" si="69"/>
        <v>18063210608_2027</v>
      </c>
      <c r="B1520">
        <v>18063210608</v>
      </c>
      <c r="C1520">
        <v>2027</v>
      </c>
      <c r="J1520">
        <v>-0.53261244988574719</v>
      </c>
      <c r="M1520">
        <f t="shared" si="70"/>
        <v>-0.53261244988574719</v>
      </c>
      <c r="N1520">
        <f t="shared" si="71"/>
        <v>1</v>
      </c>
    </row>
    <row r="1521" spans="1:14" x14ac:dyDescent="0.35">
      <c r="A1521" t="str">
        <f t="shared" si="69"/>
        <v>18063210608_2028</v>
      </c>
      <c r="B1521">
        <v>18063210608</v>
      </c>
      <c r="C1521">
        <v>2028</v>
      </c>
      <c r="J1521">
        <v>-0.54087366839332707</v>
      </c>
      <c r="M1521">
        <f t="shared" si="70"/>
        <v>-0.54087366839332707</v>
      </c>
      <c r="N1521">
        <f t="shared" si="71"/>
        <v>1</v>
      </c>
    </row>
    <row r="1522" spans="1:14" x14ac:dyDescent="0.35">
      <c r="A1522" t="str">
        <f t="shared" si="69"/>
        <v>18063210611_2024</v>
      </c>
      <c r="B1522">
        <v>18063210611</v>
      </c>
      <c r="C1522">
        <v>2024</v>
      </c>
      <c r="J1522">
        <v>-0.51291411716949542</v>
      </c>
      <c r="K1522">
        <v>0.42504922004500478</v>
      </c>
      <c r="M1522">
        <f t="shared" si="70"/>
        <v>-8.7864897124490637E-2</v>
      </c>
      <c r="N1522">
        <f t="shared" si="71"/>
        <v>2</v>
      </c>
    </row>
    <row r="1523" spans="1:14" x14ac:dyDescent="0.35">
      <c r="A1523" t="str">
        <f t="shared" si="69"/>
        <v>18063210611_2025</v>
      </c>
      <c r="B1523">
        <v>18063210611</v>
      </c>
      <c r="C1523">
        <v>2025</v>
      </c>
      <c r="J1523">
        <v>-0.59479519228796218</v>
      </c>
      <c r="K1523">
        <v>-0.53446547118428145</v>
      </c>
      <c r="M1523">
        <f t="shared" si="70"/>
        <v>-1.1292606634722437</v>
      </c>
      <c r="N1523">
        <f t="shared" si="71"/>
        <v>2</v>
      </c>
    </row>
    <row r="1524" spans="1:14" x14ac:dyDescent="0.35">
      <c r="A1524" t="str">
        <f t="shared" si="69"/>
        <v>18063210611_2026</v>
      </c>
      <c r="B1524">
        <v>18063210611</v>
      </c>
      <c r="C1524">
        <v>2026</v>
      </c>
      <c r="J1524">
        <v>-0.6535593140633863</v>
      </c>
      <c r="K1524">
        <v>0.36863520053033338</v>
      </c>
      <c r="M1524">
        <f t="shared" si="70"/>
        <v>-0.28492411353305291</v>
      </c>
      <c r="N1524">
        <f t="shared" si="71"/>
        <v>2</v>
      </c>
    </row>
    <row r="1525" spans="1:14" x14ac:dyDescent="0.35">
      <c r="A1525" t="str">
        <f t="shared" si="69"/>
        <v>18063210611_2027</v>
      </c>
      <c r="B1525">
        <v>18063210611</v>
      </c>
      <c r="C1525">
        <v>2027</v>
      </c>
      <c r="J1525">
        <v>-0.67629059989986162</v>
      </c>
      <c r="K1525">
        <v>-0.26874004466154328</v>
      </c>
      <c r="M1525">
        <f t="shared" si="70"/>
        <v>-0.94503064456140495</v>
      </c>
      <c r="N1525">
        <f t="shared" si="71"/>
        <v>2</v>
      </c>
    </row>
    <row r="1526" spans="1:14" x14ac:dyDescent="0.35">
      <c r="A1526" t="str">
        <f t="shared" si="69"/>
        <v>18063210611_2028</v>
      </c>
      <c r="B1526">
        <v>18063210611</v>
      </c>
      <c r="C1526">
        <v>2028</v>
      </c>
      <c r="J1526">
        <v>-0.68509470664708583</v>
      </c>
      <c r="K1526">
        <v>0.1901657843414164</v>
      </c>
      <c r="M1526">
        <f t="shared" si="70"/>
        <v>-0.49492892230566943</v>
      </c>
      <c r="N1526">
        <f t="shared" si="71"/>
        <v>2</v>
      </c>
    </row>
    <row r="1527" spans="1:14" x14ac:dyDescent="0.35">
      <c r="A1527" t="str">
        <f t="shared" si="69"/>
        <v>18063210614_2024</v>
      </c>
      <c r="B1527">
        <v>18063210614</v>
      </c>
      <c r="C1527">
        <v>2024</v>
      </c>
      <c r="J1527">
        <v>-0.5079828716088084</v>
      </c>
      <c r="M1527">
        <f t="shared" si="70"/>
        <v>-0.5079828716088084</v>
      </c>
      <c r="N1527">
        <f t="shared" si="71"/>
        <v>1</v>
      </c>
    </row>
    <row r="1528" spans="1:14" x14ac:dyDescent="0.35">
      <c r="A1528" t="str">
        <f t="shared" si="69"/>
        <v>18063210614_2025</v>
      </c>
      <c r="B1528">
        <v>18063210614</v>
      </c>
      <c r="C1528">
        <v>2025</v>
      </c>
      <c r="J1528">
        <v>-0.49252179744445418</v>
      </c>
      <c r="M1528">
        <f t="shared" si="70"/>
        <v>-0.49252179744445418</v>
      </c>
      <c r="N1528">
        <f t="shared" si="71"/>
        <v>1</v>
      </c>
    </row>
    <row r="1529" spans="1:14" x14ac:dyDescent="0.35">
      <c r="A1529" t="str">
        <f t="shared" si="69"/>
        <v>18063210614_2026</v>
      </c>
      <c r="B1529">
        <v>18063210614</v>
      </c>
      <c r="C1529">
        <v>2026</v>
      </c>
      <c r="J1529">
        <v>-0.51671970529666567</v>
      </c>
      <c r="M1529">
        <f t="shared" si="70"/>
        <v>-0.51671970529666567</v>
      </c>
      <c r="N1529">
        <f t="shared" si="71"/>
        <v>1</v>
      </c>
    </row>
    <row r="1530" spans="1:14" x14ac:dyDescent="0.35">
      <c r="A1530" t="str">
        <f t="shared" si="69"/>
        <v>18063210614_2027</v>
      </c>
      <c r="B1530">
        <v>18063210614</v>
      </c>
      <c r="C1530">
        <v>2027</v>
      </c>
      <c r="J1530">
        <v>-0.53261245133774049</v>
      </c>
      <c r="M1530">
        <f t="shared" si="70"/>
        <v>-0.53261245133774049</v>
      </c>
      <c r="N1530">
        <f t="shared" si="71"/>
        <v>1</v>
      </c>
    </row>
    <row r="1531" spans="1:14" x14ac:dyDescent="0.35">
      <c r="A1531" t="str">
        <f t="shared" si="69"/>
        <v>18063210614_2028</v>
      </c>
      <c r="B1531">
        <v>18063210614</v>
      </c>
      <c r="C1531">
        <v>2028</v>
      </c>
      <c r="J1531">
        <v>-0.54087366974555218</v>
      </c>
      <c r="M1531">
        <f t="shared" si="70"/>
        <v>-0.54087366974555218</v>
      </c>
      <c r="N1531">
        <f t="shared" si="71"/>
        <v>1</v>
      </c>
    </row>
    <row r="1532" spans="1:14" x14ac:dyDescent="0.35">
      <c r="A1532" t="str">
        <f t="shared" si="69"/>
        <v>18063210616_2024</v>
      </c>
      <c r="B1532">
        <v>18063210616</v>
      </c>
      <c r="C1532">
        <v>2024</v>
      </c>
      <c r="J1532">
        <v>-0.51291411716949542</v>
      </c>
      <c r="K1532">
        <v>0.42504922004500478</v>
      </c>
      <c r="M1532">
        <f t="shared" si="70"/>
        <v>-8.7864897124490637E-2</v>
      </c>
      <c r="N1532">
        <f t="shared" si="71"/>
        <v>2</v>
      </c>
    </row>
    <row r="1533" spans="1:14" x14ac:dyDescent="0.35">
      <c r="A1533" t="str">
        <f t="shared" si="69"/>
        <v>18063210616_2025</v>
      </c>
      <c r="B1533">
        <v>18063210616</v>
      </c>
      <c r="C1533">
        <v>2025</v>
      </c>
      <c r="J1533">
        <v>-0.59479519228796218</v>
      </c>
      <c r="K1533">
        <v>-0.53446547118428145</v>
      </c>
      <c r="M1533">
        <f t="shared" si="70"/>
        <v>-1.1292606634722437</v>
      </c>
      <c r="N1533">
        <f t="shared" si="71"/>
        <v>2</v>
      </c>
    </row>
    <row r="1534" spans="1:14" x14ac:dyDescent="0.35">
      <c r="A1534" t="str">
        <f t="shared" si="69"/>
        <v>18063210616_2026</v>
      </c>
      <c r="B1534">
        <v>18063210616</v>
      </c>
      <c r="C1534">
        <v>2026</v>
      </c>
      <c r="J1534">
        <v>-0.6535593140633863</v>
      </c>
      <c r="K1534">
        <v>0.36863520053033338</v>
      </c>
      <c r="M1534">
        <f t="shared" si="70"/>
        <v>-0.28492411353305291</v>
      </c>
      <c r="N1534">
        <f t="shared" si="71"/>
        <v>2</v>
      </c>
    </row>
    <row r="1535" spans="1:14" x14ac:dyDescent="0.35">
      <c r="A1535" t="str">
        <f t="shared" si="69"/>
        <v>18063210616_2027</v>
      </c>
      <c r="B1535">
        <v>18063210616</v>
      </c>
      <c r="C1535">
        <v>2027</v>
      </c>
      <c r="J1535">
        <v>-0.67629059989986162</v>
      </c>
      <c r="K1535">
        <v>-0.26874004466154328</v>
      </c>
      <c r="M1535">
        <f t="shared" si="70"/>
        <v>-0.94503064456140495</v>
      </c>
      <c r="N1535">
        <f t="shared" si="71"/>
        <v>2</v>
      </c>
    </row>
    <row r="1536" spans="1:14" x14ac:dyDescent="0.35">
      <c r="A1536" t="str">
        <f t="shared" si="69"/>
        <v>18063210616_2028</v>
      </c>
      <c r="B1536">
        <v>18063210616</v>
      </c>
      <c r="C1536">
        <v>2028</v>
      </c>
      <c r="J1536">
        <v>-0.68509470664708583</v>
      </c>
      <c r="K1536">
        <v>0.1901657843414164</v>
      </c>
      <c r="M1536">
        <f t="shared" si="70"/>
        <v>-0.49492892230566943</v>
      </c>
      <c r="N1536">
        <f t="shared" si="71"/>
        <v>2</v>
      </c>
    </row>
    <row r="1537" spans="1:14" x14ac:dyDescent="0.35">
      <c r="A1537" t="str">
        <f t="shared" si="69"/>
        <v>18063210617_2024</v>
      </c>
      <c r="B1537">
        <v>18063210617</v>
      </c>
      <c r="C1537">
        <v>2024</v>
      </c>
      <c r="J1537">
        <v>-0.51291411716949542</v>
      </c>
      <c r="K1537">
        <v>0.42504922004500478</v>
      </c>
      <c r="M1537">
        <f t="shared" si="70"/>
        <v>-8.7864897124490637E-2</v>
      </c>
      <c r="N1537">
        <f t="shared" si="71"/>
        <v>2</v>
      </c>
    </row>
    <row r="1538" spans="1:14" x14ac:dyDescent="0.35">
      <c r="A1538" t="str">
        <f t="shared" si="69"/>
        <v>18063210617_2025</v>
      </c>
      <c r="B1538">
        <v>18063210617</v>
      </c>
      <c r="C1538">
        <v>2025</v>
      </c>
      <c r="J1538">
        <v>-0.59479519228796218</v>
      </c>
      <c r="K1538">
        <v>-0.53446547118428145</v>
      </c>
      <c r="M1538">
        <f t="shared" si="70"/>
        <v>-1.1292606634722437</v>
      </c>
      <c r="N1538">
        <f t="shared" si="71"/>
        <v>2</v>
      </c>
    </row>
    <row r="1539" spans="1:14" x14ac:dyDescent="0.35">
      <c r="A1539" t="str">
        <f t="shared" ref="A1539:A1541" si="72">TEXT(B1539,0)&amp;"_"&amp;TEXT(C1539,0)</f>
        <v>18063210617_2026</v>
      </c>
      <c r="B1539">
        <v>18063210617</v>
      </c>
      <c r="C1539">
        <v>2026</v>
      </c>
      <c r="J1539">
        <v>-0.6535593140633863</v>
      </c>
      <c r="K1539">
        <v>0.36863520053033338</v>
      </c>
      <c r="M1539">
        <f t="shared" ref="M1539:M1541" si="73">SUM(D1539:K1539)</f>
        <v>-0.28492411353305291</v>
      </c>
      <c r="N1539">
        <f t="shared" ref="N1539:N1541" si="74">IF(D1539=0,0,1)+IF(E1539=0,0,1)+IF(F1539=0,0,1)+IF(G1539=0,0,1)+IF(H1539=0,0,1)+IF(I1539=0,0,1)++IF(J1539=0,0,1)++IF(K1539=0,0,1)</f>
        <v>2</v>
      </c>
    </row>
    <row r="1540" spans="1:14" x14ac:dyDescent="0.35">
      <c r="A1540" t="str">
        <f t="shared" si="72"/>
        <v>18063210617_2027</v>
      </c>
      <c r="B1540">
        <v>18063210617</v>
      </c>
      <c r="C1540">
        <v>2027</v>
      </c>
      <c r="J1540">
        <v>-0.67629059989986162</v>
      </c>
      <c r="K1540">
        <v>-0.26874004466154328</v>
      </c>
      <c r="M1540">
        <f t="shared" si="73"/>
        <v>-0.94503064456140495</v>
      </c>
      <c r="N1540">
        <f t="shared" si="74"/>
        <v>2</v>
      </c>
    </row>
    <row r="1541" spans="1:14" x14ac:dyDescent="0.35">
      <c r="A1541" t="str">
        <f t="shared" si="72"/>
        <v>18063210617_2028</v>
      </c>
      <c r="B1541">
        <v>18063210617</v>
      </c>
      <c r="C1541">
        <v>2028</v>
      </c>
      <c r="J1541">
        <v>-0.68509470664708583</v>
      </c>
      <c r="K1541">
        <v>0.1901657843414164</v>
      </c>
      <c r="M1541">
        <f t="shared" si="73"/>
        <v>-0.49492892230566943</v>
      </c>
      <c r="N1541">
        <f t="shared" si="74"/>
        <v>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85A82-7016-483B-9701-CC157735E32F}">
  <sheetPr codeName="Sheet6"/>
  <dimension ref="A1:N1541"/>
  <sheetViews>
    <sheetView workbookViewId="0">
      <selection activeCell="O1" sqref="O1"/>
    </sheetView>
  </sheetViews>
  <sheetFormatPr defaultRowHeight="14.5" x14ac:dyDescent="0.35"/>
  <cols>
    <col min="1" max="1" width="22.7265625" customWidth="1"/>
  </cols>
  <sheetData>
    <row r="1" spans="1:14" s="23" customFormat="1" x14ac:dyDescent="0.35">
      <c r="B1" s="23" t="s">
        <v>174</v>
      </c>
      <c r="C1" s="23" t="s">
        <v>183</v>
      </c>
      <c r="D1" s="23" t="s">
        <v>182</v>
      </c>
      <c r="E1" s="23" t="s">
        <v>181</v>
      </c>
      <c r="F1" s="23" t="s">
        <v>180</v>
      </c>
      <c r="G1" s="23" t="s">
        <v>179</v>
      </c>
      <c r="H1" s="23" t="s">
        <v>178</v>
      </c>
      <c r="I1" s="23" t="s">
        <v>177</v>
      </c>
      <c r="J1" s="23" t="s">
        <v>176</v>
      </c>
      <c r="K1" s="23" t="s">
        <v>175</v>
      </c>
      <c r="M1" s="23" t="s">
        <v>196</v>
      </c>
      <c r="N1" s="23" t="s">
        <v>197</v>
      </c>
    </row>
    <row r="2" spans="1:14" x14ac:dyDescent="0.35">
      <c r="A2" t="str">
        <f>TEXT(B2,0)&amp;"_"&amp;TEXT(C2,0)</f>
        <v>18097310104_2024</v>
      </c>
      <c r="B2">
        <v>18097310104</v>
      </c>
      <c r="C2">
        <v>2024</v>
      </c>
      <c r="D2">
        <v>0.20475035755800061</v>
      </c>
      <c r="E2">
        <v>1.0886432241745081</v>
      </c>
      <c r="F2">
        <v>0.10622796863102529</v>
      </c>
      <c r="G2">
        <v>5.3461215919489158E-2</v>
      </c>
      <c r="H2">
        <v>0.16913924679866421</v>
      </c>
      <c r="I2">
        <v>0.1181853584282425</v>
      </c>
      <c r="J2">
        <v>0.24487933076452351</v>
      </c>
      <c r="K2">
        <v>0.8691160931102746</v>
      </c>
      <c r="M2">
        <f>SUM(D2:K2)</f>
        <v>2.8544027953847277</v>
      </c>
      <c r="N2">
        <f>IF(D2=0,0,1)+IF(E2=0,0,1)+IF(F2=0,0,1)+IF(G2=0,0,1)+IF(H2=0,0,1)+IF(I2=0,0,1)++IF(J2=0,0,1)++IF(K2=0,0,1)</f>
        <v>8</v>
      </c>
    </row>
    <row r="3" spans="1:14" x14ac:dyDescent="0.35">
      <c r="A3" t="str">
        <f t="shared" ref="A3:A66" si="0">TEXT(B3,0)&amp;"_"&amp;TEXT(C3,0)</f>
        <v>18097310104_2025</v>
      </c>
      <c r="B3">
        <v>18097310104</v>
      </c>
      <c r="C3">
        <v>2025</v>
      </c>
      <c r="D3">
        <v>0.4089429145988393</v>
      </c>
      <c r="E3">
        <v>1.0689968573237509</v>
      </c>
      <c r="F3">
        <v>0.35886763108331537</v>
      </c>
      <c r="G3">
        <v>1.495451778338145E-2</v>
      </c>
      <c r="H3">
        <v>4.5703888729337762E-2</v>
      </c>
      <c r="I3">
        <v>-0.1580439825039146</v>
      </c>
      <c r="J3">
        <v>0.24831873858843059</v>
      </c>
      <c r="K3">
        <v>0.83132644818884094</v>
      </c>
      <c r="M3">
        <f t="shared" ref="M3:M66" si="1">SUM(D3:K3)</f>
        <v>2.8190670137919818</v>
      </c>
      <c r="N3">
        <f t="shared" ref="N3:N66" si="2">IF(D3=0,0,1)+IF(E3=0,0,1)+IF(F3=0,0,1)+IF(G3=0,0,1)+IF(H3=0,0,1)+IF(I3=0,0,1)++IF(J3=0,0,1)++IF(K3=0,0,1)</f>
        <v>8</v>
      </c>
    </row>
    <row r="4" spans="1:14" x14ac:dyDescent="0.35">
      <c r="A4" t="str">
        <f t="shared" si="0"/>
        <v>18097310104_2026</v>
      </c>
      <c r="B4">
        <v>18097310104</v>
      </c>
      <c r="C4">
        <v>2026</v>
      </c>
      <c r="D4">
        <v>0.49000561336281462</v>
      </c>
      <c r="E4">
        <v>1.061511947544306</v>
      </c>
      <c r="F4">
        <v>0.49150147198844057</v>
      </c>
      <c r="G4">
        <v>-3.5774645588594209E-2</v>
      </c>
      <c r="H4">
        <v>-4.6551874025554232E-2</v>
      </c>
      <c r="I4">
        <v>-0.34718243751078959</v>
      </c>
      <c r="J4">
        <v>0.24457453663471609</v>
      </c>
      <c r="K4">
        <v>0.74223955925247498</v>
      </c>
      <c r="M4">
        <f t="shared" si="1"/>
        <v>2.6003241716578143</v>
      </c>
      <c r="N4">
        <f t="shared" si="2"/>
        <v>8</v>
      </c>
    </row>
    <row r="5" spans="1:14" x14ac:dyDescent="0.35">
      <c r="A5" t="str">
        <f t="shared" si="0"/>
        <v>18097310104_2027</v>
      </c>
      <c r="B5">
        <v>18097310104</v>
      </c>
      <c r="C5">
        <v>2027</v>
      </c>
      <c r="D5">
        <v>0.6503556080621492</v>
      </c>
      <c r="E5">
        <v>1.039959373099151</v>
      </c>
      <c r="F5">
        <v>0.55568235822917067</v>
      </c>
      <c r="G5">
        <v>-7.5118550677185175E-2</v>
      </c>
      <c r="H5">
        <v>-0.14915729190139521</v>
      </c>
      <c r="I5">
        <v>-0.46446742561143939</v>
      </c>
      <c r="J5">
        <v>0.2350298575348628</v>
      </c>
      <c r="K5">
        <v>0.64176323558952542</v>
      </c>
      <c r="M5">
        <f t="shared" si="1"/>
        <v>2.4340471643248396</v>
      </c>
      <c r="N5">
        <f t="shared" si="2"/>
        <v>8</v>
      </c>
    </row>
    <row r="6" spans="1:14" x14ac:dyDescent="0.35">
      <c r="A6" t="str">
        <f t="shared" si="0"/>
        <v>18097310104_2028</v>
      </c>
      <c r="B6">
        <v>18097310104</v>
      </c>
      <c r="C6">
        <v>2028</v>
      </c>
      <c r="D6">
        <v>0.73809499011302626</v>
      </c>
      <c r="E6">
        <v>1.0268745698410091</v>
      </c>
      <c r="F6">
        <v>0.60869031698571363</v>
      </c>
      <c r="G6">
        <v>-0.1190852632824175</v>
      </c>
      <c r="H6">
        <v>-0.2200064969058553</v>
      </c>
      <c r="I6">
        <v>-0.5331649345484033</v>
      </c>
      <c r="J6">
        <v>0.21952784584706381</v>
      </c>
      <c r="K6">
        <v>0.53049544757495193</v>
      </c>
      <c r="M6">
        <f t="shared" si="1"/>
        <v>2.251426475625089</v>
      </c>
      <c r="N6">
        <f t="shared" si="2"/>
        <v>8</v>
      </c>
    </row>
    <row r="7" spans="1:14" x14ac:dyDescent="0.35">
      <c r="A7" t="str">
        <f t="shared" si="0"/>
        <v>18097310105_2024</v>
      </c>
      <c r="B7">
        <v>18097310105</v>
      </c>
      <c r="C7">
        <v>2024</v>
      </c>
      <c r="D7">
        <v>0.93095139126517323</v>
      </c>
      <c r="E7">
        <v>0.79741829928940577</v>
      </c>
      <c r="F7">
        <v>0.73234761067484377</v>
      </c>
      <c r="G7">
        <v>-0.29042307573618059</v>
      </c>
      <c r="H7">
        <v>1.4826472291044099</v>
      </c>
      <c r="I7">
        <v>-0.6250851625688808</v>
      </c>
      <c r="J7">
        <v>1.0937877381473671</v>
      </c>
      <c r="K7">
        <v>0.8691160931102746</v>
      </c>
      <c r="M7">
        <f t="shared" si="1"/>
        <v>4.9907601232864138</v>
      </c>
      <c r="N7">
        <f t="shared" si="2"/>
        <v>8</v>
      </c>
    </row>
    <row r="8" spans="1:14" x14ac:dyDescent="0.35">
      <c r="A8" t="str">
        <f t="shared" si="0"/>
        <v>18097310105_2025</v>
      </c>
      <c r="B8">
        <v>18097310105</v>
      </c>
      <c r="C8">
        <v>2025</v>
      </c>
      <c r="D8">
        <v>1.243615167443926</v>
      </c>
      <c r="E8">
        <v>0.93685609216244536</v>
      </c>
      <c r="F8">
        <v>0.87479998841343032</v>
      </c>
      <c r="G8">
        <v>-0.34693199986012369</v>
      </c>
      <c r="H8">
        <v>1.3945937809515989</v>
      </c>
      <c r="I8">
        <v>-0.64646620369225472</v>
      </c>
      <c r="J8">
        <v>1.0931361859126481</v>
      </c>
      <c r="K8">
        <v>0.83132644818884094</v>
      </c>
      <c r="M8">
        <f t="shared" si="1"/>
        <v>5.3809294595205106</v>
      </c>
      <c r="N8">
        <f t="shared" si="2"/>
        <v>8</v>
      </c>
    </row>
    <row r="9" spans="1:14" x14ac:dyDescent="0.35">
      <c r="A9" t="str">
        <f t="shared" si="0"/>
        <v>18097310105_2026</v>
      </c>
      <c r="B9">
        <v>18097310105</v>
      </c>
      <c r="C9">
        <v>2026</v>
      </c>
      <c r="D9">
        <v>1.3485628845868469</v>
      </c>
      <c r="E9">
        <v>1.0422662165798939</v>
      </c>
      <c r="F9">
        <v>0.98897098883572965</v>
      </c>
      <c r="G9">
        <v>-0.40369505838863012</v>
      </c>
      <c r="H9">
        <v>1.298948862817239</v>
      </c>
      <c r="I9">
        <v>-0.66476373584061221</v>
      </c>
      <c r="J9">
        <v>1.0905731483316869</v>
      </c>
      <c r="K9">
        <v>0.74223955925247498</v>
      </c>
      <c r="M9">
        <f t="shared" si="1"/>
        <v>5.4431028661746286</v>
      </c>
      <c r="N9">
        <f t="shared" si="2"/>
        <v>8</v>
      </c>
    </row>
    <row r="10" spans="1:14" x14ac:dyDescent="0.35">
      <c r="A10" t="str">
        <f t="shared" si="0"/>
        <v>18097310105_2027</v>
      </c>
      <c r="B10">
        <v>18097310105</v>
      </c>
      <c r="C10">
        <v>2027</v>
      </c>
      <c r="D10">
        <v>1.570393950438111</v>
      </c>
      <c r="E10">
        <v>1.0996642471092</v>
      </c>
      <c r="F10">
        <v>1.0718550037168431</v>
      </c>
      <c r="G10">
        <v>-0.45137843629083629</v>
      </c>
      <c r="H10">
        <v>1.205610878178965</v>
      </c>
      <c r="I10">
        <v>-0.68029427334151249</v>
      </c>
      <c r="J10">
        <v>1.085181357270145</v>
      </c>
      <c r="K10">
        <v>0.64176323558952542</v>
      </c>
      <c r="M10">
        <f t="shared" si="1"/>
        <v>5.5427959626704411</v>
      </c>
      <c r="N10">
        <f t="shared" si="2"/>
        <v>8</v>
      </c>
    </row>
    <row r="11" spans="1:14" x14ac:dyDescent="0.35">
      <c r="A11" t="str">
        <f t="shared" si="0"/>
        <v>18097310105_2028</v>
      </c>
      <c r="B11">
        <v>18097310105</v>
      </c>
      <c r="C11">
        <v>2028</v>
      </c>
      <c r="D11">
        <v>1.6827799804107759</v>
      </c>
      <c r="E11">
        <v>1.1412206003397141</v>
      </c>
      <c r="F11">
        <v>1.1701957322535601</v>
      </c>
      <c r="G11">
        <v>-0.49189901250833612</v>
      </c>
      <c r="H11">
        <v>1.113738995424943</v>
      </c>
      <c r="I11">
        <v>-0.69212361179727921</v>
      </c>
      <c r="J11">
        <v>1.0762051615901509</v>
      </c>
      <c r="K11">
        <v>0.53049544757495193</v>
      </c>
      <c r="M11">
        <f t="shared" si="1"/>
        <v>5.5306132932884804</v>
      </c>
      <c r="N11">
        <f t="shared" si="2"/>
        <v>8</v>
      </c>
    </row>
    <row r="12" spans="1:14" x14ac:dyDescent="0.35">
      <c r="A12" t="str">
        <f t="shared" si="0"/>
        <v>18097310106_2024</v>
      </c>
      <c r="B12">
        <v>18097310106</v>
      </c>
      <c r="C12">
        <v>2024</v>
      </c>
      <c r="D12">
        <v>0.29137414236974879</v>
      </c>
      <c r="E12">
        <v>0.61054861937443183</v>
      </c>
      <c r="F12">
        <v>0.55713010001348906</v>
      </c>
      <c r="G12">
        <v>-0.18779486123434841</v>
      </c>
      <c r="H12">
        <v>1.327250887181229</v>
      </c>
      <c r="I12">
        <v>-0.62457284946646263</v>
      </c>
      <c r="J12">
        <v>0.32778158012534009</v>
      </c>
      <c r="K12">
        <v>1.0057032977235181</v>
      </c>
      <c r="M12">
        <f t="shared" si="1"/>
        <v>3.3074209160869463</v>
      </c>
      <c r="N12">
        <f t="shared" si="2"/>
        <v>8</v>
      </c>
    </row>
    <row r="13" spans="1:14" x14ac:dyDescent="0.35">
      <c r="A13" t="str">
        <f t="shared" si="0"/>
        <v>18097310106_2025</v>
      </c>
      <c r="B13">
        <v>18097310106</v>
      </c>
      <c r="C13">
        <v>2025</v>
      </c>
      <c r="D13">
        <v>0.49997016501841213</v>
      </c>
      <c r="E13">
        <v>0.54359130022776792</v>
      </c>
      <c r="F13">
        <v>0.47331579131317059</v>
      </c>
      <c r="G13">
        <v>-0.16765892097586649</v>
      </c>
      <c r="H13">
        <v>1.3036490272008521</v>
      </c>
      <c r="I13">
        <v>-0.70355596320497382</v>
      </c>
      <c r="J13">
        <v>0.32512702564863583</v>
      </c>
      <c r="K13">
        <v>1.1523233722098589</v>
      </c>
      <c r="M13">
        <f t="shared" si="1"/>
        <v>3.4267617974378575</v>
      </c>
      <c r="N13">
        <f t="shared" si="2"/>
        <v>8</v>
      </c>
    </row>
    <row r="14" spans="1:14" x14ac:dyDescent="0.35">
      <c r="A14" t="str">
        <f t="shared" si="0"/>
        <v>18097310106_2026</v>
      </c>
      <c r="B14">
        <v>18097310106</v>
      </c>
      <c r="C14">
        <v>2026</v>
      </c>
      <c r="D14">
        <v>0.57433462072632058</v>
      </c>
      <c r="E14">
        <v>0.66528658404075558</v>
      </c>
      <c r="F14">
        <v>0.37007082665599278</v>
      </c>
      <c r="G14">
        <v>-0.16011799926824291</v>
      </c>
      <c r="H14">
        <v>1.2688426599693241</v>
      </c>
      <c r="I14">
        <v>-0.63786687365515959</v>
      </c>
      <c r="J14">
        <v>0.31541264339650571</v>
      </c>
      <c r="K14">
        <v>1.174135722939128</v>
      </c>
      <c r="M14">
        <f t="shared" si="1"/>
        <v>3.5700981848046247</v>
      </c>
      <c r="N14">
        <f t="shared" si="2"/>
        <v>8</v>
      </c>
    </row>
    <row r="15" spans="1:14" x14ac:dyDescent="0.35">
      <c r="A15" t="str">
        <f t="shared" si="0"/>
        <v>18097310106_2027</v>
      </c>
      <c r="B15">
        <v>18097310106</v>
      </c>
      <c r="C15">
        <v>2027</v>
      </c>
      <c r="D15">
        <v>0.73170041821406706</v>
      </c>
      <c r="E15">
        <v>0.63444812040979082</v>
      </c>
      <c r="F15">
        <v>0.27005140133497219</v>
      </c>
      <c r="G15">
        <v>-0.1477899820841202</v>
      </c>
      <c r="H15">
        <v>1.2292313087510769</v>
      </c>
      <c r="I15">
        <v>-0.66669172735012283</v>
      </c>
      <c r="J15">
        <v>0.29920920199889778</v>
      </c>
      <c r="K15">
        <v>1.1468534615214001</v>
      </c>
      <c r="M15">
        <f t="shared" si="1"/>
        <v>3.497012202795962</v>
      </c>
      <c r="N15">
        <f t="shared" si="2"/>
        <v>8</v>
      </c>
    </row>
    <row r="16" spans="1:14" x14ac:dyDescent="0.35">
      <c r="A16" t="str">
        <f t="shared" si="0"/>
        <v>18097310106_2028</v>
      </c>
      <c r="B16">
        <v>18097310106</v>
      </c>
      <c r="C16">
        <v>2028</v>
      </c>
      <c r="D16">
        <v>0.81263593225015618</v>
      </c>
      <c r="E16">
        <v>0.71626887288618035</v>
      </c>
      <c r="F16">
        <v>0.19099056332193221</v>
      </c>
      <c r="G16">
        <v>-0.1433163748700903</v>
      </c>
      <c r="H16">
        <v>1.1513900059464439</v>
      </c>
      <c r="I16">
        <v>-0.62800527745420553</v>
      </c>
      <c r="J16">
        <v>0.27594434377601962</v>
      </c>
      <c r="K16">
        <v>1.066268101081854</v>
      </c>
      <c r="M16">
        <f t="shared" si="1"/>
        <v>3.4421761669382902</v>
      </c>
      <c r="N16">
        <f t="shared" si="2"/>
        <v>8</v>
      </c>
    </row>
    <row r="17" spans="1:14" x14ac:dyDescent="0.35">
      <c r="A17" t="str">
        <f t="shared" si="0"/>
        <v>18097310108_2024</v>
      </c>
      <c r="B17">
        <v>18097310108</v>
      </c>
      <c r="C17">
        <v>2024</v>
      </c>
      <c r="D17">
        <v>-0.79507371170067165</v>
      </c>
      <c r="E17">
        <v>1.8895864418678929</v>
      </c>
      <c r="F17">
        <v>-1.0911565398590179</v>
      </c>
      <c r="G17">
        <v>2.1358111092260121</v>
      </c>
      <c r="H17">
        <v>1.2970938107158569</v>
      </c>
      <c r="I17">
        <v>0.56147055333279039</v>
      </c>
      <c r="J17">
        <v>0.3360921238249574</v>
      </c>
      <c r="K17">
        <v>1.8871446291074689</v>
      </c>
      <c r="M17">
        <f t="shared" si="1"/>
        <v>6.220968416515289</v>
      </c>
      <c r="N17">
        <f t="shared" si="2"/>
        <v>8</v>
      </c>
    </row>
    <row r="18" spans="1:14" x14ac:dyDescent="0.35">
      <c r="A18" t="str">
        <f t="shared" si="0"/>
        <v>18097310108_2025</v>
      </c>
      <c r="B18">
        <v>18097310108</v>
      </c>
      <c r="C18">
        <v>2025</v>
      </c>
      <c r="D18">
        <v>-0.73761500243517564</v>
      </c>
      <c r="E18">
        <v>1.858574745939966</v>
      </c>
      <c r="F18">
        <v>-1.044086777621535</v>
      </c>
      <c r="G18">
        <v>2.05565901584368</v>
      </c>
      <c r="H18">
        <v>1.235648296240444</v>
      </c>
      <c r="I18">
        <v>0.56555485503479264</v>
      </c>
      <c r="J18">
        <v>0.34063549038445251</v>
      </c>
      <c r="K18">
        <v>2.685322791496366</v>
      </c>
      <c r="M18">
        <f t="shared" si="1"/>
        <v>6.9596934148829916</v>
      </c>
      <c r="N18">
        <f t="shared" si="2"/>
        <v>8</v>
      </c>
    </row>
    <row r="19" spans="1:14" x14ac:dyDescent="0.35">
      <c r="A19" t="str">
        <f t="shared" si="0"/>
        <v>18097310108_2026</v>
      </c>
      <c r="B19">
        <v>18097310108</v>
      </c>
      <c r="C19">
        <v>2026</v>
      </c>
      <c r="D19">
        <v>-0.70236429675099754</v>
      </c>
      <c r="E19">
        <v>1.8481622388835171</v>
      </c>
      <c r="F19">
        <v>-0.98519552475836081</v>
      </c>
      <c r="G19">
        <v>1.9523154163321621</v>
      </c>
      <c r="H19">
        <v>1.1671404782798971</v>
      </c>
      <c r="I19">
        <v>0.55594818193029327</v>
      </c>
      <c r="J19">
        <v>0.33871952356364521</v>
      </c>
      <c r="K19">
        <v>3.3617398824415088</v>
      </c>
      <c r="M19">
        <f t="shared" si="1"/>
        <v>7.5364658999216658</v>
      </c>
      <c r="N19">
        <f t="shared" si="2"/>
        <v>8</v>
      </c>
    </row>
    <row r="20" spans="1:14" x14ac:dyDescent="0.35">
      <c r="A20" t="str">
        <f t="shared" si="0"/>
        <v>18097310108_2027</v>
      </c>
      <c r="B20">
        <v>18097310108</v>
      </c>
      <c r="C20">
        <v>2027</v>
      </c>
      <c r="D20">
        <v>-0.63927793933886212</v>
      </c>
      <c r="E20">
        <v>1.8162379404194691</v>
      </c>
      <c r="F20">
        <v>-0.91933251852151121</v>
      </c>
      <c r="G20">
        <v>1.869421530750772</v>
      </c>
      <c r="H20">
        <v>1.097093940694605</v>
      </c>
      <c r="I20">
        <v>0.55323315089913949</v>
      </c>
      <c r="J20">
        <v>0.33149199824913078</v>
      </c>
      <c r="K20">
        <v>3.9589109590434388</v>
      </c>
      <c r="M20">
        <f t="shared" si="1"/>
        <v>8.0677790621961822</v>
      </c>
      <c r="N20">
        <f t="shared" si="2"/>
        <v>8</v>
      </c>
    </row>
    <row r="21" spans="1:14" x14ac:dyDescent="0.35">
      <c r="A21" t="str">
        <f t="shared" si="0"/>
        <v>18097310108_2028</v>
      </c>
      <c r="B21">
        <v>18097310108</v>
      </c>
      <c r="C21">
        <v>2028</v>
      </c>
      <c r="D21">
        <v>-0.59320442814803453</v>
      </c>
      <c r="E21">
        <v>1.7949508536326451</v>
      </c>
      <c r="F21">
        <v>-0.86705331640089101</v>
      </c>
      <c r="G21">
        <v>1.7379386299571069</v>
      </c>
      <c r="H21">
        <v>1.028058174949668</v>
      </c>
      <c r="I21">
        <v>0.54380744156757199</v>
      </c>
      <c r="J21">
        <v>0.31880874417965371</v>
      </c>
      <c r="K21">
        <v>4.3905491926839231</v>
      </c>
      <c r="M21">
        <f t="shared" si="1"/>
        <v>8.3538552924216436</v>
      </c>
      <c r="N21">
        <f t="shared" si="2"/>
        <v>8</v>
      </c>
    </row>
    <row r="22" spans="1:14" x14ac:dyDescent="0.35">
      <c r="A22" t="str">
        <f t="shared" si="0"/>
        <v>18097310110_2024</v>
      </c>
      <c r="B22">
        <v>18097310110</v>
      </c>
      <c r="C22">
        <v>2024</v>
      </c>
      <c r="D22">
        <v>-0.78691063221077373</v>
      </c>
      <c r="E22">
        <v>0.77738932276801609</v>
      </c>
      <c r="F22">
        <v>-0.34136722978012002</v>
      </c>
      <c r="G22">
        <v>-0.24819469828703189</v>
      </c>
      <c r="H22">
        <v>0.74891135995066893</v>
      </c>
      <c r="I22">
        <v>-0.48756799563126813</v>
      </c>
      <c r="J22">
        <v>-0.2124402744950796</v>
      </c>
      <c r="K22">
        <v>0.64590584783050897</v>
      </c>
      <c r="M22">
        <f t="shared" si="1"/>
        <v>9.5725700144920656E-2</v>
      </c>
      <c r="N22">
        <f t="shared" si="2"/>
        <v>8</v>
      </c>
    </row>
    <row r="23" spans="1:14" x14ac:dyDescent="0.35">
      <c r="A23" t="str">
        <f t="shared" si="0"/>
        <v>18097310110_2025</v>
      </c>
      <c r="B23">
        <v>18097310110</v>
      </c>
      <c r="C23">
        <v>2025</v>
      </c>
      <c r="D23">
        <v>-0.75562817160365137</v>
      </c>
      <c r="E23">
        <v>0.74942599288263401</v>
      </c>
      <c r="F23">
        <v>-0.35574659907042971</v>
      </c>
      <c r="G23">
        <v>-0.29810583900287779</v>
      </c>
      <c r="H23">
        <v>0.69485739937086333</v>
      </c>
      <c r="I23">
        <v>-0.45834526427038058</v>
      </c>
      <c r="J23">
        <v>-0.218476266325864</v>
      </c>
      <c r="K23">
        <v>0.63616973073771521</v>
      </c>
      <c r="M23">
        <f t="shared" si="1"/>
        <v>-5.8490172819909425E-3</v>
      </c>
      <c r="N23">
        <f t="shared" si="2"/>
        <v>8</v>
      </c>
    </row>
    <row r="24" spans="1:14" x14ac:dyDescent="0.35">
      <c r="A24" t="str">
        <f t="shared" si="0"/>
        <v>18097310110_2026</v>
      </c>
      <c r="B24">
        <v>18097310110</v>
      </c>
      <c r="C24">
        <v>2026</v>
      </c>
      <c r="D24">
        <v>-0.73572758837413454</v>
      </c>
      <c r="E24">
        <v>0.73405106419085642</v>
      </c>
      <c r="F24">
        <v>-0.36602243679096019</v>
      </c>
      <c r="G24">
        <v>-0.34891913393867302</v>
      </c>
      <c r="H24">
        <v>0.65469027544822722</v>
      </c>
      <c r="I24">
        <v>-0.42923359933427879</v>
      </c>
      <c r="J24">
        <v>-0.2337527441996875</v>
      </c>
      <c r="K24">
        <v>0.55795266705048996</v>
      </c>
      <c r="M24">
        <f t="shared" si="1"/>
        <v>-0.16696149594816045</v>
      </c>
      <c r="N24">
        <f t="shared" si="2"/>
        <v>8</v>
      </c>
    </row>
    <row r="25" spans="1:14" x14ac:dyDescent="0.35">
      <c r="A25" t="str">
        <f t="shared" si="0"/>
        <v>18097310110_2027</v>
      </c>
      <c r="B25">
        <v>18097310110</v>
      </c>
      <c r="C25">
        <v>2027</v>
      </c>
      <c r="D25">
        <v>-0.69335957858662489</v>
      </c>
      <c r="E25">
        <v>0.70750577932022229</v>
      </c>
      <c r="F25">
        <v>-0.37361981071815492</v>
      </c>
      <c r="G25">
        <v>-0.39070299794009822</v>
      </c>
      <c r="H25">
        <v>0.60619039000368158</v>
      </c>
      <c r="I25">
        <v>-0.39829083254304132</v>
      </c>
      <c r="J25">
        <v>-0.25710671883945269</v>
      </c>
      <c r="K25">
        <v>0.46762791343336768</v>
      </c>
      <c r="M25">
        <f t="shared" si="1"/>
        <v>-0.33175585587010042</v>
      </c>
      <c r="N25">
        <f t="shared" si="2"/>
        <v>8</v>
      </c>
    </row>
    <row r="26" spans="1:14" x14ac:dyDescent="0.35">
      <c r="A26" t="str">
        <f t="shared" si="0"/>
        <v>18097310110_2028</v>
      </c>
      <c r="B26">
        <v>18097310110</v>
      </c>
      <c r="C26">
        <v>2028</v>
      </c>
      <c r="D26">
        <v>-0.66223464955455813</v>
      </c>
      <c r="E26">
        <v>0.68915513919053439</v>
      </c>
      <c r="F26">
        <v>-0.37944563504237899</v>
      </c>
      <c r="G26">
        <v>-0.42787010023212829</v>
      </c>
      <c r="H26">
        <v>0.56702919644423821</v>
      </c>
      <c r="I26">
        <v>-0.36762640651870848</v>
      </c>
      <c r="J26">
        <v>-0.28906485634387258</v>
      </c>
      <c r="K26">
        <v>0.36428707316559739</v>
      </c>
      <c r="M26">
        <f t="shared" si="1"/>
        <v>-0.50577023889127648</v>
      </c>
      <c r="N26">
        <f t="shared" si="2"/>
        <v>8</v>
      </c>
    </row>
    <row r="27" spans="1:14" x14ac:dyDescent="0.35">
      <c r="A27" t="str">
        <f t="shared" si="0"/>
        <v>18097310111_2024</v>
      </c>
      <c r="B27">
        <v>18097310111</v>
      </c>
      <c r="C27">
        <v>2024</v>
      </c>
      <c r="D27">
        <v>-0.56502228581256497</v>
      </c>
      <c r="E27">
        <v>4.7617208903018217E-2</v>
      </c>
      <c r="F27">
        <v>-0.15072565430412529</v>
      </c>
      <c r="G27">
        <v>-0.53736181335555822</v>
      </c>
      <c r="I27">
        <v>-0.69246782684909836</v>
      </c>
      <c r="J27">
        <v>-0.2124402744950796</v>
      </c>
      <c r="K27">
        <v>0.64590584783050897</v>
      </c>
      <c r="M27">
        <f t="shared" si="1"/>
        <v>-1.4644947980828991</v>
      </c>
      <c r="N27">
        <f t="shared" si="2"/>
        <v>7</v>
      </c>
    </row>
    <row r="28" spans="1:14" x14ac:dyDescent="0.35">
      <c r="A28" t="str">
        <f t="shared" si="0"/>
        <v>18097310111_2025</v>
      </c>
      <c r="B28">
        <v>18097310111</v>
      </c>
      <c r="C28">
        <v>2025</v>
      </c>
      <c r="D28">
        <v>-0.53320271040669731</v>
      </c>
      <c r="E28">
        <v>-2.1607434300148588E-2</v>
      </c>
      <c r="F28">
        <v>-0.1988228860755073</v>
      </c>
      <c r="G28">
        <v>-0.59779354987414979</v>
      </c>
      <c r="I28">
        <v>-0.67842127038241073</v>
      </c>
      <c r="J28">
        <v>-0.218476266325864</v>
      </c>
      <c r="K28">
        <v>0.63616973073771521</v>
      </c>
      <c r="M28">
        <f t="shared" si="1"/>
        <v>-1.6121543866270625</v>
      </c>
      <c r="N28">
        <f t="shared" si="2"/>
        <v>7</v>
      </c>
    </row>
    <row r="29" spans="1:14" x14ac:dyDescent="0.35">
      <c r="A29" t="str">
        <f t="shared" si="0"/>
        <v>18097310111_2026</v>
      </c>
      <c r="B29">
        <v>18097310111</v>
      </c>
      <c r="C29">
        <v>2026</v>
      </c>
      <c r="D29">
        <v>-0.52149957141013636</v>
      </c>
      <c r="E29">
        <v>-8.2325960126929026E-2</v>
      </c>
      <c r="F29">
        <v>-0.24051074357735691</v>
      </c>
      <c r="G29">
        <v>-0.64685687471628084</v>
      </c>
      <c r="I29">
        <v>-0.66562177636627562</v>
      </c>
      <c r="J29">
        <v>-0.2337527441996875</v>
      </c>
      <c r="K29">
        <v>0.55795266705048996</v>
      </c>
      <c r="M29">
        <f t="shared" si="1"/>
        <v>-1.8326150033461766</v>
      </c>
      <c r="N29">
        <f t="shared" si="2"/>
        <v>7</v>
      </c>
    </row>
    <row r="30" spans="1:14" x14ac:dyDescent="0.35">
      <c r="A30" t="str">
        <f t="shared" si="0"/>
        <v>18097310111_2027</v>
      </c>
      <c r="B30">
        <v>18097310111</v>
      </c>
      <c r="C30">
        <v>2027</v>
      </c>
      <c r="D30">
        <v>-0.48454027216714018</v>
      </c>
      <c r="E30">
        <v>-0.14512456911504959</v>
      </c>
      <c r="F30">
        <v>-0.27654478792945891</v>
      </c>
      <c r="G30">
        <v>-0.68873509547025258</v>
      </c>
      <c r="I30">
        <v>-0.65139170913182598</v>
      </c>
      <c r="J30">
        <v>-0.25710671883945269</v>
      </c>
      <c r="K30">
        <v>0.46762791343336768</v>
      </c>
      <c r="M30">
        <f t="shared" si="1"/>
        <v>-2.0358152392198123</v>
      </c>
      <c r="N30">
        <f t="shared" si="2"/>
        <v>7</v>
      </c>
    </row>
    <row r="31" spans="1:14" x14ac:dyDescent="0.35">
      <c r="A31" t="str">
        <f t="shared" si="0"/>
        <v>18097310111_2028</v>
      </c>
      <c r="B31">
        <v>18097310111</v>
      </c>
      <c r="C31">
        <v>2028</v>
      </c>
      <c r="D31">
        <v>-0.4647899677756821</v>
      </c>
      <c r="E31">
        <v>-0.19939662321269261</v>
      </c>
      <c r="F31">
        <v>-0.30506550098298391</v>
      </c>
      <c r="G31">
        <v>-0.71711565364636942</v>
      </c>
      <c r="I31">
        <v>-0.63483933834516915</v>
      </c>
      <c r="J31">
        <v>-0.28906485634387258</v>
      </c>
      <c r="K31">
        <v>0.36428707316559739</v>
      </c>
      <c r="M31">
        <f t="shared" si="1"/>
        <v>-2.2459848671411722</v>
      </c>
      <c r="N31">
        <f t="shared" si="2"/>
        <v>7</v>
      </c>
    </row>
    <row r="32" spans="1:14" x14ac:dyDescent="0.35">
      <c r="A32" t="str">
        <f t="shared" si="0"/>
        <v>18097310112_2024</v>
      </c>
      <c r="B32">
        <v>18097310112</v>
      </c>
      <c r="C32">
        <v>2024</v>
      </c>
      <c r="D32">
        <v>2.3787958843066068</v>
      </c>
      <c r="E32">
        <v>1.6037904304530031</v>
      </c>
      <c r="F32">
        <v>-1.4391438673226971</v>
      </c>
      <c r="G32">
        <v>2.6611718412406931</v>
      </c>
      <c r="I32">
        <v>0.31441189572258682</v>
      </c>
      <c r="J32">
        <v>2.663318246642933</v>
      </c>
      <c r="M32">
        <f t="shared" si="1"/>
        <v>8.1823444310431253</v>
      </c>
      <c r="N32">
        <f t="shared" si="2"/>
        <v>6</v>
      </c>
    </row>
    <row r="33" spans="1:14" x14ac:dyDescent="0.35">
      <c r="A33" t="str">
        <f t="shared" si="0"/>
        <v>18097310112_2025</v>
      </c>
      <c r="B33">
        <v>18097310112</v>
      </c>
      <c r="C33">
        <v>2025</v>
      </c>
      <c r="D33">
        <v>2.970391248394523</v>
      </c>
      <c r="E33">
        <v>1.574613302673614</v>
      </c>
      <c r="F33">
        <v>-1.399248461463056</v>
      </c>
      <c r="G33">
        <v>2.344081391580755</v>
      </c>
      <c r="I33">
        <v>0.29982880359625991</v>
      </c>
      <c r="J33">
        <v>2.6703567024238581</v>
      </c>
      <c r="M33">
        <f t="shared" si="1"/>
        <v>8.4600229872059529</v>
      </c>
      <c r="N33">
        <f t="shared" si="2"/>
        <v>6</v>
      </c>
    </row>
    <row r="34" spans="1:14" x14ac:dyDescent="0.35">
      <c r="A34" t="str">
        <f t="shared" si="0"/>
        <v>18097310112_2026</v>
      </c>
      <c r="B34">
        <v>18097310112</v>
      </c>
      <c r="C34">
        <v>2026</v>
      </c>
      <c r="D34">
        <v>3.1965435015597201</v>
      </c>
      <c r="E34">
        <v>1.562465419853307</v>
      </c>
      <c r="F34">
        <v>-1.3363946391891519</v>
      </c>
      <c r="G34">
        <v>2.2792782840617289</v>
      </c>
      <c r="I34">
        <v>0.27549576014755589</v>
      </c>
      <c r="J34">
        <v>2.6867193563821008</v>
      </c>
      <c r="M34">
        <f t="shared" si="1"/>
        <v>8.6641076828152599</v>
      </c>
      <c r="N34">
        <f t="shared" si="2"/>
        <v>6</v>
      </c>
    </row>
    <row r="35" spans="1:14" x14ac:dyDescent="0.35">
      <c r="A35" t="str">
        <f t="shared" si="0"/>
        <v>18097310112_2027</v>
      </c>
      <c r="B35">
        <v>18097310112</v>
      </c>
      <c r="C35">
        <v>2027</v>
      </c>
      <c r="D35">
        <v>3.6210390402280401</v>
      </c>
      <c r="E35">
        <v>1.531756860502582</v>
      </c>
      <c r="F35">
        <v>-1.2575553759281679</v>
      </c>
      <c r="G35">
        <v>1.9542289812938041</v>
      </c>
      <c r="I35">
        <v>0.25754123579640298</v>
      </c>
      <c r="J35">
        <v>2.710267105719828</v>
      </c>
      <c r="M35">
        <f t="shared" si="1"/>
        <v>8.8172778476124893</v>
      </c>
      <c r="N35">
        <f t="shared" si="2"/>
        <v>6</v>
      </c>
    </row>
    <row r="36" spans="1:14" x14ac:dyDescent="0.35">
      <c r="A36" t="str">
        <f t="shared" si="0"/>
        <v>18097310112_2028</v>
      </c>
      <c r="B36">
        <v>18097310112</v>
      </c>
      <c r="C36">
        <v>2028</v>
      </c>
      <c r="D36">
        <v>3.863042648548745</v>
      </c>
      <c r="E36">
        <v>1.511013753543208</v>
      </c>
      <c r="F36">
        <v>-1.1958295600280719</v>
      </c>
      <c r="G36">
        <v>1.868694114352125</v>
      </c>
      <c r="I36">
        <v>0.23582956698555721</v>
      </c>
      <c r="J36">
        <v>2.740540387416476</v>
      </c>
      <c r="M36">
        <f t="shared" si="1"/>
        <v>9.023290910818039</v>
      </c>
      <c r="N36">
        <f t="shared" si="2"/>
        <v>6</v>
      </c>
    </row>
    <row r="37" spans="1:14" x14ac:dyDescent="0.35">
      <c r="A37" t="str">
        <f t="shared" si="0"/>
        <v>18097310113_2024</v>
      </c>
      <c r="B37">
        <v>18097310113</v>
      </c>
      <c r="C37">
        <v>2024</v>
      </c>
      <c r="D37">
        <v>-0.92986975046677645</v>
      </c>
      <c r="E37">
        <v>1.79822778018215</v>
      </c>
      <c r="I37">
        <v>0.89825797023755838</v>
      </c>
      <c r="J37">
        <v>2.662100117844727</v>
      </c>
      <c r="K37">
        <v>1.694444049098524</v>
      </c>
      <c r="M37">
        <f t="shared" si="1"/>
        <v>6.1231601668961835</v>
      </c>
      <c r="N37">
        <f t="shared" si="2"/>
        <v>5</v>
      </c>
    </row>
    <row r="38" spans="1:14" x14ac:dyDescent="0.35">
      <c r="A38" t="str">
        <f t="shared" si="0"/>
        <v>18097310113_2025</v>
      </c>
      <c r="B38">
        <v>18097310113</v>
      </c>
      <c r="C38">
        <v>2025</v>
      </c>
      <c r="D38">
        <v>-0.78571146757865318</v>
      </c>
      <c r="E38">
        <v>1.855465789882804</v>
      </c>
      <c r="I38">
        <v>0.84038851206598242</v>
      </c>
      <c r="J38">
        <v>2.6691352077489769</v>
      </c>
      <c r="K38">
        <v>1.5380800423348751</v>
      </c>
      <c r="M38">
        <f t="shared" si="1"/>
        <v>6.1173580844539854</v>
      </c>
      <c r="N38">
        <f t="shared" si="2"/>
        <v>5</v>
      </c>
    </row>
    <row r="39" spans="1:14" x14ac:dyDescent="0.35">
      <c r="A39" t="str">
        <f t="shared" si="0"/>
        <v>18097310113_2026</v>
      </c>
      <c r="B39">
        <v>18097310113</v>
      </c>
      <c r="C39">
        <v>2026</v>
      </c>
      <c r="D39">
        <v>-0.69432786786744094</v>
      </c>
      <c r="E39">
        <v>1.8922810182252641</v>
      </c>
      <c r="I39">
        <v>0.90618339111053114</v>
      </c>
      <c r="J39">
        <v>2.685485891211393</v>
      </c>
      <c r="K39">
        <v>1.4714350990382941</v>
      </c>
      <c r="M39">
        <f t="shared" si="1"/>
        <v>6.2610575317180412</v>
      </c>
      <c r="N39">
        <f t="shared" si="2"/>
        <v>5</v>
      </c>
    </row>
    <row r="40" spans="1:14" x14ac:dyDescent="0.35">
      <c r="A40" t="str">
        <f t="shared" si="0"/>
        <v>18097310113_2027</v>
      </c>
      <c r="B40">
        <v>18097310113</v>
      </c>
      <c r="C40">
        <v>2027</v>
      </c>
      <c r="D40">
        <v>-0.554391603443945</v>
      </c>
      <c r="E40">
        <v>1.9308561015612491</v>
      </c>
      <c r="I40">
        <v>0.91732032641851158</v>
      </c>
      <c r="J40">
        <v>2.7090135187694031</v>
      </c>
      <c r="K40">
        <v>1.2612325402232669</v>
      </c>
      <c r="M40">
        <f t="shared" si="1"/>
        <v>6.2640308835284859</v>
      </c>
      <c r="N40">
        <f t="shared" si="2"/>
        <v>5</v>
      </c>
    </row>
    <row r="41" spans="1:14" x14ac:dyDescent="0.35">
      <c r="A41" t="str">
        <f t="shared" si="0"/>
        <v>18097310113_2028</v>
      </c>
      <c r="B41">
        <v>18097310113</v>
      </c>
      <c r="C41">
        <v>2028</v>
      </c>
      <c r="D41">
        <v>-0.43950402201728939</v>
      </c>
      <c r="E41">
        <v>1.9574898426039691</v>
      </c>
      <c r="I41">
        <v>0.94414653757527922</v>
      </c>
      <c r="J41">
        <v>2.7392582767259328</v>
      </c>
      <c r="K41">
        <v>1.1034591771327871</v>
      </c>
      <c r="M41">
        <f t="shared" si="1"/>
        <v>6.3048498120206791</v>
      </c>
      <c r="N41">
        <f t="shared" si="2"/>
        <v>5</v>
      </c>
    </row>
    <row r="42" spans="1:14" x14ac:dyDescent="0.35">
      <c r="A42" t="str">
        <f t="shared" si="0"/>
        <v>18097310201_2024</v>
      </c>
      <c r="B42">
        <v>18097310201</v>
      </c>
      <c r="C42">
        <v>2024</v>
      </c>
      <c r="D42">
        <v>-0.1314014531380753</v>
      </c>
      <c r="E42">
        <v>0.1087511595139274</v>
      </c>
      <c r="F42">
        <v>-0.31385073438469568</v>
      </c>
      <c r="G42">
        <v>2.1754926648305941E-2</v>
      </c>
      <c r="H42">
        <v>0.99721818026167097</v>
      </c>
      <c r="I42">
        <v>-0.91639968516439463</v>
      </c>
      <c r="J42">
        <v>0.24487933076452351</v>
      </c>
      <c r="K42">
        <v>0.8691160931102746</v>
      </c>
      <c r="M42">
        <f t="shared" si="1"/>
        <v>0.88006781761153685</v>
      </c>
      <c r="N42">
        <f t="shared" si="2"/>
        <v>8</v>
      </c>
    </row>
    <row r="43" spans="1:14" x14ac:dyDescent="0.35">
      <c r="A43" t="str">
        <f t="shared" si="0"/>
        <v>18097310201_2025</v>
      </c>
      <c r="B43">
        <v>18097310201</v>
      </c>
      <c r="C43">
        <v>2025</v>
      </c>
      <c r="D43">
        <v>4.3136115441814359E-2</v>
      </c>
      <c r="E43">
        <v>5.2319292932039248E-2</v>
      </c>
      <c r="F43">
        <v>-0.34931952022232299</v>
      </c>
      <c r="G43">
        <v>-4.1017378283148949E-2</v>
      </c>
      <c r="H43">
        <v>1.0526140264516819</v>
      </c>
      <c r="I43">
        <v>-0.90723575883221896</v>
      </c>
      <c r="J43">
        <v>0.24831873858843059</v>
      </c>
      <c r="K43">
        <v>0.83132644818884094</v>
      </c>
      <c r="M43">
        <f t="shared" si="1"/>
        <v>0.93014196426511608</v>
      </c>
      <c r="N43">
        <f t="shared" si="2"/>
        <v>8</v>
      </c>
    </row>
    <row r="44" spans="1:14" x14ac:dyDescent="0.35">
      <c r="A44" t="str">
        <f t="shared" si="0"/>
        <v>18097310201_2026</v>
      </c>
      <c r="B44">
        <v>18097310201</v>
      </c>
      <c r="C44">
        <v>2026</v>
      </c>
      <c r="D44">
        <v>0.12007530100003561</v>
      </c>
      <c r="E44">
        <v>-3.1474532675654497E-2</v>
      </c>
      <c r="F44">
        <v>-0.38294184297082778</v>
      </c>
      <c r="G44">
        <v>-0.1148024769866792</v>
      </c>
      <c r="H44">
        <v>1.0620771457216811</v>
      </c>
      <c r="I44">
        <v>-0.89241720458881357</v>
      </c>
      <c r="J44">
        <v>0.24457453663471609</v>
      </c>
      <c r="K44">
        <v>0.74223955925247498</v>
      </c>
      <c r="M44">
        <f t="shared" si="1"/>
        <v>0.7473304853869327</v>
      </c>
      <c r="N44">
        <f t="shared" si="2"/>
        <v>8</v>
      </c>
    </row>
    <row r="45" spans="1:14" x14ac:dyDescent="0.35">
      <c r="A45" t="str">
        <f t="shared" si="0"/>
        <v>18097310201_2027</v>
      </c>
      <c r="B45">
        <v>18097310201</v>
      </c>
      <c r="C45">
        <v>2027</v>
      </c>
      <c r="D45">
        <v>0.26457420099346851</v>
      </c>
      <c r="E45">
        <v>-8.6920410290944425E-2</v>
      </c>
      <c r="F45">
        <v>-0.40939581925022678</v>
      </c>
      <c r="G45">
        <v>-0.1742294642916887</v>
      </c>
      <c r="H45">
        <v>1.0383101094086971</v>
      </c>
      <c r="I45">
        <v>-0.87677694342448453</v>
      </c>
      <c r="J45">
        <v>0.2350298575348628</v>
      </c>
      <c r="K45">
        <v>0.64176323558952542</v>
      </c>
      <c r="M45">
        <f t="shared" si="1"/>
        <v>0.63235476626920939</v>
      </c>
      <c r="N45">
        <f t="shared" si="2"/>
        <v>8</v>
      </c>
    </row>
    <row r="46" spans="1:14" x14ac:dyDescent="0.35">
      <c r="A46" t="str">
        <f t="shared" si="0"/>
        <v>18097310201_2028</v>
      </c>
      <c r="B46">
        <v>18097310201</v>
      </c>
      <c r="C46">
        <v>2028</v>
      </c>
      <c r="D46">
        <v>0.35137080031056062</v>
      </c>
      <c r="E46">
        <v>-0.15743332865036741</v>
      </c>
      <c r="F46">
        <v>-0.43067191180526382</v>
      </c>
      <c r="G46">
        <v>-0.23299370410576339</v>
      </c>
      <c r="H46">
        <v>0.9981387176382378</v>
      </c>
      <c r="I46">
        <v>-0.85702651041670752</v>
      </c>
      <c r="J46">
        <v>0.21952784584706381</v>
      </c>
      <c r="K46">
        <v>0.53049544757495193</v>
      </c>
      <c r="M46">
        <f t="shared" si="1"/>
        <v>0.42140735639271204</v>
      </c>
      <c r="N46">
        <f t="shared" si="2"/>
        <v>8</v>
      </c>
    </row>
    <row r="47" spans="1:14" x14ac:dyDescent="0.35">
      <c r="A47" t="str">
        <f t="shared" si="0"/>
        <v>18097310203_2024</v>
      </c>
      <c r="B47">
        <v>18097310203</v>
      </c>
      <c r="C47">
        <v>2024</v>
      </c>
      <c r="D47">
        <v>1.0214816436387719</v>
      </c>
      <c r="E47">
        <v>-8.1214917164503256E-2</v>
      </c>
      <c r="F47">
        <v>0.50725665103597128</v>
      </c>
      <c r="G47">
        <v>-0.26100682317861601</v>
      </c>
      <c r="H47">
        <v>0.82780946590306015</v>
      </c>
      <c r="I47">
        <v>-0.9986515395386848</v>
      </c>
      <c r="J47">
        <v>0.99272617724453738</v>
      </c>
      <c r="K47">
        <v>0.8691160931102746</v>
      </c>
      <c r="M47">
        <f t="shared" si="1"/>
        <v>2.8775167510508108</v>
      </c>
      <c r="N47">
        <f t="shared" si="2"/>
        <v>8</v>
      </c>
    </row>
    <row r="48" spans="1:14" x14ac:dyDescent="0.35">
      <c r="A48" t="str">
        <f t="shared" si="0"/>
        <v>18097310203_2025</v>
      </c>
      <c r="B48">
        <v>18097310203</v>
      </c>
      <c r="C48">
        <v>2025</v>
      </c>
      <c r="D48">
        <v>1.3380230043746619</v>
      </c>
      <c r="E48">
        <v>-0.14372785281070721</v>
      </c>
      <c r="F48">
        <v>0.45787625285045369</v>
      </c>
      <c r="G48">
        <v>-0.23971811008939919</v>
      </c>
      <c r="H48">
        <v>0.73400506034383006</v>
      </c>
      <c r="I48">
        <v>-1.0161778798453509</v>
      </c>
      <c r="J48">
        <v>0.99212896879533363</v>
      </c>
      <c r="K48">
        <v>0.83132644818884094</v>
      </c>
      <c r="M48">
        <f t="shared" si="1"/>
        <v>2.9537358918076628</v>
      </c>
      <c r="N48">
        <f t="shared" si="2"/>
        <v>8</v>
      </c>
    </row>
    <row r="49" spans="1:14" x14ac:dyDescent="0.35">
      <c r="A49" t="str">
        <f t="shared" si="0"/>
        <v>18097310203_2026</v>
      </c>
      <c r="B49">
        <v>18097310203</v>
      </c>
      <c r="C49">
        <v>2026</v>
      </c>
      <c r="D49">
        <v>1.442205275193656</v>
      </c>
      <c r="E49">
        <v>-0.19723617450155109</v>
      </c>
      <c r="F49">
        <v>0.39976343695283778</v>
      </c>
      <c r="G49">
        <v>-0.22667061538099009</v>
      </c>
      <c r="H49">
        <v>0.65196829681330593</v>
      </c>
      <c r="I49">
        <v>-1.030175570499968</v>
      </c>
      <c r="J49">
        <v>0.98892865656258555</v>
      </c>
      <c r="K49">
        <v>0.74223955925247498</v>
      </c>
      <c r="M49">
        <f t="shared" si="1"/>
        <v>2.7710228643923513</v>
      </c>
      <c r="N49">
        <f t="shared" si="2"/>
        <v>8</v>
      </c>
    </row>
    <row r="50" spans="1:14" x14ac:dyDescent="0.35">
      <c r="A50" t="str">
        <f t="shared" si="0"/>
        <v>18097310203_2027</v>
      </c>
      <c r="B50">
        <v>18097310203</v>
      </c>
      <c r="C50">
        <v>2027</v>
      </c>
      <c r="D50">
        <v>1.6655084548282131</v>
      </c>
      <c r="E50">
        <v>-0.25187688200256603</v>
      </c>
      <c r="F50">
        <v>0.3350897121202831</v>
      </c>
      <c r="G50">
        <v>-0.20951837549603761</v>
      </c>
      <c r="H50">
        <v>0.56508284188163982</v>
      </c>
      <c r="I50">
        <v>-1.0415131642025499</v>
      </c>
      <c r="J50">
        <v>0.98239382177554024</v>
      </c>
      <c r="K50">
        <v>0.64176323558952542</v>
      </c>
      <c r="M50">
        <f t="shared" si="1"/>
        <v>2.6869296444940476</v>
      </c>
      <c r="N50">
        <f t="shared" si="2"/>
        <v>8</v>
      </c>
    </row>
    <row r="51" spans="1:14" x14ac:dyDescent="0.35">
      <c r="A51" t="str">
        <f t="shared" si="0"/>
        <v>18097310203_2028</v>
      </c>
      <c r="B51">
        <v>18097310203</v>
      </c>
      <c r="C51">
        <v>2028</v>
      </c>
      <c r="D51">
        <v>1.775670219850402</v>
      </c>
      <c r="E51">
        <v>-0.29857813676659689</v>
      </c>
      <c r="F51">
        <v>0.28679906472395722</v>
      </c>
      <c r="G51">
        <v>-0.1989196571996861</v>
      </c>
      <c r="H51">
        <v>0.49272361880526577</v>
      </c>
      <c r="I51">
        <v>-1.046870237119083</v>
      </c>
      <c r="J51">
        <v>0.97180263268991363</v>
      </c>
      <c r="K51">
        <v>0.53049544757495193</v>
      </c>
      <c r="M51">
        <f t="shared" si="1"/>
        <v>2.5131229525591241</v>
      </c>
      <c r="N51">
        <f t="shared" si="2"/>
        <v>8</v>
      </c>
    </row>
    <row r="52" spans="1:14" x14ac:dyDescent="0.35">
      <c r="A52" t="str">
        <f t="shared" si="0"/>
        <v>18097310204_2024</v>
      </c>
      <c r="B52">
        <v>18097310204</v>
      </c>
      <c r="C52">
        <v>2024</v>
      </c>
      <c r="D52">
        <v>-0.1005707902862025</v>
      </c>
      <c r="E52">
        <v>-4.8040062174214701E-3</v>
      </c>
      <c r="F52">
        <v>-6.4563182847026399E-3</v>
      </c>
      <c r="G52">
        <v>0.76592633184706505</v>
      </c>
      <c r="H52">
        <v>1.0654603202302051</v>
      </c>
      <c r="I52">
        <v>-1.6822538419711479</v>
      </c>
      <c r="J52">
        <v>0.26318981978899758</v>
      </c>
      <c r="K52">
        <v>0.84173526394877407</v>
      </c>
      <c r="M52">
        <f t="shared" si="1"/>
        <v>1.1422267790555671</v>
      </c>
      <c r="N52">
        <f t="shared" si="2"/>
        <v>8</v>
      </c>
    </row>
    <row r="53" spans="1:14" x14ac:dyDescent="0.35">
      <c r="A53" t="str">
        <f t="shared" si="0"/>
        <v>18097310204_2025</v>
      </c>
      <c r="B53">
        <v>18097310204</v>
      </c>
      <c r="C53">
        <v>2025</v>
      </c>
      <c r="D53">
        <v>7.6123371886242658E-2</v>
      </c>
      <c r="E53">
        <v>-1.884635889108726E-2</v>
      </c>
      <c r="F53">
        <v>-7.8655089420636648E-2</v>
      </c>
      <c r="G53">
        <v>0.77024175608212808</v>
      </c>
      <c r="H53">
        <v>1.007569710120674</v>
      </c>
      <c r="I53">
        <v>-1.6558926554646589</v>
      </c>
      <c r="J53">
        <v>0.26525806976082372</v>
      </c>
      <c r="K53">
        <v>0.82607761935383928</v>
      </c>
      <c r="M53">
        <f t="shared" si="1"/>
        <v>1.1918764234273249</v>
      </c>
      <c r="N53">
        <f t="shared" si="2"/>
        <v>8</v>
      </c>
    </row>
    <row r="54" spans="1:14" x14ac:dyDescent="0.35">
      <c r="A54" t="str">
        <f t="shared" si="0"/>
        <v>18097310204_2026</v>
      </c>
      <c r="B54">
        <v>18097310204</v>
      </c>
      <c r="C54">
        <v>2026</v>
      </c>
      <c r="D54">
        <v>0.1520475991885312</v>
      </c>
      <c r="E54">
        <v>1.6393195285774201E-3</v>
      </c>
      <c r="F54">
        <v>-9.3817460093464561E-2</v>
      </c>
      <c r="G54">
        <v>0.72685771692080126</v>
      </c>
      <c r="H54">
        <v>0.88135611576767381</v>
      </c>
      <c r="I54">
        <v>-1.613395912994424</v>
      </c>
      <c r="J54">
        <v>0.26015642621395602</v>
      </c>
      <c r="K54">
        <v>0.74491032757322451</v>
      </c>
      <c r="M54">
        <f t="shared" si="1"/>
        <v>1.0597541321048756</v>
      </c>
      <c r="N54">
        <f t="shared" si="2"/>
        <v>8</v>
      </c>
    </row>
    <row r="55" spans="1:14" x14ac:dyDescent="0.35">
      <c r="A55" t="str">
        <f t="shared" si="0"/>
        <v>18097310204_2027</v>
      </c>
      <c r="B55">
        <v>18097310204</v>
      </c>
      <c r="C55">
        <v>2027</v>
      </c>
      <c r="D55">
        <v>0.29673833967077762</v>
      </c>
      <c r="E55">
        <v>-4.7352100412738803E-3</v>
      </c>
      <c r="F55">
        <v>-0.13515899595430669</v>
      </c>
      <c r="G55">
        <v>0.70248274657478227</v>
      </c>
      <c r="H55">
        <v>0.79719343940071941</v>
      </c>
      <c r="I55">
        <v>-1.573874373284835</v>
      </c>
      <c r="J55">
        <v>0.24908640394159801</v>
      </c>
      <c r="K55">
        <v>0.65538873611354975</v>
      </c>
      <c r="M55">
        <f t="shared" si="1"/>
        <v>0.98712108642101148</v>
      </c>
      <c r="N55">
        <f t="shared" si="2"/>
        <v>8</v>
      </c>
    </row>
    <row r="56" spans="1:14" x14ac:dyDescent="0.35">
      <c r="A56" t="str">
        <f t="shared" si="0"/>
        <v>18097310204_2028</v>
      </c>
      <c r="B56">
        <v>18097310204</v>
      </c>
      <c r="C56">
        <v>2028</v>
      </c>
      <c r="D56">
        <v>0.38235598899953521</v>
      </c>
      <c r="E56">
        <v>9.9130805728866699E-3</v>
      </c>
      <c r="F56">
        <v>-0.1574545897130846</v>
      </c>
      <c r="G56">
        <v>0.65096297513473145</v>
      </c>
      <c r="H56">
        <v>0.70057797309563341</v>
      </c>
      <c r="I56">
        <v>-1.525483916240471</v>
      </c>
      <c r="J56">
        <v>0.23179799851159971</v>
      </c>
      <c r="K56">
        <v>0.5504906168040351</v>
      </c>
      <c r="M56">
        <f t="shared" si="1"/>
        <v>0.84316012716486588</v>
      </c>
      <c r="N56">
        <f t="shared" si="2"/>
        <v>8</v>
      </c>
    </row>
    <row r="57" spans="1:14" x14ac:dyDescent="0.35">
      <c r="A57" t="str">
        <f t="shared" si="0"/>
        <v>18097310305_2024</v>
      </c>
      <c r="B57">
        <v>18097310305</v>
      </c>
      <c r="C57">
        <v>2024</v>
      </c>
      <c r="D57">
        <v>7.1099500332466065E-2</v>
      </c>
      <c r="E57">
        <v>-0.57044421173416471</v>
      </c>
      <c r="F57">
        <v>0.34425731810078242</v>
      </c>
      <c r="G57">
        <v>-0.74864235249040478</v>
      </c>
      <c r="H57">
        <v>0.86644677734862641</v>
      </c>
      <c r="I57">
        <v>-1.92172341983378</v>
      </c>
      <c r="J57">
        <v>-0.2124402744950796</v>
      </c>
      <c r="K57">
        <v>0.64590584783050897</v>
      </c>
      <c r="M57">
        <f t="shared" si="1"/>
        <v>-1.5255408149410452</v>
      </c>
      <c r="N57">
        <f t="shared" si="2"/>
        <v>8</v>
      </c>
    </row>
    <row r="58" spans="1:14" x14ac:dyDescent="0.35">
      <c r="A58" t="str">
        <f t="shared" si="0"/>
        <v>18097310305_2025</v>
      </c>
      <c r="B58">
        <v>18097310305</v>
      </c>
      <c r="C58">
        <v>2025</v>
      </c>
      <c r="D58">
        <v>0.10445896986722571</v>
      </c>
      <c r="E58">
        <v>-0.62768754116329017</v>
      </c>
      <c r="F58">
        <v>0.31064095152617471</v>
      </c>
      <c r="G58">
        <v>-0.75261665586772097</v>
      </c>
      <c r="H58">
        <v>0.89311730453016047</v>
      </c>
      <c r="I58">
        <v>-1.920847459329188</v>
      </c>
      <c r="J58">
        <v>-0.218476266325864</v>
      </c>
      <c r="K58">
        <v>0.63616973073771521</v>
      </c>
      <c r="M58">
        <f t="shared" si="1"/>
        <v>-1.575240966024787</v>
      </c>
      <c r="N58">
        <f t="shared" si="2"/>
        <v>8</v>
      </c>
    </row>
    <row r="59" spans="1:14" x14ac:dyDescent="0.35">
      <c r="A59" t="str">
        <f t="shared" si="0"/>
        <v>18097310305_2026</v>
      </c>
      <c r="B59">
        <v>18097310305</v>
      </c>
      <c r="C59">
        <v>2026</v>
      </c>
      <c r="D59">
        <v>9.266119879478496E-2</v>
      </c>
      <c r="E59">
        <v>-0.6252621428780768</v>
      </c>
      <c r="F59">
        <v>0.2581750000836574</v>
      </c>
      <c r="G59">
        <v>-0.77484073650511731</v>
      </c>
      <c r="H59">
        <v>0.90925273465684642</v>
      </c>
      <c r="I59">
        <v>-1.8988799046287179</v>
      </c>
      <c r="J59">
        <v>-0.2337527441996875</v>
      </c>
      <c r="K59">
        <v>0.55795266705048996</v>
      </c>
      <c r="M59">
        <f t="shared" si="1"/>
        <v>-1.7146939276258208</v>
      </c>
      <c r="N59">
        <f t="shared" si="2"/>
        <v>8</v>
      </c>
    </row>
    <row r="60" spans="1:14" x14ac:dyDescent="0.35">
      <c r="A60" t="str">
        <f t="shared" si="0"/>
        <v>18097310305_2027</v>
      </c>
      <c r="B60">
        <v>18097310305</v>
      </c>
      <c r="C60">
        <v>2027</v>
      </c>
      <c r="D60">
        <v>0.1141145360497318</v>
      </c>
      <c r="E60">
        <v>-0.65500897393650048</v>
      </c>
      <c r="F60">
        <v>0.19843359994323859</v>
      </c>
      <c r="G60">
        <v>-0.78215643126433632</v>
      </c>
      <c r="H60">
        <v>0.90940552207691916</v>
      </c>
      <c r="I60">
        <v>-1.8793030977739009</v>
      </c>
      <c r="J60">
        <v>-0.25710671883945269</v>
      </c>
      <c r="K60">
        <v>0.46762791343336768</v>
      </c>
      <c r="M60">
        <f t="shared" si="1"/>
        <v>-1.8839936503109331</v>
      </c>
      <c r="N60">
        <f t="shared" si="2"/>
        <v>8</v>
      </c>
    </row>
    <row r="61" spans="1:14" x14ac:dyDescent="0.35">
      <c r="A61" t="str">
        <f t="shared" si="0"/>
        <v>18097310305_2028</v>
      </c>
      <c r="B61">
        <v>18097310305</v>
      </c>
      <c r="C61">
        <v>2028</v>
      </c>
      <c r="D61">
        <v>0.1012554347606197</v>
      </c>
      <c r="E61">
        <v>-0.65977661361710893</v>
      </c>
      <c r="F61">
        <v>0.15237403488750451</v>
      </c>
      <c r="G61">
        <v>-0.78391933283885451</v>
      </c>
      <c r="H61">
        <v>0.90540016660656197</v>
      </c>
      <c r="I61">
        <v>-1.84753571460445</v>
      </c>
      <c r="J61">
        <v>-0.28906485634387258</v>
      </c>
      <c r="K61">
        <v>0.36428707316559739</v>
      </c>
      <c r="M61">
        <f t="shared" si="1"/>
        <v>-2.0569798079840025</v>
      </c>
      <c r="N61">
        <f t="shared" si="2"/>
        <v>8</v>
      </c>
    </row>
    <row r="62" spans="1:14" x14ac:dyDescent="0.35">
      <c r="A62" t="str">
        <f t="shared" si="0"/>
        <v>18097310306_2024</v>
      </c>
      <c r="B62">
        <v>18097310306</v>
      </c>
      <c r="C62">
        <v>2024</v>
      </c>
      <c r="D62">
        <v>-0.19918939085090059</v>
      </c>
      <c r="E62">
        <v>-0.65472519415514907</v>
      </c>
      <c r="F62">
        <v>8.8529023692845751E-2</v>
      </c>
      <c r="G62">
        <v>-0.3130090533845849</v>
      </c>
      <c r="H62">
        <v>1.0733528154780489</v>
      </c>
      <c r="I62">
        <v>-2.0363491649949621</v>
      </c>
      <c r="J62">
        <v>-0.2124402744950796</v>
      </c>
      <c r="K62">
        <v>0.64590584783050897</v>
      </c>
      <c r="M62">
        <f t="shared" si="1"/>
        <v>-1.6079253908792723</v>
      </c>
      <c r="N62">
        <f t="shared" si="2"/>
        <v>8</v>
      </c>
    </row>
    <row r="63" spans="1:14" x14ac:dyDescent="0.35">
      <c r="A63" t="str">
        <f t="shared" si="0"/>
        <v>18097310306_2025</v>
      </c>
      <c r="B63">
        <v>18097310306</v>
      </c>
      <c r="C63">
        <v>2025</v>
      </c>
      <c r="D63">
        <v>-0.1664842373641385</v>
      </c>
      <c r="E63">
        <v>-0.62008314434308232</v>
      </c>
      <c r="F63">
        <v>4.972186773659372E-2</v>
      </c>
      <c r="G63">
        <v>-0.27599241934965829</v>
      </c>
      <c r="H63">
        <v>1.118738484093349</v>
      </c>
      <c r="I63">
        <v>-2.0027887654884582</v>
      </c>
      <c r="J63">
        <v>-0.218476266325864</v>
      </c>
      <c r="K63">
        <v>0.63616973073771521</v>
      </c>
      <c r="M63">
        <f t="shared" si="1"/>
        <v>-1.4791947503035436</v>
      </c>
      <c r="N63">
        <f t="shared" si="2"/>
        <v>8</v>
      </c>
    </row>
    <row r="64" spans="1:14" x14ac:dyDescent="0.35">
      <c r="A64" t="str">
        <f t="shared" si="0"/>
        <v>18097310306_2026</v>
      </c>
      <c r="B64">
        <v>18097310306</v>
      </c>
      <c r="C64">
        <v>2026</v>
      </c>
      <c r="D64">
        <v>-0.1682964389851806</v>
      </c>
      <c r="E64">
        <v>-0.58366933908626473</v>
      </c>
      <c r="F64">
        <v>-1.1646037280193301E-2</v>
      </c>
      <c r="G64">
        <v>-0.23875714392030159</v>
      </c>
      <c r="H64">
        <v>1.146892617880612</v>
      </c>
      <c r="I64">
        <v>-1.9548809612129421</v>
      </c>
      <c r="J64">
        <v>-0.2337527441996875</v>
      </c>
      <c r="K64">
        <v>0.55795266705048996</v>
      </c>
      <c r="M64">
        <f t="shared" si="1"/>
        <v>-1.486157379753468</v>
      </c>
      <c r="N64">
        <f t="shared" si="2"/>
        <v>8</v>
      </c>
    </row>
    <row r="65" spans="1:14" x14ac:dyDescent="0.35">
      <c r="A65" t="str">
        <f t="shared" si="0"/>
        <v>18097310306_2027</v>
      </c>
      <c r="B65">
        <v>18097310306</v>
      </c>
      <c r="C65">
        <v>2027</v>
      </c>
      <c r="D65">
        <v>-0.14025460613171961</v>
      </c>
      <c r="E65">
        <v>-0.54944744492730557</v>
      </c>
      <c r="F65">
        <v>-7.8649118760716299E-2</v>
      </c>
      <c r="G65">
        <v>-0.20005969759222811</v>
      </c>
      <c r="H65">
        <v>1.161203391326423</v>
      </c>
      <c r="I65">
        <v>-1.9097669942600259</v>
      </c>
      <c r="J65">
        <v>-0.25710671883945269</v>
      </c>
      <c r="K65">
        <v>0.46762791343336768</v>
      </c>
      <c r="M65">
        <f t="shared" si="1"/>
        <v>-1.5064532757516576</v>
      </c>
      <c r="N65">
        <f t="shared" si="2"/>
        <v>8</v>
      </c>
    </row>
    <row r="66" spans="1:14" x14ac:dyDescent="0.35">
      <c r="A66" t="str">
        <f t="shared" si="0"/>
        <v>18097310306_2028</v>
      </c>
      <c r="B66">
        <v>18097310306</v>
      </c>
      <c r="C66">
        <v>2028</v>
      </c>
      <c r="D66">
        <v>-0.13925793203347051</v>
      </c>
      <c r="E66">
        <v>-0.51271293077564395</v>
      </c>
      <c r="F66">
        <v>-0.13544964143138649</v>
      </c>
      <c r="G66">
        <v>-0.16925768433754071</v>
      </c>
      <c r="H66">
        <v>1.1513900059464439</v>
      </c>
      <c r="I66">
        <v>-1.8537243285045739</v>
      </c>
      <c r="J66">
        <v>-0.28906485634387258</v>
      </c>
      <c r="K66">
        <v>0.36428707316559739</v>
      </c>
      <c r="M66">
        <f t="shared" si="1"/>
        <v>-1.5837902943144468</v>
      </c>
      <c r="N66">
        <f t="shared" si="2"/>
        <v>8</v>
      </c>
    </row>
    <row r="67" spans="1:14" x14ac:dyDescent="0.35">
      <c r="A67" t="str">
        <f t="shared" ref="A67:A130" si="3">TEXT(B67,0)&amp;"_"&amp;TEXT(C67,0)</f>
        <v>18097310308_2024</v>
      </c>
      <c r="B67">
        <v>18097310308</v>
      </c>
      <c r="C67">
        <v>2024</v>
      </c>
      <c r="D67">
        <v>-0.65052303285460444</v>
      </c>
      <c r="E67">
        <v>0.24935153679113289</v>
      </c>
      <c r="F67">
        <v>-1.1343218873511669</v>
      </c>
      <c r="G67">
        <v>6.2980501173552139E-2</v>
      </c>
      <c r="H67">
        <v>-0.73382151965246711</v>
      </c>
      <c r="I67">
        <v>-1.2158907398168599</v>
      </c>
      <c r="J67">
        <v>0.3239056492639768</v>
      </c>
      <c r="K67">
        <v>-2.2205420605728978</v>
      </c>
      <c r="M67">
        <f t="shared" ref="M67:M130" si="4">SUM(D67:K67)</f>
        <v>-5.3188615530193344</v>
      </c>
      <c r="N67">
        <f t="shared" ref="N67:N130" si="5">IF(D67=0,0,1)+IF(E67=0,0,1)+IF(F67=0,0,1)+IF(G67=0,0,1)+IF(H67=0,0,1)+IF(I67=0,0,1)++IF(J67=0,0,1)++IF(K67=0,0,1)</f>
        <v>8</v>
      </c>
    </row>
    <row r="68" spans="1:14" x14ac:dyDescent="0.35">
      <c r="A68" t="str">
        <f t="shared" si="3"/>
        <v>18097310308_2025</v>
      </c>
      <c r="B68">
        <v>18097310308</v>
      </c>
      <c r="C68">
        <v>2025</v>
      </c>
      <c r="D68">
        <v>-0.60707200294366703</v>
      </c>
      <c r="E68">
        <v>0.2180548595907458</v>
      </c>
      <c r="F68">
        <v>-1.111554925523663</v>
      </c>
      <c r="G68">
        <v>-5.9893136968357193E-2</v>
      </c>
      <c r="H68">
        <v>-0.93042904774742718</v>
      </c>
      <c r="I68">
        <v>-1.1499674064164609</v>
      </c>
      <c r="J68">
        <v>0.33115603488497608</v>
      </c>
      <c r="K68">
        <v>-2.1548130978467048</v>
      </c>
      <c r="M68">
        <f t="shared" si="4"/>
        <v>-5.4645187229705581</v>
      </c>
      <c r="N68">
        <f t="shared" si="5"/>
        <v>8</v>
      </c>
    </row>
    <row r="69" spans="1:14" x14ac:dyDescent="0.35">
      <c r="A69" t="str">
        <f t="shared" si="3"/>
        <v>18097310308_2026</v>
      </c>
      <c r="B69">
        <v>18097310308</v>
      </c>
      <c r="C69">
        <v>2026</v>
      </c>
      <c r="D69">
        <v>-0.5956018254377512</v>
      </c>
      <c r="E69">
        <v>0.1952272742685833</v>
      </c>
      <c r="F69">
        <v>-1.1259006091592441</v>
      </c>
      <c r="G69">
        <v>-5.9832576285666399E-2</v>
      </c>
      <c r="H69">
        <v>-1.050398904072942</v>
      </c>
      <c r="I69">
        <v>-1.0764799187323839</v>
      </c>
      <c r="J69">
        <v>0.33113915420062862</v>
      </c>
      <c r="K69">
        <v>-2.0041177570990039</v>
      </c>
      <c r="M69">
        <f t="shared" si="4"/>
        <v>-5.3859651623177793</v>
      </c>
      <c r="N69">
        <f t="shared" si="5"/>
        <v>8</v>
      </c>
    </row>
    <row r="70" spans="1:14" x14ac:dyDescent="0.35">
      <c r="A70" t="str">
        <f t="shared" si="3"/>
        <v>18097310308_2027</v>
      </c>
      <c r="B70">
        <v>18097310308</v>
      </c>
      <c r="C70">
        <v>2027</v>
      </c>
      <c r="D70">
        <v>-0.55215543151447444</v>
      </c>
      <c r="E70">
        <v>0.16661736403633509</v>
      </c>
      <c r="F70">
        <v>-1.079359327727714</v>
      </c>
      <c r="G70">
        <v>-0.13987071240926</v>
      </c>
      <c r="H70">
        <v>-1.18318404437739</v>
      </c>
      <c r="I70">
        <v>-1.0046793946137369</v>
      </c>
      <c r="J70">
        <v>0.32589597519162689</v>
      </c>
      <c r="K70">
        <v>-1.8234705031650149</v>
      </c>
      <c r="M70">
        <f t="shared" si="4"/>
        <v>-5.2902060745796282</v>
      </c>
      <c r="N70">
        <f t="shared" si="5"/>
        <v>8</v>
      </c>
    </row>
    <row r="71" spans="1:14" x14ac:dyDescent="0.35">
      <c r="A71" t="str">
        <f t="shared" si="3"/>
        <v>18097310308_2028</v>
      </c>
      <c r="B71">
        <v>18097310308</v>
      </c>
      <c r="C71">
        <v>2028</v>
      </c>
      <c r="D71">
        <v>-0.52795437162768433</v>
      </c>
      <c r="E71">
        <v>0.14521888010685491</v>
      </c>
      <c r="F71">
        <v>-1.059607732403741</v>
      </c>
      <c r="G71">
        <v>-0.1602944235404021</v>
      </c>
      <c r="H71">
        <v>-1.2573555203130851</v>
      </c>
      <c r="I71">
        <v>-0.92982902459799799</v>
      </c>
      <c r="J71">
        <v>0.31551578651141837</v>
      </c>
      <c r="K71">
        <v>-1.6140693117082641</v>
      </c>
      <c r="M71">
        <f t="shared" si="4"/>
        <v>-5.0883757175729016</v>
      </c>
      <c r="N71">
        <f t="shared" si="5"/>
        <v>8</v>
      </c>
    </row>
    <row r="72" spans="1:14" x14ac:dyDescent="0.35">
      <c r="A72" t="str">
        <f t="shared" si="3"/>
        <v>18097310309_2024</v>
      </c>
      <c r="B72">
        <v>18097310309</v>
      </c>
      <c r="C72">
        <v>2024</v>
      </c>
      <c r="D72">
        <v>-0.58953686149895212</v>
      </c>
      <c r="E72">
        <v>-0.67638220882332278</v>
      </c>
      <c r="F72">
        <v>-0.1901987600493909</v>
      </c>
      <c r="G72">
        <v>-0.76524864818015337</v>
      </c>
      <c r="H72">
        <v>-0.1160385504263219</v>
      </c>
      <c r="I72">
        <v>-1.158424710766895</v>
      </c>
      <c r="J72">
        <v>-0.2124402744938379</v>
      </c>
      <c r="K72">
        <v>0.64590584783050897</v>
      </c>
      <c r="M72">
        <f t="shared" si="4"/>
        <v>-3.0623641664083654</v>
      </c>
      <c r="N72">
        <f t="shared" si="5"/>
        <v>8</v>
      </c>
    </row>
    <row r="73" spans="1:14" x14ac:dyDescent="0.35">
      <c r="A73" t="str">
        <f t="shared" si="3"/>
        <v>18097310309_2025</v>
      </c>
      <c r="B73">
        <v>18097310309</v>
      </c>
      <c r="C73">
        <v>2025</v>
      </c>
      <c r="D73">
        <v>-0.55777662842438747</v>
      </c>
      <c r="E73">
        <v>-0.5867154869608413</v>
      </c>
      <c r="F73">
        <v>-0.29140980582928872</v>
      </c>
      <c r="G73">
        <v>-0.82219236683179109</v>
      </c>
      <c r="H73">
        <v>-0.23429294738929349</v>
      </c>
      <c r="I73">
        <v>-1.04530745844939</v>
      </c>
      <c r="J73">
        <v>-0.21847626632425049</v>
      </c>
      <c r="K73">
        <v>0.63616973073771521</v>
      </c>
      <c r="M73">
        <f t="shared" si="4"/>
        <v>-3.1200012294715274</v>
      </c>
      <c r="N73">
        <f t="shared" si="5"/>
        <v>8</v>
      </c>
    </row>
    <row r="74" spans="1:14" x14ac:dyDescent="0.35">
      <c r="A74" t="str">
        <f t="shared" si="3"/>
        <v>18097310309_2026</v>
      </c>
      <c r="B74">
        <v>18097310309</v>
      </c>
      <c r="C74">
        <v>2026</v>
      </c>
      <c r="D74">
        <v>-0.54516782237588324</v>
      </c>
      <c r="E74">
        <v>-0.63468708742266888</v>
      </c>
      <c r="F74">
        <v>-0.37410236942836478</v>
      </c>
      <c r="G74">
        <v>-0.80591629606262527</v>
      </c>
      <c r="H74">
        <v>-0.31579061770177957</v>
      </c>
      <c r="I74">
        <v>-0.93528677266607441</v>
      </c>
      <c r="J74">
        <v>-0.23375274419790629</v>
      </c>
      <c r="K74">
        <v>0.55795266705048996</v>
      </c>
      <c r="M74">
        <f t="shared" si="4"/>
        <v>-3.2867510428048128</v>
      </c>
      <c r="N74">
        <f t="shared" si="5"/>
        <v>8</v>
      </c>
    </row>
    <row r="75" spans="1:14" x14ac:dyDescent="0.35">
      <c r="A75" t="str">
        <f t="shared" si="3"/>
        <v>18097310309_2027</v>
      </c>
      <c r="B75">
        <v>18097310309</v>
      </c>
      <c r="C75">
        <v>2027</v>
      </c>
      <c r="D75">
        <v>-0.50761096067644729</v>
      </c>
      <c r="E75">
        <v>-0.60418822175753495</v>
      </c>
      <c r="F75">
        <v>-0.43771484642040592</v>
      </c>
      <c r="G75">
        <v>-0.82090548918366979</v>
      </c>
      <c r="H75">
        <v>-0.407303387643138</v>
      </c>
      <c r="I75">
        <v>-0.82641388383298209</v>
      </c>
      <c r="J75">
        <v>-0.25710671883751929</v>
      </c>
      <c r="K75">
        <v>0.46762791343336768</v>
      </c>
      <c r="M75">
        <f t="shared" si="4"/>
        <v>-3.3936155949183289</v>
      </c>
      <c r="N75">
        <f t="shared" si="5"/>
        <v>8</v>
      </c>
    </row>
    <row r="76" spans="1:14" x14ac:dyDescent="0.35">
      <c r="A76" t="str">
        <f t="shared" si="3"/>
        <v>18097310309_2028</v>
      </c>
      <c r="B76">
        <v>18097310309</v>
      </c>
      <c r="C76">
        <v>2028</v>
      </c>
      <c r="D76">
        <v>-0.48660396967711739</v>
      </c>
      <c r="E76">
        <v>-0.6134407624353353</v>
      </c>
      <c r="F76">
        <v>-0.48705698263440411</v>
      </c>
      <c r="G76">
        <v>-0.80825174775397224</v>
      </c>
      <c r="H76">
        <v>-0.46243173527003628</v>
      </c>
      <c r="I76">
        <v>-0.71760057661246279</v>
      </c>
      <c r="J76">
        <v>-0.28906485634177459</v>
      </c>
      <c r="K76">
        <v>0.36428707316559739</v>
      </c>
      <c r="M76">
        <f t="shared" si="4"/>
        <v>-3.5001635575595058</v>
      </c>
      <c r="N76">
        <f t="shared" si="5"/>
        <v>8</v>
      </c>
    </row>
    <row r="77" spans="1:14" x14ac:dyDescent="0.35">
      <c r="A77" t="str">
        <f t="shared" si="3"/>
        <v>18097310310_2024</v>
      </c>
      <c r="B77">
        <v>18097310310</v>
      </c>
      <c r="C77">
        <v>2024</v>
      </c>
      <c r="D77">
        <v>-0.70393821940418833</v>
      </c>
      <c r="E77">
        <v>-0.29375832368742122</v>
      </c>
      <c r="F77">
        <v>-0.37799327193048199</v>
      </c>
      <c r="G77">
        <v>0.27850183340124213</v>
      </c>
      <c r="I77">
        <v>-1.108270186209166</v>
      </c>
      <c r="J77">
        <v>-0.2124402744950796</v>
      </c>
      <c r="K77">
        <v>0.64590584783050897</v>
      </c>
      <c r="M77">
        <f t="shared" si="4"/>
        <v>-1.771992594494586</v>
      </c>
      <c r="N77">
        <f t="shared" si="5"/>
        <v>7</v>
      </c>
    </row>
    <row r="78" spans="1:14" x14ac:dyDescent="0.35">
      <c r="A78" t="str">
        <f t="shared" si="3"/>
        <v>18097310310_2025</v>
      </c>
      <c r="B78">
        <v>18097310310</v>
      </c>
      <c r="C78">
        <v>2025</v>
      </c>
      <c r="D78">
        <v>-0.67245491168032079</v>
      </c>
      <c r="E78">
        <v>-0.36147246949057538</v>
      </c>
      <c r="F78">
        <v>-0.36430817451013658</v>
      </c>
      <c r="G78">
        <v>0.23907062856056449</v>
      </c>
      <c r="I78">
        <v>-1.1129785500702101</v>
      </c>
      <c r="J78">
        <v>-0.218476266325864</v>
      </c>
      <c r="K78">
        <v>0.63616973073771521</v>
      </c>
      <c r="M78">
        <f t="shared" si="4"/>
        <v>-1.8544500127788275</v>
      </c>
      <c r="N78">
        <f t="shared" si="5"/>
        <v>7</v>
      </c>
    </row>
    <row r="79" spans="1:14" x14ac:dyDescent="0.35">
      <c r="A79" t="str">
        <f t="shared" si="3"/>
        <v>18097310310_2026</v>
      </c>
      <c r="B79">
        <v>18097310310</v>
      </c>
      <c r="C79">
        <v>2026</v>
      </c>
      <c r="D79">
        <v>-0.65561966174509068</v>
      </c>
      <c r="E79">
        <v>-0.42167563085928539</v>
      </c>
      <c r="F79">
        <v>-0.31402478652641469</v>
      </c>
      <c r="G79">
        <v>0.18132052496449369</v>
      </c>
      <c r="I79">
        <v>-1.0655353282265929</v>
      </c>
      <c r="J79">
        <v>-0.2337527441996875</v>
      </c>
      <c r="K79">
        <v>0.55795266705048996</v>
      </c>
      <c r="M79">
        <f t="shared" si="4"/>
        <v>-1.9513349595420875</v>
      </c>
      <c r="N79">
        <f t="shared" si="5"/>
        <v>7</v>
      </c>
    </row>
    <row r="80" spans="1:14" x14ac:dyDescent="0.35">
      <c r="A80" t="str">
        <f t="shared" si="3"/>
        <v>18097310310_2027</v>
      </c>
      <c r="B80">
        <v>18097310310</v>
      </c>
      <c r="C80">
        <v>2027</v>
      </c>
      <c r="D80">
        <v>-0.61527417283139729</v>
      </c>
      <c r="E80">
        <v>-0.48076806631402019</v>
      </c>
      <c r="F80">
        <v>-0.28997709055728582</v>
      </c>
      <c r="G80">
        <v>0.13741151678086069</v>
      </c>
      <c r="I80">
        <v>-1.035051892907437</v>
      </c>
      <c r="J80">
        <v>-0.25710671883945269</v>
      </c>
      <c r="K80">
        <v>0.46762791343336768</v>
      </c>
      <c r="M80">
        <f t="shared" si="4"/>
        <v>-2.0731385112353644</v>
      </c>
      <c r="N80">
        <f t="shared" si="5"/>
        <v>7</v>
      </c>
    </row>
    <row r="81" spans="1:14" x14ac:dyDescent="0.35">
      <c r="A81" t="str">
        <f t="shared" si="3"/>
        <v>18097310310_2028</v>
      </c>
      <c r="B81">
        <v>18097310310</v>
      </c>
      <c r="C81">
        <v>2028</v>
      </c>
      <c r="D81">
        <v>-0.58840264460088409</v>
      </c>
      <c r="E81">
        <v>-0.53211013988752565</v>
      </c>
      <c r="F81">
        <v>-0.25656343658942921</v>
      </c>
      <c r="G81">
        <v>8.3568042768248293E-2</v>
      </c>
      <c r="I81">
        <v>-0.99390644632131164</v>
      </c>
      <c r="J81">
        <v>-0.28906485634387258</v>
      </c>
      <c r="K81">
        <v>0.36428707316559739</v>
      </c>
      <c r="M81">
        <f t="shared" si="4"/>
        <v>-2.2121924078091775</v>
      </c>
      <c r="N81">
        <f t="shared" si="5"/>
        <v>7</v>
      </c>
    </row>
    <row r="82" spans="1:14" x14ac:dyDescent="0.35">
      <c r="A82" t="str">
        <f t="shared" si="3"/>
        <v>18097310311_2024</v>
      </c>
      <c r="B82">
        <v>18097310311</v>
      </c>
      <c r="C82">
        <v>2024</v>
      </c>
      <c r="D82">
        <v>8.7234194451387456E-2</v>
      </c>
      <c r="E82">
        <v>0.50707028321618264</v>
      </c>
      <c r="F82">
        <v>-1.491815646768784</v>
      </c>
      <c r="G82">
        <v>0.92157995343529919</v>
      </c>
      <c r="I82">
        <v>-1.3158593002457779</v>
      </c>
      <c r="J82">
        <v>0.4382708935035956</v>
      </c>
      <c r="K82">
        <v>-2.8308561042116902</v>
      </c>
      <c r="M82">
        <f t="shared" si="4"/>
        <v>-3.6843757266197872</v>
      </c>
      <c r="N82">
        <f t="shared" si="5"/>
        <v>7</v>
      </c>
    </row>
    <row r="83" spans="1:14" x14ac:dyDescent="0.35">
      <c r="A83" t="str">
        <f t="shared" si="3"/>
        <v>18097310311_2025</v>
      </c>
      <c r="B83">
        <v>18097310311</v>
      </c>
      <c r="C83">
        <v>2025</v>
      </c>
      <c r="D83">
        <v>0.14222168509230301</v>
      </c>
      <c r="E83">
        <v>0.53152441488812663</v>
      </c>
      <c r="F83">
        <v>-1.446560419134546</v>
      </c>
      <c r="G83">
        <v>0.89766079508888874</v>
      </c>
      <c r="I83">
        <v>-1.3076709774614921</v>
      </c>
      <c r="J83">
        <v>0.44856811297323468</v>
      </c>
      <c r="K83">
        <v>-2.7490608656903501</v>
      </c>
      <c r="M83">
        <f t="shared" si="4"/>
        <v>-3.4833172542438353</v>
      </c>
      <c r="N83">
        <f t="shared" si="5"/>
        <v>7</v>
      </c>
    </row>
    <row r="84" spans="1:14" x14ac:dyDescent="0.35">
      <c r="A84" t="str">
        <f t="shared" si="3"/>
        <v>18097310311_2026</v>
      </c>
      <c r="B84">
        <v>18097310311</v>
      </c>
      <c r="C84">
        <v>2026</v>
      </c>
      <c r="D84">
        <v>0.124412111130895</v>
      </c>
      <c r="E84">
        <v>0.56846432233525612</v>
      </c>
      <c r="F84">
        <v>-1.3752160227721979</v>
      </c>
      <c r="G84">
        <v>0.83246544540670642</v>
      </c>
      <c r="I84">
        <v>-1.259410762314102</v>
      </c>
      <c r="J84">
        <v>0.45209710174961798</v>
      </c>
      <c r="K84">
        <v>-2.5496278649008262</v>
      </c>
      <c r="M84">
        <f t="shared" si="4"/>
        <v>-3.2068156693646506</v>
      </c>
      <c r="N84">
        <f t="shared" si="5"/>
        <v>7</v>
      </c>
    </row>
    <row r="85" spans="1:14" x14ac:dyDescent="0.35">
      <c r="A85" t="str">
        <f t="shared" si="3"/>
        <v>18097310311_2027</v>
      </c>
      <c r="B85">
        <v>18097310311</v>
      </c>
      <c r="C85">
        <v>2027</v>
      </c>
      <c r="D85">
        <v>0.1534724287793964</v>
      </c>
      <c r="E85">
        <v>0.59374683026853814</v>
      </c>
      <c r="F85">
        <v>-1.288069815624258</v>
      </c>
      <c r="G85">
        <v>0.7879065747602384</v>
      </c>
      <c r="I85">
        <v>-1.2231464166679771</v>
      </c>
      <c r="J85">
        <v>0.4511048627304145</v>
      </c>
      <c r="K85">
        <v>-2.3112875551757042</v>
      </c>
      <c r="M85">
        <f t="shared" si="4"/>
        <v>-2.8362730909293519</v>
      </c>
      <c r="N85">
        <f t="shared" si="5"/>
        <v>7</v>
      </c>
    </row>
    <row r="86" spans="1:14" x14ac:dyDescent="0.35">
      <c r="A86" t="str">
        <f t="shared" si="3"/>
        <v>18097310311_2028</v>
      </c>
      <c r="B86">
        <v>18097310311</v>
      </c>
      <c r="C86">
        <v>2028</v>
      </c>
      <c r="D86">
        <v>0.14033432806190299</v>
      </c>
      <c r="E86">
        <v>0.62427719696110362</v>
      </c>
      <c r="F86">
        <v>-1.219942600596988</v>
      </c>
      <c r="G86">
        <v>0.71591969307613901</v>
      </c>
      <c r="I86">
        <v>-1.17715209582739</v>
      </c>
      <c r="J86">
        <v>0.44583801927948241</v>
      </c>
      <c r="K86">
        <v>-2.035299346249448</v>
      </c>
      <c r="M86">
        <f t="shared" si="4"/>
        <v>-2.5060248052951981</v>
      </c>
      <c r="N86">
        <f t="shared" si="5"/>
        <v>7</v>
      </c>
    </row>
    <row r="87" spans="1:14" x14ac:dyDescent="0.35">
      <c r="A87" t="str">
        <f t="shared" si="3"/>
        <v>18097310312_2024</v>
      </c>
      <c r="B87">
        <v>18097310312</v>
      </c>
      <c r="C87">
        <v>2024</v>
      </c>
      <c r="D87">
        <v>0.17858646764923961</v>
      </c>
      <c r="E87">
        <v>-0.19302249220612849</v>
      </c>
      <c r="F87">
        <v>0.97686168708454957</v>
      </c>
      <c r="G87">
        <v>-0.50334981181929994</v>
      </c>
      <c r="I87">
        <v>-1.6508879030978749</v>
      </c>
      <c r="J87">
        <v>-0.2124402744950796</v>
      </c>
      <c r="K87">
        <v>0.64590584783050897</v>
      </c>
      <c r="M87">
        <f t="shared" si="4"/>
        <v>-0.7583464790540847</v>
      </c>
      <c r="N87">
        <f t="shared" si="5"/>
        <v>7</v>
      </c>
    </row>
    <row r="88" spans="1:14" x14ac:dyDescent="0.35">
      <c r="A88" t="str">
        <f t="shared" si="3"/>
        <v>18097310312_2025</v>
      </c>
      <c r="B88">
        <v>18097310312</v>
      </c>
      <c r="C88">
        <v>2025</v>
      </c>
      <c r="D88">
        <v>0.21220615410348029</v>
      </c>
      <c r="E88">
        <v>-0.18768739651185021</v>
      </c>
      <c r="F88">
        <v>0.76849075004192013</v>
      </c>
      <c r="G88">
        <v>-0.4875129790042626</v>
      </c>
      <c r="I88">
        <v>-1.6214989577514689</v>
      </c>
      <c r="J88">
        <v>-0.218476266325864</v>
      </c>
      <c r="K88">
        <v>0.63616973073771521</v>
      </c>
      <c r="M88">
        <f t="shared" si="4"/>
        <v>-0.89830896471033017</v>
      </c>
      <c r="N88">
        <f t="shared" si="5"/>
        <v>7</v>
      </c>
    </row>
    <row r="89" spans="1:14" x14ac:dyDescent="0.35">
      <c r="A89" t="str">
        <f t="shared" si="3"/>
        <v>18097310312_2026</v>
      </c>
      <c r="B89">
        <v>18097310312</v>
      </c>
      <c r="C89">
        <v>2026</v>
      </c>
      <c r="D89">
        <v>0.19643737232570069</v>
      </c>
      <c r="E89">
        <v>-0.17636900206495629</v>
      </c>
      <c r="F89">
        <v>0.76794932302339547</v>
      </c>
      <c r="G89">
        <v>-0.53183486993585782</v>
      </c>
      <c r="I89">
        <v>-1.579650056716619</v>
      </c>
      <c r="J89">
        <v>-0.2337527441996875</v>
      </c>
      <c r="K89">
        <v>0.55795266705048996</v>
      </c>
      <c r="M89">
        <f t="shared" si="4"/>
        <v>-0.9992673105175347</v>
      </c>
      <c r="N89">
        <f t="shared" si="5"/>
        <v>7</v>
      </c>
    </row>
    <row r="90" spans="1:14" x14ac:dyDescent="0.35">
      <c r="A90" t="str">
        <f t="shared" si="3"/>
        <v>18097310312_2027</v>
      </c>
      <c r="B90">
        <v>18097310312</v>
      </c>
      <c r="C90">
        <v>2027</v>
      </c>
      <c r="D90">
        <v>0.21527063874511571</v>
      </c>
      <c r="E90">
        <v>-0.16963101601598179</v>
      </c>
      <c r="F90">
        <v>0.6447424456429981</v>
      </c>
      <c r="G90">
        <v>-0.54364251868077029</v>
      </c>
      <c r="I90">
        <v>-1.5400529940784251</v>
      </c>
      <c r="J90">
        <v>-0.25710671883945269</v>
      </c>
      <c r="K90">
        <v>0.46762791343336768</v>
      </c>
      <c r="M90">
        <f t="shared" si="4"/>
        <v>-1.1827922497931485</v>
      </c>
      <c r="N90">
        <f t="shared" si="5"/>
        <v>7</v>
      </c>
    </row>
    <row r="91" spans="1:14" x14ac:dyDescent="0.35">
      <c r="A91" t="str">
        <f t="shared" si="3"/>
        <v>18097310312_2028</v>
      </c>
      <c r="B91">
        <v>18097310312</v>
      </c>
      <c r="C91">
        <v>2028</v>
      </c>
      <c r="D91">
        <v>0.19690144943783919</v>
      </c>
      <c r="E91">
        <v>-0.15815963659875509</v>
      </c>
      <c r="F91">
        <v>0.59517464077340465</v>
      </c>
      <c r="G91">
        <v>-0.56137302696914704</v>
      </c>
      <c r="I91">
        <v>-1.4919684618103981</v>
      </c>
      <c r="J91">
        <v>-0.28906485634387258</v>
      </c>
      <c r="K91">
        <v>0.36428707316559739</v>
      </c>
      <c r="M91">
        <f t="shared" si="4"/>
        <v>-1.3442028183453314</v>
      </c>
      <c r="N91">
        <f t="shared" si="5"/>
        <v>7</v>
      </c>
    </row>
    <row r="92" spans="1:14" x14ac:dyDescent="0.35">
      <c r="A92" t="str">
        <f t="shared" si="3"/>
        <v>18097320105_2024</v>
      </c>
      <c r="B92">
        <v>18097320105</v>
      </c>
      <c r="C92">
        <v>2024</v>
      </c>
      <c r="D92">
        <v>-0.46535493884148449</v>
      </c>
      <c r="E92">
        <v>1.0122030669900881</v>
      </c>
      <c r="F92">
        <v>-0.78507301267116214</v>
      </c>
      <c r="G92">
        <v>0.52552399995794608</v>
      </c>
      <c r="H92">
        <v>1.1640005349353379</v>
      </c>
      <c r="I92">
        <v>-0.34527216530629312</v>
      </c>
      <c r="J92">
        <v>1.0036430697461181</v>
      </c>
      <c r="M92">
        <f t="shared" si="4"/>
        <v>2.1096705548105503</v>
      </c>
      <c r="N92">
        <f t="shared" si="5"/>
        <v>7</v>
      </c>
    </row>
    <row r="93" spans="1:14" x14ac:dyDescent="0.35">
      <c r="A93" t="str">
        <f t="shared" si="3"/>
        <v>18097320105_2025</v>
      </c>
      <c r="B93">
        <v>18097320105</v>
      </c>
      <c r="C93">
        <v>2025</v>
      </c>
      <c r="D93">
        <v>-0.34622889417410091</v>
      </c>
      <c r="E93">
        <v>1.0042436339579519</v>
      </c>
      <c r="F93">
        <v>-0.84563573501834466</v>
      </c>
      <c r="G93">
        <v>0.52233950740538182</v>
      </c>
      <c r="H93">
        <v>1.1903341011248401</v>
      </c>
      <c r="I93">
        <v>-0.32535720070179552</v>
      </c>
      <c r="J93">
        <v>0.96347886897857238</v>
      </c>
      <c r="M93">
        <f t="shared" si="4"/>
        <v>2.163174281572505</v>
      </c>
      <c r="N93">
        <f t="shared" si="5"/>
        <v>7</v>
      </c>
    </row>
    <row r="94" spans="1:14" x14ac:dyDescent="0.35">
      <c r="A94" t="str">
        <f t="shared" si="3"/>
        <v>18097320105_2026</v>
      </c>
      <c r="B94">
        <v>18097320105</v>
      </c>
      <c r="C94">
        <v>2026</v>
      </c>
      <c r="D94">
        <v>-0.31786521101591458</v>
      </c>
      <c r="E94">
        <v>1.0086798994319379</v>
      </c>
      <c r="F94">
        <v>-0.8644083481595215</v>
      </c>
      <c r="G94">
        <v>0.48849454340996262</v>
      </c>
      <c r="H94">
        <v>1.204541236363595</v>
      </c>
      <c r="I94">
        <v>-0.41985056313251812</v>
      </c>
      <c r="J94">
        <v>0.9194068578436152</v>
      </c>
      <c r="M94">
        <f t="shared" si="4"/>
        <v>2.0189984147411564</v>
      </c>
      <c r="N94">
        <f t="shared" si="5"/>
        <v>7</v>
      </c>
    </row>
    <row r="95" spans="1:14" x14ac:dyDescent="0.35">
      <c r="A95" t="str">
        <f t="shared" si="3"/>
        <v>18097320105_2027</v>
      </c>
      <c r="B95">
        <v>18097320105</v>
      </c>
      <c r="C95">
        <v>2027</v>
      </c>
      <c r="D95">
        <v>-0.2317725951799918</v>
      </c>
      <c r="E95">
        <v>0.99868476701166276</v>
      </c>
      <c r="F95">
        <v>-0.8564923087711237</v>
      </c>
      <c r="G95">
        <v>0.46942602097115022</v>
      </c>
      <c r="H95">
        <v>1.207846877585808</v>
      </c>
      <c r="I95">
        <v>-0.45485934318661347</v>
      </c>
      <c r="J95">
        <v>0.86763176787054386</v>
      </c>
      <c r="M95">
        <f t="shared" si="4"/>
        <v>2.0004651863014358</v>
      </c>
      <c r="N95">
        <f t="shared" si="5"/>
        <v>7</v>
      </c>
    </row>
    <row r="96" spans="1:14" x14ac:dyDescent="0.35">
      <c r="A96" t="str">
        <f t="shared" si="3"/>
        <v>18097320105_2028</v>
      </c>
      <c r="B96">
        <v>18097320105</v>
      </c>
      <c r="C96">
        <v>2028</v>
      </c>
      <c r="D96">
        <v>-0.1860627590117763</v>
      </c>
      <c r="E96">
        <v>0.99649362124781615</v>
      </c>
      <c r="F96">
        <v>-0.84699656152809477</v>
      </c>
      <c r="G96">
        <v>0.429024052299318</v>
      </c>
      <c r="H96">
        <v>1.1513900059464439</v>
      </c>
      <c r="I96">
        <v>-0.51239045375543857</v>
      </c>
      <c r="J96">
        <v>0.80511897749400718</v>
      </c>
      <c r="M96">
        <f t="shared" si="4"/>
        <v>1.8365768826922757</v>
      </c>
      <c r="N96">
        <f t="shared" si="5"/>
        <v>7</v>
      </c>
    </row>
    <row r="97" spans="1:14" x14ac:dyDescent="0.35">
      <c r="A97" t="str">
        <f t="shared" si="3"/>
        <v>18097320106_2024</v>
      </c>
      <c r="B97">
        <v>18097320106</v>
      </c>
      <c r="C97">
        <v>2024</v>
      </c>
      <c r="D97">
        <v>-1.1031163042861429</v>
      </c>
      <c r="E97">
        <v>0.20122027629031031</v>
      </c>
      <c r="F97">
        <v>-1.2105621519156E-2</v>
      </c>
      <c r="G97">
        <v>-3.5911703698465497E-2</v>
      </c>
      <c r="H97">
        <v>1.06554713253342</v>
      </c>
      <c r="I97">
        <v>-0.52163192583901064</v>
      </c>
      <c r="J97">
        <v>1.0036430697461181</v>
      </c>
      <c r="M97">
        <f t="shared" si="4"/>
        <v>0.59764492322707341</v>
      </c>
      <c r="N97">
        <f t="shared" si="5"/>
        <v>7</v>
      </c>
    </row>
    <row r="98" spans="1:14" x14ac:dyDescent="0.35">
      <c r="A98" t="str">
        <f t="shared" si="3"/>
        <v>18097320106_2025</v>
      </c>
      <c r="B98">
        <v>18097320106</v>
      </c>
      <c r="C98">
        <v>2025</v>
      </c>
      <c r="D98">
        <v>-1.0276883349340931</v>
      </c>
      <c r="E98">
        <v>9.8919778764662639E-2</v>
      </c>
      <c r="F98">
        <v>-1.239273580805781E-2</v>
      </c>
      <c r="G98">
        <v>-0.2600457683033533</v>
      </c>
      <c r="H98">
        <v>1.0584682577142499</v>
      </c>
      <c r="I98">
        <v>-0.59838969006901199</v>
      </c>
      <c r="J98">
        <v>0.96347886897857238</v>
      </c>
      <c r="M98">
        <f t="shared" si="4"/>
        <v>0.22235037634296873</v>
      </c>
      <c r="N98">
        <f t="shared" si="5"/>
        <v>7</v>
      </c>
    </row>
    <row r="99" spans="1:14" x14ac:dyDescent="0.35">
      <c r="A99" t="str">
        <f t="shared" si="3"/>
        <v>18097320106_2026</v>
      </c>
      <c r="B99">
        <v>18097320106</v>
      </c>
      <c r="C99">
        <v>2026</v>
      </c>
      <c r="D99">
        <v>-0.98561258729987955</v>
      </c>
      <c r="E99">
        <v>4.3550125011758102E-3</v>
      </c>
      <c r="F99">
        <v>-1.540931479060826E-2</v>
      </c>
      <c r="G99">
        <v>-0.39954218664207941</v>
      </c>
      <c r="H99">
        <v>1.0441016517164881</v>
      </c>
      <c r="I99">
        <v>-0.67407458880761062</v>
      </c>
      <c r="J99">
        <v>0.9194068578436152</v>
      </c>
      <c r="M99">
        <f t="shared" si="4"/>
        <v>-0.10677515547889893</v>
      </c>
      <c r="N99">
        <f t="shared" si="5"/>
        <v>7</v>
      </c>
    </row>
    <row r="100" spans="1:14" x14ac:dyDescent="0.35">
      <c r="A100" t="str">
        <f t="shared" si="3"/>
        <v>18097320106_2027</v>
      </c>
      <c r="B100">
        <v>18097320106</v>
      </c>
      <c r="C100">
        <v>2027</v>
      </c>
      <c r="D100">
        <v>-0.90893912871597082</v>
      </c>
      <c r="E100">
        <v>-9.1925094945136315E-2</v>
      </c>
      <c r="F100">
        <v>-2.5322773290921259E-2</v>
      </c>
      <c r="G100">
        <v>-0.42594777034922782</v>
      </c>
      <c r="H100">
        <v>1.0202960209057039</v>
      </c>
      <c r="I100">
        <v>-0.74538742540702929</v>
      </c>
      <c r="J100">
        <v>0.86763176787054386</v>
      </c>
      <c r="M100">
        <f t="shared" si="4"/>
        <v>-0.30959440393203774</v>
      </c>
      <c r="N100">
        <f t="shared" si="5"/>
        <v>7</v>
      </c>
    </row>
    <row r="101" spans="1:14" x14ac:dyDescent="0.35">
      <c r="A101" t="str">
        <f t="shared" si="3"/>
        <v>18097320106_2028</v>
      </c>
      <c r="B101">
        <v>18097320106</v>
      </c>
      <c r="C101">
        <v>2028</v>
      </c>
      <c r="D101">
        <v>-0.84557844220519018</v>
      </c>
      <c r="E101">
        <v>-0.1778441446082217</v>
      </c>
      <c r="F101">
        <v>-3.0274317445748569E-2</v>
      </c>
      <c r="G101">
        <v>-0.41900198474355088</v>
      </c>
      <c r="H101">
        <v>0.99352289679733763</v>
      </c>
      <c r="I101">
        <v>-0.81042130043618621</v>
      </c>
      <c r="J101">
        <v>0.80511897749400718</v>
      </c>
      <c r="M101">
        <f t="shared" si="4"/>
        <v>-0.4844783151475528</v>
      </c>
      <c r="N101">
        <f t="shared" si="5"/>
        <v>7</v>
      </c>
    </row>
    <row r="102" spans="1:14" x14ac:dyDescent="0.35">
      <c r="A102" t="str">
        <f t="shared" si="3"/>
        <v>18097320107_2024</v>
      </c>
      <c r="B102">
        <v>18097320107</v>
      </c>
      <c r="C102">
        <v>2024</v>
      </c>
      <c r="D102">
        <v>-1.505122912372284</v>
      </c>
      <c r="E102">
        <v>1.5971653082895101</v>
      </c>
      <c r="F102">
        <v>-1.3812140813079821</v>
      </c>
      <c r="G102">
        <v>1.68679409292203</v>
      </c>
      <c r="H102">
        <v>1.1009325517287429</v>
      </c>
      <c r="I102">
        <v>1.457400150427421</v>
      </c>
      <c r="J102">
        <v>1.0036430697461181</v>
      </c>
      <c r="M102">
        <f t="shared" si="4"/>
        <v>3.9595981794335562</v>
      </c>
      <c r="N102">
        <f t="shared" si="5"/>
        <v>7</v>
      </c>
    </row>
    <row r="103" spans="1:14" x14ac:dyDescent="0.35">
      <c r="A103" t="str">
        <f t="shared" si="3"/>
        <v>18097320107_2025</v>
      </c>
      <c r="B103">
        <v>18097320107</v>
      </c>
      <c r="C103">
        <v>2025</v>
      </c>
      <c r="D103">
        <v>-1.4572395446604429</v>
      </c>
      <c r="E103">
        <v>1.597710962302539</v>
      </c>
      <c r="F103">
        <v>-1.354588328378149</v>
      </c>
      <c r="G103">
        <v>1.602149895686825</v>
      </c>
      <c r="H103">
        <v>0.98700800689068835</v>
      </c>
      <c r="I103">
        <v>1.47024336819114</v>
      </c>
      <c r="J103">
        <v>0.96347886897857238</v>
      </c>
      <c r="M103">
        <f t="shared" si="4"/>
        <v>3.808763229011173</v>
      </c>
      <c r="N103">
        <f t="shared" si="5"/>
        <v>7</v>
      </c>
    </row>
    <row r="104" spans="1:14" x14ac:dyDescent="0.35">
      <c r="A104" t="str">
        <f t="shared" si="3"/>
        <v>18097320107_2026</v>
      </c>
      <c r="B104">
        <v>18097320107</v>
      </c>
      <c r="C104">
        <v>2026</v>
      </c>
      <c r="D104">
        <v>-1.4065205284055859</v>
      </c>
      <c r="E104">
        <v>1.614040463867948</v>
      </c>
      <c r="F104">
        <v>-1.285413360156725</v>
      </c>
      <c r="G104">
        <v>1.478655291443119</v>
      </c>
      <c r="H104">
        <v>0.88801708179351047</v>
      </c>
      <c r="I104">
        <v>1.457409299045511</v>
      </c>
      <c r="J104">
        <v>0.9194068578436152</v>
      </c>
      <c r="M104">
        <f t="shared" si="4"/>
        <v>3.6655951054313927</v>
      </c>
      <c r="N104">
        <f t="shared" si="5"/>
        <v>7</v>
      </c>
    </row>
    <row r="105" spans="1:14" x14ac:dyDescent="0.35">
      <c r="A105" t="str">
        <f t="shared" si="3"/>
        <v>18097320107_2027</v>
      </c>
      <c r="B105">
        <v>18097320107</v>
      </c>
      <c r="C105">
        <v>2027</v>
      </c>
      <c r="D105">
        <v>-1.335784327104697</v>
      </c>
      <c r="E105">
        <v>1.6099475043861899</v>
      </c>
      <c r="F105">
        <v>-1.2128838008562151</v>
      </c>
      <c r="G105">
        <v>1.381528051413268</v>
      </c>
      <c r="H105">
        <v>0.79135957941224067</v>
      </c>
      <c r="I105">
        <v>1.454828216191846</v>
      </c>
      <c r="J105">
        <v>0.86763176787054386</v>
      </c>
      <c r="M105">
        <f t="shared" si="4"/>
        <v>3.5566269913131765</v>
      </c>
      <c r="N105">
        <f t="shared" si="5"/>
        <v>7</v>
      </c>
    </row>
    <row r="106" spans="1:14" x14ac:dyDescent="0.35">
      <c r="A106" t="str">
        <f t="shared" si="3"/>
        <v>18097320107_2028</v>
      </c>
      <c r="B106">
        <v>18097320107</v>
      </c>
      <c r="C106">
        <v>2028</v>
      </c>
      <c r="D106">
        <v>-1.261297589761371</v>
      </c>
      <c r="E106">
        <v>1.6145064743346491</v>
      </c>
      <c r="F106">
        <v>-1.1524379429105851</v>
      </c>
      <c r="G106">
        <v>1.247967339699984</v>
      </c>
      <c r="H106">
        <v>0.70671810820452252</v>
      </c>
      <c r="I106">
        <v>1.4382741739702269</v>
      </c>
      <c r="J106">
        <v>0.80511897749400718</v>
      </c>
      <c r="M106">
        <f t="shared" si="4"/>
        <v>3.3988495410314337</v>
      </c>
      <c r="N106">
        <f t="shared" si="5"/>
        <v>7</v>
      </c>
    </row>
    <row r="107" spans="1:14" x14ac:dyDescent="0.35">
      <c r="A107" t="str">
        <f t="shared" si="3"/>
        <v>18097320108_2024</v>
      </c>
      <c r="B107">
        <v>18097320108</v>
      </c>
      <c r="C107">
        <v>2024</v>
      </c>
      <c r="D107">
        <v>-8.280937439553511E-2</v>
      </c>
      <c r="E107">
        <v>2.333820811668506E-2</v>
      </c>
      <c r="F107">
        <v>1.6304367201973571</v>
      </c>
      <c r="G107">
        <v>-0.90169397863592682</v>
      </c>
      <c r="H107">
        <v>-0.1606233460641858</v>
      </c>
      <c r="I107">
        <v>-0.41142883336721209</v>
      </c>
      <c r="J107">
        <v>1.0036430697461181</v>
      </c>
      <c r="M107">
        <f t="shared" si="4"/>
        <v>1.1008624655973003</v>
      </c>
      <c r="N107">
        <f t="shared" si="5"/>
        <v>7</v>
      </c>
    </row>
    <row r="108" spans="1:14" x14ac:dyDescent="0.35">
      <c r="A108" t="str">
        <f t="shared" si="3"/>
        <v>18097320108_2025</v>
      </c>
      <c r="B108">
        <v>18097320108</v>
      </c>
      <c r="C108">
        <v>2025</v>
      </c>
      <c r="D108">
        <v>6.2527918417250236E-2</v>
      </c>
      <c r="E108">
        <v>5.651207951189402E-2</v>
      </c>
      <c r="F108">
        <v>1.475547877710925</v>
      </c>
      <c r="G108">
        <v>-0.71058770148712513</v>
      </c>
      <c r="H108">
        <v>-0.25469882390812909</v>
      </c>
      <c r="I108">
        <v>-0.33941531817064619</v>
      </c>
      <c r="J108">
        <v>0.96347886897857238</v>
      </c>
      <c r="M108">
        <f t="shared" si="4"/>
        <v>1.2533649010527412</v>
      </c>
      <c r="N108">
        <f t="shared" si="5"/>
        <v>7</v>
      </c>
    </row>
    <row r="109" spans="1:14" x14ac:dyDescent="0.35">
      <c r="A109" t="str">
        <f t="shared" si="3"/>
        <v>18097320108_2026</v>
      </c>
      <c r="B109">
        <v>18097320108</v>
      </c>
      <c r="C109">
        <v>2026</v>
      </c>
      <c r="D109">
        <v>8.2666756837103422E-2</v>
      </c>
      <c r="E109">
        <v>9.8230168806669044E-2</v>
      </c>
      <c r="F109">
        <v>1.3098027950819331</v>
      </c>
      <c r="G109">
        <v>-0.80461028992135397</v>
      </c>
      <c r="H109">
        <v>-0.26411509993197491</v>
      </c>
      <c r="I109">
        <v>-0.2741701995722623</v>
      </c>
      <c r="J109">
        <v>0.9194068578436152</v>
      </c>
      <c r="M109">
        <f t="shared" si="4"/>
        <v>1.0672109891437296</v>
      </c>
      <c r="N109">
        <f t="shared" si="5"/>
        <v>7</v>
      </c>
    </row>
    <row r="110" spans="1:14" x14ac:dyDescent="0.35">
      <c r="A110" t="str">
        <f t="shared" si="3"/>
        <v>18097320108_2027</v>
      </c>
      <c r="B110">
        <v>18097320108</v>
      </c>
      <c r="C110">
        <v>2027</v>
      </c>
      <c r="D110">
        <v>0.17440923212400791</v>
      </c>
      <c r="E110">
        <v>0.13120610317590611</v>
      </c>
      <c r="F110">
        <v>1.1283461924335609</v>
      </c>
      <c r="G110">
        <v>-0.70986872594756478</v>
      </c>
      <c r="H110">
        <v>-0.27090022240772321</v>
      </c>
      <c r="I110">
        <v>-0.20793493441850541</v>
      </c>
      <c r="J110">
        <v>0.86763176787054386</v>
      </c>
      <c r="M110">
        <f t="shared" si="4"/>
        <v>1.1128894128302254</v>
      </c>
      <c r="N110">
        <f t="shared" si="5"/>
        <v>7</v>
      </c>
    </row>
    <row r="111" spans="1:14" x14ac:dyDescent="0.35">
      <c r="A111" t="str">
        <f t="shared" si="3"/>
        <v>18097320108_2028</v>
      </c>
      <c r="B111">
        <v>18097320108</v>
      </c>
      <c r="C111">
        <v>2028</v>
      </c>
      <c r="D111">
        <v>0.20953164282418579</v>
      </c>
      <c r="E111">
        <v>0.16806535550122481</v>
      </c>
      <c r="F111">
        <v>0.98801068432553285</v>
      </c>
      <c r="G111">
        <v>-0.72932011573093869</v>
      </c>
      <c r="H111">
        <v>-0.24216111585225941</v>
      </c>
      <c r="I111">
        <v>-0.14492262899551439</v>
      </c>
      <c r="J111">
        <v>0.80511897749400718</v>
      </c>
      <c r="M111">
        <f t="shared" si="4"/>
        <v>1.0543227995662383</v>
      </c>
      <c r="N111">
        <f t="shared" si="5"/>
        <v>7</v>
      </c>
    </row>
    <row r="112" spans="1:14" x14ac:dyDescent="0.35">
      <c r="A112" t="str">
        <f t="shared" si="3"/>
        <v>18097320109_2024</v>
      </c>
      <c r="B112">
        <v>18097320109</v>
      </c>
      <c r="C112">
        <v>2024</v>
      </c>
      <c r="D112">
        <v>-1.053073992844042</v>
      </c>
      <c r="E112">
        <v>1.407711971454026</v>
      </c>
      <c r="F112">
        <v>-1.485092674548228</v>
      </c>
      <c r="G112">
        <v>-7.6652378183109902E-3</v>
      </c>
      <c r="I112">
        <v>1.030783200001856</v>
      </c>
      <c r="J112">
        <v>1.0036430697461181</v>
      </c>
      <c r="M112">
        <f t="shared" si="4"/>
        <v>0.89630633599141896</v>
      </c>
      <c r="N112">
        <f t="shared" si="5"/>
        <v>6</v>
      </c>
    </row>
    <row r="113" spans="1:14" x14ac:dyDescent="0.35">
      <c r="A113" t="str">
        <f t="shared" si="3"/>
        <v>18097320109_2025</v>
      </c>
      <c r="B113">
        <v>18097320109</v>
      </c>
      <c r="C113">
        <v>2025</v>
      </c>
      <c r="D113">
        <v>-0.97421723259218795</v>
      </c>
      <c r="E113">
        <v>1.3471207438120221</v>
      </c>
      <c r="F113">
        <v>-1.4391493790782239</v>
      </c>
      <c r="G113">
        <v>3.585488086274511E-2</v>
      </c>
      <c r="I113">
        <v>1.047980574411542</v>
      </c>
      <c r="J113">
        <v>0.96347886897857238</v>
      </c>
      <c r="M113">
        <f t="shared" si="4"/>
        <v>0.98106845639446949</v>
      </c>
      <c r="N113">
        <f t="shared" si="5"/>
        <v>6</v>
      </c>
    </row>
    <row r="114" spans="1:14" x14ac:dyDescent="0.35">
      <c r="A114" t="str">
        <f t="shared" si="3"/>
        <v>18097320109_2026</v>
      </c>
      <c r="B114">
        <v>18097320109</v>
      </c>
      <c r="C114">
        <v>2026</v>
      </c>
      <c r="D114">
        <v>-0.93321741015781356</v>
      </c>
      <c r="E114">
        <v>1.330027796791996</v>
      </c>
      <c r="F114">
        <v>-1.369868203624419</v>
      </c>
      <c r="G114">
        <v>-0.1033898052210174</v>
      </c>
      <c r="I114">
        <v>1.0471603371385181</v>
      </c>
      <c r="J114">
        <v>0.9194068578436152</v>
      </c>
      <c r="M114">
        <f t="shared" si="4"/>
        <v>0.89011957277087927</v>
      </c>
      <c r="N114">
        <f t="shared" si="5"/>
        <v>6</v>
      </c>
    </row>
    <row r="115" spans="1:14" x14ac:dyDescent="0.35">
      <c r="A115" t="str">
        <f t="shared" si="3"/>
        <v>18097320109_2027</v>
      </c>
      <c r="B115">
        <v>18097320109</v>
      </c>
      <c r="C115">
        <v>2027</v>
      </c>
      <c r="D115">
        <v>-0.85580487309339415</v>
      </c>
      <c r="E115">
        <v>1.2877763215104989</v>
      </c>
      <c r="F115">
        <v>-1.2848322249226249</v>
      </c>
      <c r="G115">
        <v>-0.12526688999060279</v>
      </c>
      <c r="I115">
        <v>1.0544161092717319</v>
      </c>
      <c r="J115">
        <v>0.86763176787054386</v>
      </c>
      <c r="M115">
        <f t="shared" si="4"/>
        <v>0.94392021064615284</v>
      </c>
      <c r="N115">
        <f t="shared" si="5"/>
        <v>6</v>
      </c>
    </row>
    <row r="116" spans="1:14" x14ac:dyDescent="0.35">
      <c r="A116" t="str">
        <f t="shared" si="3"/>
        <v>18097320109_2028</v>
      </c>
      <c r="B116">
        <v>18097320109</v>
      </c>
      <c r="C116">
        <v>2028</v>
      </c>
      <c r="D116">
        <v>-0.79382917141344245</v>
      </c>
      <c r="E116">
        <v>1.258677455169753</v>
      </c>
      <c r="F116">
        <v>-1.2182108860303951</v>
      </c>
      <c r="G116">
        <v>-0.20782675375020859</v>
      </c>
      <c r="I116">
        <v>1.050588779360587</v>
      </c>
      <c r="J116">
        <v>0.80511897749400718</v>
      </c>
      <c r="M116">
        <f t="shared" si="4"/>
        <v>0.89451840083030121</v>
      </c>
      <c r="N116">
        <f t="shared" si="5"/>
        <v>6</v>
      </c>
    </row>
    <row r="117" spans="1:14" x14ac:dyDescent="0.35">
      <c r="A117" t="str">
        <f t="shared" si="3"/>
        <v>18097320202_2024</v>
      </c>
      <c r="B117">
        <v>18097320202</v>
      </c>
      <c r="C117">
        <v>2024</v>
      </c>
      <c r="D117">
        <v>-1.458416829937125</v>
      </c>
      <c r="E117">
        <v>1.81738674811564</v>
      </c>
      <c r="F117">
        <v>0.10031463010305559</v>
      </c>
      <c r="G117">
        <v>0.82395182041160298</v>
      </c>
      <c r="H117">
        <v>-0.16007795638670189</v>
      </c>
      <c r="I117">
        <v>1.0946475914552569</v>
      </c>
      <c r="J117">
        <v>1.606140710051561</v>
      </c>
      <c r="K117">
        <v>0.26392334211634771</v>
      </c>
      <c r="M117">
        <f t="shared" si="4"/>
        <v>4.0878700559296375</v>
      </c>
      <c r="N117">
        <f t="shared" si="5"/>
        <v>8</v>
      </c>
    </row>
    <row r="118" spans="1:14" x14ac:dyDescent="0.35">
      <c r="A118" t="str">
        <f t="shared" si="3"/>
        <v>18097320202_2025</v>
      </c>
      <c r="B118">
        <v>18097320202</v>
      </c>
      <c r="C118">
        <v>2025</v>
      </c>
      <c r="D118">
        <v>-1.4399753100100221</v>
      </c>
      <c r="E118">
        <v>1.7294273957208059</v>
      </c>
      <c r="F118">
        <v>0.25250081853965289</v>
      </c>
      <c r="G118">
        <v>0.64575026759667487</v>
      </c>
      <c r="H118">
        <v>-0.20114874508346009</v>
      </c>
      <c r="I118">
        <v>1.045505847380318</v>
      </c>
      <c r="J118">
        <v>1.593155979450074</v>
      </c>
      <c r="K118">
        <v>0.17622824382265309</v>
      </c>
      <c r="M118">
        <f t="shared" si="4"/>
        <v>3.8014444974166968</v>
      </c>
      <c r="N118">
        <f t="shared" si="5"/>
        <v>8</v>
      </c>
    </row>
    <row r="119" spans="1:14" x14ac:dyDescent="0.35">
      <c r="A119" t="str">
        <f t="shared" si="3"/>
        <v>18097320202_2026</v>
      </c>
      <c r="B119">
        <v>18097320202</v>
      </c>
      <c r="C119">
        <v>2026</v>
      </c>
      <c r="D119">
        <v>-1.3969234949690159</v>
      </c>
      <c r="E119">
        <v>1.664960837341283</v>
      </c>
      <c r="F119">
        <v>0.3766500510334726</v>
      </c>
      <c r="G119">
        <v>0.49039207560392661</v>
      </c>
      <c r="H119">
        <v>-0.24326910902679011</v>
      </c>
      <c r="I119">
        <v>0.97635788142564717</v>
      </c>
      <c r="J119">
        <v>1.5732430148861909</v>
      </c>
      <c r="K119">
        <v>6.8024787821399618E-2</v>
      </c>
      <c r="M119">
        <f t="shared" si="4"/>
        <v>3.5094360441161139</v>
      </c>
      <c r="N119">
        <f t="shared" si="5"/>
        <v>8</v>
      </c>
    </row>
    <row r="120" spans="1:14" x14ac:dyDescent="0.35">
      <c r="A120" t="str">
        <f t="shared" si="3"/>
        <v>18097320202_2027</v>
      </c>
      <c r="B120">
        <v>18097320202</v>
      </c>
      <c r="C120">
        <v>2027</v>
      </c>
      <c r="D120">
        <v>-1.3434886896098801</v>
      </c>
      <c r="E120">
        <v>1.5831580400179861</v>
      </c>
      <c r="F120">
        <v>0.47585554715497341</v>
      </c>
      <c r="G120">
        <v>0.35043068084309631</v>
      </c>
      <c r="H120">
        <v>-0.28519133650105061</v>
      </c>
      <c r="I120">
        <v>0.91791290406385284</v>
      </c>
      <c r="J120">
        <v>1.5485872616101879</v>
      </c>
      <c r="K120">
        <v>-2.23043097379335E-2</v>
      </c>
      <c r="M120">
        <f t="shared" si="4"/>
        <v>3.2249600978412327</v>
      </c>
      <c r="N120">
        <f t="shared" si="5"/>
        <v>8</v>
      </c>
    </row>
    <row r="121" spans="1:14" x14ac:dyDescent="0.35">
      <c r="A121" t="str">
        <f t="shared" si="3"/>
        <v>18097320202_2028</v>
      </c>
      <c r="B121">
        <v>18097320202</v>
      </c>
      <c r="C121">
        <v>2028</v>
      </c>
      <c r="D121">
        <v>-1.2806823707351549</v>
      </c>
      <c r="E121">
        <v>1.5142994936926639</v>
      </c>
      <c r="F121">
        <v>0.57956230902757555</v>
      </c>
      <c r="G121">
        <v>0.21278315884076959</v>
      </c>
      <c r="H121">
        <v>-0.30526825214017761</v>
      </c>
      <c r="I121">
        <v>0.85186530368308211</v>
      </c>
      <c r="J121">
        <v>1.5187540618903339</v>
      </c>
      <c r="K121">
        <v>-9.7835421200318046E-2</v>
      </c>
      <c r="M121">
        <f t="shared" si="4"/>
        <v>2.9934782830587743</v>
      </c>
      <c r="N121">
        <f t="shared" si="5"/>
        <v>8</v>
      </c>
    </row>
    <row r="122" spans="1:14" x14ac:dyDescent="0.35">
      <c r="A122" t="str">
        <f t="shared" si="3"/>
        <v>18097320206_2024</v>
      </c>
      <c r="B122">
        <v>18097320206</v>
      </c>
      <c r="C122">
        <v>2024</v>
      </c>
      <c r="D122">
        <v>-1.7823916087016569</v>
      </c>
      <c r="E122">
        <v>-0.1229621882982172</v>
      </c>
      <c r="F122">
        <v>1.181588409929939</v>
      </c>
      <c r="G122">
        <v>-0.81085634719594346</v>
      </c>
      <c r="H122">
        <v>-2.4905799439051819</v>
      </c>
      <c r="I122">
        <v>-0.58726912694001199</v>
      </c>
      <c r="J122">
        <v>1.260194118764874</v>
      </c>
      <c r="M122">
        <f t="shared" si="4"/>
        <v>-3.3522766863461992</v>
      </c>
      <c r="N122">
        <f t="shared" si="5"/>
        <v>7</v>
      </c>
    </row>
    <row r="123" spans="1:14" x14ac:dyDescent="0.35">
      <c r="A123" t="str">
        <f t="shared" si="3"/>
        <v>18097320206_2025</v>
      </c>
      <c r="B123">
        <v>18097320206</v>
      </c>
      <c r="C123">
        <v>2025</v>
      </c>
      <c r="D123">
        <v>-1.753529847456609</v>
      </c>
      <c r="E123">
        <v>3.3728306051024337E-2</v>
      </c>
      <c r="F123">
        <v>1.10219927258116</v>
      </c>
      <c r="G123">
        <v>-0.78629284926280085</v>
      </c>
      <c r="H123">
        <v>-2.9078899729623848</v>
      </c>
      <c r="I123">
        <v>-0.53772836156696169</v>
      </c>
      <c r="J123">
        <v>1.2847811954439741</v>
      </c>
      <c r="M123">
        <f t="shared" si="4"/>
        <v>-3.5647322571725986</v>
      </c>
      <c r="N123">
        <f t="shared" si="5"/>
        <v>7</v>
      </c>
    </row>
    <row r="124" spans="1:14" x14ac:dyDescent="0.35">
      <c r="A124" t="str">
        <f t="shared" si="3"/>
        <v>18097320206_2026</v>
      </c>
      <c r="B124">
        <v>18097320206</v>
      </c>
      <c r="C124">
        <v>2026</v>
      </c>
      <c r="D124">
        <v>-1.6968708445169141</v>
      </c>
      <c r="E124">
        <v>0.1886876174698271</v>
      </c>
      <c r="F124">
        <v>0.9982056915039812</v>
      </c>
      <c r="G124">
        <v>-0.75232875358461759</v>
      </c>
      <c r="H124">
        <v>-3.2056983702995301</v>
      </c>
      <c r="I124">
        <v>-0.50284867021740365</v>
      </c>
      <c r="J124">
        <v>1.3093860367404959</v>
      </c>
      <c r="M124">
        <f t="shared" si="4"/>
        <v>-3.6614672929041605</v>
      </c>
      <c r="N124">
        <f t="shared" si="5"/>
        <v>7</v>
      </c>
    </row>
    <row r="125" spans="1:14" x14ac:dyDescent="0.35">
      <c r="A125" t="str">
        <f t="shared" si="3"/>
        <v>18097320206_2027</v>
      </c>
      <c r="B125">
        <v>18097320206</v>
      </c>
      <c r="C125">
        <v>2027</v>
      </c>
      <c r="D125">
        <v>-1.630249461337939</v>
      </c>
      <c r="E125">
        <v>0.32890540327928391</v>
      </c>
      <c r="F125">
        <v>0.87906287154886154</v>
      </c>
      <c r="G125">
        <v>-0.72131352614897726</v>
      </c>
      <c r="H125">
        <v>-3.485849439241369</v>
      </c>
      <c r="I125">
        <v>-0.45741880433686311</v>
      </c>
      <c r="J125">
        <v>1.335671397907773</v>
      </c>
      <c r="M125">
        <f t="shared" si="4"/>
        <v>-3.7511915583292303</v>
      </c>
      <c r="N125">
        <f t="shared" si="5"/>
        <v>7</v>
      </c>
    </row>
    <row r="126" spans="1:14" x14ac:dyDescent="0.35">
      <c r="A126" t="str">
        <f t="shared" si="3"/>
        <v>18097320206_2028</v>
      </c>
      <c r="B126">
        <v>18097320206</v>
      </c>
      <c r="C126">
        <v>2028</v>
      </c>
      <c r="D126">
        <v>-1.5481036412769951</v>
      </c>
      <c r="E126">
        <v>0.46745550857424661</v>
      </c>
      <c r="F126">
        <v>0.78826799381445678</v>
      </c>
      <c r="G126">
        <v>-0.68459685460293596</v>
      </c>
      <c r="H126">
        <v>-3.6560747304648529</v>
      </c>
      <c r="I126">
        <v>-0.41805439505428632</v>
      </c>
      <c r="J126">
        <v>1.3641169754340139</v>
      </c>
      <c r="M126">
        <f t="shared" si="4"/>
        <v>-3.6869891435763531</v>
      </c>
      <c r="N126">
        <f t="shared" si="5"/>
        <v>7</v>
      </c>
    </row>
    <row r="127" spans="1:14" x14ac:dyDescent="0.35">
      <c r="A127" t="str">
        <f t="shared" si="3"/>
        <v>18097320301_2024</v>
      </c>
      <c r="B127">
        <v>18097320301</v>
      </c>
      <c r="C127">
        <v>2024</v>
      </c>
      <c r="D127">
        <v>-1.7495341848710799</v>
      </c>
      <c r="E127">
        <v>1.505698566770268</v>
      </c>
      <c r="F127">
        <v>-1.0543422496731349</v>
      </c>
      <c r="G127">
        <v>0.55576331842361359</v>
      </c>
      <c r="H127">
        <v>1.275265087034543</v>
      </c>
      <c r="I127">
        <v>1.4608482309102371</v>
      </c>
      <c r="J127">
        <v>1.606140710051561</v>
      </c>
      <c r="K127">
        <v>0.26392334211634771</v>
      </c>
      <c r="M127">
        <f t="shared" si="4"/>
        <v>3.8637628207623558</v>
      </c>
      <c r="N127">
        <f t="shared" si="5"/>
        <v>8</v>
      </c>
    </row>
    <row r="128" spans="1:14" x14ac:dyDescent="0.35">
      <c r="A128" t="str">
        <f t="shared" si="3"/>
        <v>18097320301_2025</v>
      </c>
      <c r="B128">
        <v>18097320301</v>
      </c>
      <c r="C128">
        <v>2025</v>
      </c>
      <c r="D128">
        <v>-1.721724912398094</v>
      </c>
      <c r="E128">
        <v>1.409180058204849</v>
      </c>
      <c r="F128">
        <v>-1.0132110831712049</v>
      </c>
      <c r="G128">
        <v>0.42628101950820418</v>
      </c>
      <c r="H128">
        <v>1.2079456858548661</v>
      </c>
      <c r="I128">
        <v>1.484720492635357</v>
      </c>
      <c r="J128">
        <v>1.593155979450074</v>
      </c>
      <c r="K128">
        <v>0.17622824382265309</v>
      </c>
      <c r="M128">
        <f t="shared" si="4"/>
        <v>3.5625754839067043</v>
      </c>
      <c r="N128">
        <f t="shared" si="5"/>
        <v>8</v>
      </c>
    </row>
    <row r="129" spans="1:14" x14ac:dyDescent="0.35">
      <c r="A129" t="str">
        <f t="shared" si="3"/>
        <v>18097320301_2026</v>
      </c>
      <c r="B129">
        <v>18097320301</v>
      </c>
      <c r="C129">
        <v>2026</v>
      </c>
      <c r="D129">
        <v>-1.6664302407915521</v>
      </c>
      <c r="E129">
        <v>1.3905317472267651</v>
      </c>
      <c r="F129">
        <v>-0.97456920877036635</v>
      </c>
      <c r="G129">
        <v>0.35480669180237051</v>
      </c>
      <c r="H129">
        <v>1.132658637299363</v>
      </c>
      <c r="I129">
        <v>1.4905482125140459</v>
      </c>
      <c r="J129">
        <v>1.5732430148861909</v>
      </c>
      <c r="K129">
        <v>6.8024787821399618E-2</v>
      </c>
      <c r="M129">
        <f t="shared" si="4"/>
        <v>3.3688136419882166</v>
      </c>
      <c r="N129">
        <f t="shared" si="5"/>
        <v>8</v>
      </c>
    </row>
    <row r="130" spans="1:14" x14ac:dyDescent="0.35">
      <c r="A130" t="str">
        <f t="shared" si="3"/>
        <v>18097320301_2027</v>
      </c>
      <c r="B130">
        <v>18097320301</v>
      </c>
      <c r="C130">
        <v>2027</v>
      </c>
      <c r="D130">
        <v>-1.6011378378254351</v>
      </c>
      <c r="E130">
        <v>1.319466821099921</v>
      </c>
      <c r="F130">
        <v>-0.92199705402112964</v>
      </c>
      <c r="G130">
        <v>0.26921946085329801</v>
      </c>
      <c r="H130">
        <v>1.0548493270492569</v>
      </c>
      <c r="I130">
        <v>1.509906066283629</v>
      </c>
      <c r="J130">
        <v>1.5485872616101879</v>
      </c>
      <c r="K130">
        <v>-2.23043097379335E-2</v>
      </c>
      <c r="M130">
        <f t="shared" si="4"/>
        <v>3.1565897353117944</v>
      </c>
      <c r="N130">
        <f t="shared" si="5"/>
        <v>8</v>
      </c>
    </row>
    <row r="131" spans="1:14" x14ac:dyDescent="0.35">
      <c r="A131" t="str">
        <f t="shared" ref="A131:A194" si="6">TEXT(B131,0)&amp;"_"&amp;TEXT(C131,0)</f>
        <v>18097320301_2028</v>
      </c>
      <c r="B131">
        <v>18097320301</v>
      </c>
      <c r="C131">
        <v>2028</v>
      </c>
      <c r="D131">
        <v>-1.5209456621541779</v>
      </c>
      <c r="E131">
        <v>1.281989786459828</v>
      </c>
      <c r="F131">
        <v>-0.88248581297899753</v>
      </c>
      <c r="G131">
        <v>0.187813811187101</v>
      </c>
      <c r="H131">
        <v>0.97958683998135243</v>
      </c>
      <c r="I131">
        <v>1.5157963247686841</v>
      </c>
      <c r="J131">
        <v>1.5187540618903339</v>
      </c>
      <c r="K131">
        <v>-9.7835421200318046E-2</v>
      </c>
      <c r="M131">
        <f t="shared" ref="M131:M194" si="7">SUM(D131:K131)</f>
        <v>2.9826739279538055</v>
      </c>
      <c r="N131">
        <f t="shared" ref="N131:N194" si="8">IF(D131=0,0,1)+IF(E131=0,0,1)+IF(F131=0,0,1)+IF(G131=0,0,1)+IF(H131=0,0,1)+IF(I131=0,0,1)++IF(J131=0,0,1)++IF(K131=0,0,1)</f>
        <v>8</v>
      </c>
    </row>
    <row r="132" spans="1:14" x14ac:dyDescent="0.35">
      <c r="A132" t="str">
        <f t="shared" si="6"/>
        <v>18097320305_2024</v>
      </c>
      <c r="B132">
        <v>18097320305</v>
      </c>
      <c r="C132">
        <v>2024</v>
      </c>
      <c r="D132">
        <v>-1.756615358327666</v>
      </c>
      <c r="E132">
        <v>1.2575598084355439</v>
      </c>
      <c r="F132">
        <v>-1.243224183256133</v>
      </c>
      <c r="G132">
        <v>2.079962392544088</v>
      </c>
      <c r="I132">
        <v>0.94757604257973582</v>
      </c>
      <c r="J132">
        <v>1.606140710051561</v>
      </c>
      <c r="K132">
        <v>0.26392334211634771</v>
      </c>
      <c r="M132">
        <f t="shared" si="7"/>
        <v>3.1553227541434774</v>
      </c>
      <c r="N132">
        <f t="shared" si="8"/>
        <v>7</v>
      </c>
    </row>
    <row r="133" spans="1:14" x14ac:dyDescent="0.35">
      <c r="A133" t="str">
        <f t="shared" si="6"/>
        <v>18097320305_2025</v>
      </c>
      <c r="B133">
        <v>18097320305</v>
      </c>
      <c r="C133">
        <v>2025</v>
      </c>
      <c r="D133">
        <v>-1.7285781865459711</v>
      </c>
      <c r="E133">
        <v>1.206448486104454</v>
      </c>
      <c r="F133">
        <v>-1.216051061958811</v>
      </c>
      <c r="G133">
        <v>2.0314061347999299</v>
      </c>
      <c r="I133">
        <v>0.72283238940637518</v>
      </c>
      <c r="J133">
        <v>1.593155979450074</v>
      </c>
      <c r="K133">
        <v>0.17622824382265309</v>
      </c>
      <c r="M133">
        <f t="shared" si="7"/>
        <v>2.785441985078704</v>
      </c>
      <c r="N133">
        <f t="shared" si="8"/>
        <v>7</v>
      </c>
    </row>
    <row r="134" spans="1:14" x14ac:dyDescent="0.35">
      <c r="A134" t="str">
        <f t="shared" si="6"/>
        <v>18097320305_2026</v>
      </c>
      <c r="B134">
        <v>18097320305</v>
      </c>
      <c r="C134">
        <v>2026</v>
      </c>
      <c r="D134">
        <v>-1.6729856777381791</v>
      </c>
      <c r="E134">
        <v>0.91837077721317439</v>
      </c>
      <c r="F134">
        <v>-1.1698895027280301</v>
      </c>
      <c r="G134">
        <v>1.9751086001222471</v>
      </c>
      <c r="I134">
        <v>0.50713369947817122</v>
      </c>
      <c r="J134">
        <v>1.5732430148861909</v>
      </c>
      <c r="K134">
        <v>6.8024787821399618E-2</v>
      </c>
      <c r="M134">
        <f t="shared" si="7"/>
        <v>2.199005699054974</v>
      </c>
      <c r="N134">
        <f t="shared" si="8"/>
        <v>7</v>
      </c>
    </row>
    <row r="135" spans="1:14" x14ac:dyDescent="0.35">
      <c r="A135" t="str">
        <f t="shared" si="6"/>
        <v>18097320305_2027</v>
      </c>
      <c r="B135">
        <v>18097320305</v>
      </c>
      <c r="C135">
        <v>2027</v>
      </c>
      <c r="D135">
        <v>-1.6074048143402939</v>
      </c>
      <c r="E135">
        <v>0.86790948868946172</v>
      </c>
      <c r="F135">
        <v>-1.109882150057115</v>
      </c>
      <c r="G135">
        <v>1.906373852648459</v>
      </c>
      <c r="I135">
        <v>0.29277868388528983</v>
      </c>
      <c r="J135">
        <v>1.5485872616101879</v>
      </c>
      <c r="K135">
        <v>-2.23043097379335E-2</v>
      </c>
      <c r="M135">
        <f t="shared" si="7"/>
        <v>1.8760580126980562</v>
      </c>
      <c r="N135">
        <f t="shared" si="8"/>
        <v>7</v>
      </c>
    </row>
    <row r="136" spans="1:14" x14ac:dyDescent="0.35">
      <c r="A136" t="str">
        <f t="shared" si="6"/>
        <v>18097320305_2028</v>
      </c>
      <c r="B136">
        <v>18097320305</v>
      </c>
      <c r="C136">
        <v>2028</v>
      </c>
      <c r="D136">
        <v>-1.5267897144321221</v>
      </c>
      <c r="E136">
        <v>0.60485723414475845</v>
      </c>
      <c r="F136">
        <v>-1.0634798770091189</v>
      </c>
      <c r="G136">
        <v>1.810884692376985</v>
      </c>
      <c r="I136">
        <v>8.9730808600925263E-2</v>
      </c>
      <c r="J136">
        <v>1.5187540618903339</v>
      </c>
      <c r="K136">
        <v>-9.7835421200318046E-2</v>
      </c>
      <c r="M136">
        <f t="shared" si="7"/>
        <v>1.3361217843714435</v>
      </c>
      <c r="N136">
        <f t="shared" si="8"/>
        <v>7</v>
      </c>
    </row>
    <row r="137" spans="1:14" x14ac:dyDescent="0.35">
      <c r="A137" t="str">
        <f t="shared" si="6"/>
        <v>18097320306_2024</v>
      </c>
      <c r="B137">
        <v>18097320306</v>
      </c>
      <c r="C137">
        <v>2024</v>
      </c>
      <c r="D137">
        <v>-1.7699910250899991</v>
      </c>
      <c r="E137">
        <v>1.648016306046616</v>
      </c>
      <c r="F137">
        <v>6.3247281151485396E-2</v>
      </c>
      <c r="G137">
        <v>0.20761978989081351</v>
      </c>
      <c r="I137">
        <v>1.0246287784671491</v>
      </c>
      <c r="J137">
        <v>1.606140710051561</v>
      </c>
      <c r="K137">
        <v>0.26392334211634771</v>
      </c>
      <c r="M137">
        <f t="shared" si="7"/>
        <v>3.0435851826339739</v>
      </c>
      <c r="N137">
        <f t="shared" si="8"/>
        <v>7</v>
      </c>
    </row>
    <row r="138" spans="1:14" x14ac:dyDescent="0.35">
      <c r="A138" t="str">
        <f t="shared" si="6"/>
        <v>18097320306_2025</v>
      </c>
      <c r="B138">
        <v>18097320306</v>
      </c>
      <c r="C138">
        <v>2025</v>
      </c>
      <c r="D138">
        <v>-1.741523432017263</v>
      </c>
      <c r="E138">
        <v>1.611757521909152</v>
      </c>
      <c r="F138">
        <v>0.1189038971549472</v>
      </c>
      <c r="G138">
        <v>0.18279400728062639</v>
      </c>
      <c r="I138">
        <v>0.93838638784667205</v>
      </c>
      <c r="J138">
        <v>1.593155979450074</v>
      </c>
      <c r="K138">
        <v>0.17622824382265309</v>
      </c>
      <c r="M138">
        <f t="shared" si="7"/>
        <v>2.879702605446862</v>
      </c>
      <c r="N138">
        <f t="shared" si="8"/>
        <v>7</v>
      </c>
    </row>
    <row r="139" spans="1:14" x14ac:dyDescent="0.35">
      <c r="A139" t="str">
        <f t="shared" si="6"/>
        <v>18097320306_2026</v>
      </c>
      <c r="B139">
        <v>18097320306</v>
      </c>
      <c r="C139">
        <v>2026</v>
      </c>
      <c r="D139">
        <v>-1.6853684153573489</v>
      </c>
      <c r="E139">
        <v>1.5151825580483509</v>
      </c>
      <c r="F139">
        <v>0.1609589922560116</v>
      </c>
      <c r="G139">
        <v>0.15388300866613169</v>
      </c>
      <c r="I139">
        <v>0.95207389175180557</v>
      </c>
      <c r="J139">
        <v>1.5732430148861909</v>
      </c>
      <c r="K139">
        <v>6.8024787821399618E-2</v>
      </c>
      <c r="M139">
        <f t="shared" si="7"/>
        <v>2.7379978380725412</v>
      </c>
      <c r="N139">
        <f t="shared" si="8"/>
        <v>7</v>
      </c>
    </row>
    <row r="140" spans="1:14" x14ac:dyDescent="0.35">
      <c r="A140" t="str">
        <f t="shared" si="6"/>
        <v>18097320306_2027</v>
      </c>
      <c r="B140">
        <v>18097320306</v>
      </c>
      <c r="C140">
        <v>2027</v>
      </c>
      <c r="D140">
        <v>-1.619242737787056</v>
      </c>
      <c r="E140">
        <v>1.4515807058469381</v>
      </c>
      <c r="F140">
        <v>0.18884558319667341</v>
      </c>
      <c r="G140">
        <v>0.1332711621020157</v>
      </c>
      <c r="I140">
        <v>0.89195785846551279</v>
      </c>
      <c r="J140">
        <v>1.5485872616101879</v>
      </c>
      <c r="K140">
        <v>-2.23043097379335E-2</v>
      </c>
      <c r="M140">
        <f t="shared" si="7"/>
        <v>2.5726955236963382</v>
      </c>
      <c r="N140">
        <f t="shared" si="8"/>
        <v>7</v>
      </c>
    </row>
    <row r="141" spans="1:14" x14ac:dyDescent="0.35">
      <c r="A141" t="str">
        <f t="shared" si="6"/>
        <v>18097320306_2028</v>
      </c>
      <c r="B141">
        <v>18097320306</v>
      </c>
      <c r="C141">
        <v>2028</v>
      </c>
      <c r="D141">
        <v>-1.5378288273821199</v>
      </c>
      <c r="E141">
        <v>1.3712419062430341</v>
      </c>
      <c r="F141">
        <v>0.220502315373205</v>
      </c>
      <c r="G141">
        <v>0.1008366056368316</v>
      </c>
      <c r="I141">
        <v>0.88105970235572972</v>
      </c>
      <c r="J141">
        <v>1.5187540618903339</v>
      </c>
      <c r="K141">
        <v>-9.7835421200318046E-2</v>
      </c>
      <c r="M141">
        <f t="shared" si="7"/>
        <v>2.4567303429166962</v>
      </c>
      <c r="N141">
        <f t="shared" si="8"/>
        <v>7</v>
      </c>
    </row>
    <row r="142" spans="1:14" x14ac:dyDescent="0.35">
      <c r="A142" t="str">
        <f t="shared" si="6"/>
        <v>18097320400_2024</v>
      </c>
      <c r="B142">
        <v>18097320400</v>
      </c>
      <c r="C142">
        <v>2024</v>
      </c>
      <c r="D142">
        <v>-0.57326325054698324</v>
      </c>
      <c r="E142">
        <v>1.2515479046491891</v>
      </c>
      <c r="F142">
        <v>0.18344510713204559</v>
      </c>
      <c r="G142">
        <v>0.30847059123967152</v>
      </c>
      <c r="H142">
        <v>1.0116712207979821</v>
      </c>
      <c r="I142">
        <v>0.329728760180584</v>
      </c>
      <c r="J142">
        <v>1.606140710051561</v>
      </c>
      <c r="K142">
        <v>0.26392334211634771</v>
      </c>
      <c r="M142">
        <f t="shared" si="7"/>
        <v>4.3816643856203976</v>
      </c>
      <c r="N142">
        <f t="shared" si="8"/>
        <v>8</v>
      </c>
    </row>
    <row r="143" spans="1:14" x14ac:dyDescent="0.35">
      <c r="A143" t="str">
        <f t="shared" si="6"/>
        <v>18097320400_2025</v>
      </c>
      <c r="B143">
        <v>18097320400</v>
      </c>
      <c r="C143">
        <v>2025</v>
      </c>
      <c r="D143">
        <v>-0.58330438646403548</v>
      </c>
      <c r="E143">
        <v>1.2874912657419111</v>
      </c>
      <c r="F143">
        <v>0.1590114965263931</v>
      </c>
      <c r="G143">
        <v>0.36352424651020981</v>
      </c>
      <c r="H143">
        <v>0.94609386958070285</v>
      </c>
      <c r="I143">
        <v>0.37514628508718212</v>
      </c>
      <c r="J143">
        <v>1.593155979450074</v>
      </c>
      <c r="K143">
        <v>0.17622824382265309</v>
      </c>
      <c r="M143">
        <f t="shared" si="7"/>
        <v>4.3173470002550909</v>
      </c>
      <c r="N143">
        <f t="shared" si="8"/>
        <v>8</v>
      </c>
    </row>
    <row r="144" spans="1:14" x14ac:dyDescent="0.35">
      <c r="A144" t="str">
        <f t="shared" si="6"/>
        <v>18097320400_2026</v>
      </c>
      <c r="B144">
        <v>18097320400</v>
      </c>
      <c r="C144">
        <v>2026</v>
      </c>
      <c r="D144">
        <v>-0.5774777621452597</v>
      </c>
      <c r="E144">
        <v>1.336267501276021</v>
      </c>
      <c r="F144">
        <v>0.1209933855012764</v>
      </c>
      <c r="G144">
        <v>0.39340739482069259</v>
      </c>
      <c r="H144">
        <v>0.8861789906545009</v>
      </c>
      <c r="I144">
        <v>0.37388627717375189</v>
      </c>
      <c r="J144">
        <v>1.5732430148861909</v>
      </c>
      <c r="K144">
        <v>6.8024787821399618E-2</v>
      </c>
      <c r="M144">
        <f t="shared" si="7"/>
        <v>4.1745235899885733</v>
      </c>
      <c r="N144">
        <f t="shared" si="8"/>
        <v>8</v>
      </c>
    </row>
    <row r="145" spans="1:14" x14ac:dyDescent="0.35">
      <c r="A145" t="str">
        <f t="shared" si="6"/>
        <v>18097320400_2027</v>
      </c>
      <c r="B145">
        <v>18097320400</v>
      </c>
      <c r="C145">
        <v>2027</v>
      </c>
      <c r="D145">
        <v>-0.56009634732201619</v>
      </c>
      <c r="E145">
        <v>1.3654652560290801</v>
      </c>
      <c r="F145">
        <v>7.8983265453223359E-2</v>
      </c>
      <c r="G145">
        <v>0.43328589383946869</v>
      </c>
      <c r="H145">
        <v>0.82098938058570081</v>
      </c>
      <c r="I145">
        <v>0.39301040135712217</v>
      </c>
      <c r="J145">
        <v>1.5485872616101879</v>
      </c>
      <c r="K145">
        <v>-2.23043097379335E-2</v>
      </c>
      <c r="M145">
        <f t="shared" si="7"/>
        <v>4.0579208018148334</v>
      </c>
      <c r="N145">
        <f t="shared" si="8"/>
        <v>8</v>
      </c>
    </row>
    <row r="146" spans="1:14" x14ac:dyDescent="0.35">
      <c r="A146" t="str">
        <f t="shared" si="6"/>
        <v>18097320400_2028</v>
      </c>
      <c r="B146">
        <v>18097320400</v>
      </c>
      <c r="C146">
        <v>2028</v>
      </c>
      <c r="D146">
        <v>-0.5501525184253</v>
      </c>
      <c r="E146">
        <v>1.401032321580667</v>
      </c>
      <c r="F146">
        <v>4.7308004024562908E-2</v>
      </c>
      <c r="G146">
        <v>0.44896584457755939</v>
      </c>
      <c r="H146">
        <v>0.7624281702288932</v>
      </c>
      <c r="I146">
        <v>0.39988627445055069</v>
      </c>
      <c r="J146">
        <v>1.5187540618903339</v>
      </c>
      <c r="K146">
        <v>-9.7835421200318046E-2</v>
      </c>
      <c r="M146">
        <f t="shared" si="7"/>
        <v>3.9303867371269492</v>
      </c>
      <c r="N146">
        <f t="shared" si="8"/>
        <v>8</v>
      </c>
    </row>
    <row r="147" spans="1:14" x14ac:dyDescent="0.35">
      <c r="A147" t="str">
        <f t="shared" si="6"/>
        <v>18097320500_2024</v>
      </c>
      <c r="B147">
        <v>18097320500</v>
      </c>
      <c r="C147">
        <v>2024</v>
      </c>
      <c r="D147">
        <v>-0.51582896138751055</v>
      </c>
      <c r="E147">
        <v>1.197782732911095</v>
      </c>
      <c r="F147">
        <v>0.63893119587291802</v>
      </c>
      <c r="G147">
        <v>0.51170261035346054</v>
      </c>
      <c r="H147">
        <v>0.56527255146538358</v>
      </c>
      <c r="I147">
        <v>0.60637119559380837</v>
      </c>
      <c r="J147">
        <v>1.606140710051561</v>
      </c>
      <c r="K147">
        <v>0.26392334211634771</v>
      </c>
      <c r="M147">
        <f t="shared" si="7"/>
        <v>4.8742953769770638</v>
      </c>
      <c r="N147">
        <f t="shared" si="8"/>
        <v>8</v>
      </c>
    </row>
    <row r="148" spans="1:14" x14ac:dyDescent="0.35">
      <c r="A148" t="str">
        <f t="shared" si="6"/>
        <v>18097320500_2025</v>
      </c>
      <c r="B148">
        <v>18097320500</v>
      </c>
      <c r="C148">
        <v>2025</v>
      </c>
      <c r="D148">
        <v>-0.52771945271202325</v>
      </c>
      <c r="E148">
        <v>1.235385982040917</v>
      </c>
      <c r="F148">
        <v>0.68660930345123394</v>
      </c>
      <c r="G148">
        <v>0.62935226443159709</v>
      </c>
      <c r="H148">
        <v>0.4755307631691989</v>
      </c>
      <c r="I148">
        <v>0.65143861953496185</v>
      </c>
      <c r="J148">
        <v>1.593155979450074</v>
      </c>
      <c r="K148">
        <v>0.17622824382265309</v>
      </c>
      <c r="M148">
        <f t="shared" si="7"/>
        <v>4.9199817031886122</v>
      </c>
      <c r="N148">
        <f t="shared" si="8"/>
        <v>8</v>
      </c>
    </row>
    <row r="149" spans="1:14" x14ac:dyDescent="0.35">
      <c r="A149" t="str">
        <f t="shared" si="6"/>
        <v>18097320500_2026</v>
      </c>
      <c r="B149">
        <v>18097320500</v>
      </c>
      <c r="C149">
        <v>2026</v>
      </c>
      <c r="D149">
        <v>-0.52430980677414729</v>
      </c>
      <c r="E149">
        <v>1.126149041039348</v>
      </c>
      <c r="F149">
        <v>0.70920175207469172</v>
      </c>
      <c r="G149">
        <v>0.59953549557245611</v>
      </c>
      <c r="H149">
        <v>0.41195341321508522</v>
      </c>
      <c r="I149">
        <v>0.68229137427159758</v>
      </c>
      <c r="J149">
        <v>1.5732430148861909</v>
      </c>
      <c r="K149">
        <v>6.8024787821399618E-2</v>
      </c>
      <c r="M149">
        <f t="shared" si="7"/>
        <v>4.6460890721066219</v>
      </c>
      <c r="N149">
        <f t="shared" si="8"/>
        <v>8</v>
      </c>
    </row>
    <row r="150" spans="1:14" x14ac:dyDescent="0.35">
      <c r="A150" t="str">
        <f t="shared" si="6"/>
        <v>18097320500_2027</v>
      </c>
      <c r="B150">
        <v>18097320500</v>
      </c>
      <c r="C150">
        <v>2027</v>
      </c>
      <c r="D150">
        <v>-0.50926899397121395</v>
      </c>
      <c r="E150">
        <v>1.115187189499298</v>
      </c>
      <c r="F150">
        <v>0.70836574772475591</v>
      </c>
      <c r="G150">
        <v>0.65115323247910761</v>
      </c>
      <c r="H150">
        <v>0.34186436400740627</v>
      </c>
      <c r="I150">
        <v>0.71934905612023137</v>
      </c>
      <c r="J150">
        <v>1.5485872616101879</v>
      </c>
      <c r="K150">
        <v>-2.23043097379335E-2</v>
      </c>
      <c r="M150">
        <f t="shared" si="7"/>
        <v>4.5529335477318398</v>
      </c>
      <c r="N150">
        <f t="shared" si="8"/>
        <v>8</v>
      </c>
    </row>
    <row r="151" spans="1:14" x14ac:dyDescent="0.35">
      <c r="A151" t="str">
        <f t="shared" si="6"/>
        <v>18097320500_2028</v>
      </c>
      <c r="B151">
        <v>18097320500</v>
      </c>
      <c r="C151">
        <v>2028</v>
      </c>
      <c r="D151">
        <v>-0.50275629159137036</v>
      </c>
      <c r="E151">
        <v>1.0383890210454969</v>
      </c>
      <c r="F151">
        <v>0.72029018319326221</v>
      </c>
      <c r="G151">
        <v>0.63333062737622048</v>
      </c>
      <c r="H151">
        <v>0.28993918699063642</v>
      </c>
      <c r="I151">
        <v>0.74689436030282874</v>
      </c>
      <c r="J151">
        <v>1.5187540618903339</v>
      </c>
      <c r="K151">
        <v>-9.7835421200318046E-2</v>
      </c>
      <c r="M151">
        <f t="shared" si="7"/>
        <v>4.3470057280070904</v>
      </c>
      <c r="N151">
        <f t="shared" si="8"/>
        <v>8</v>
      </c>
    </row>
    <row r="152" spans="1:14" x14ac:dyDescent="0.35">
      <c r="A152" t="str">
        <f t="shared" si="6"/>
        <v>18097320600_2024</v>
      </c>
      <c r="B152">
        <v>18097320600</v>
      </c>
      <c r="C152">
        <v>2024</v>
      </c>
      <c r="D152">
        <v>-1.1059289695669721</v>
      </c>
      <c r="E152">
        <v>0.5063517922453471</v>
      </c>
      <c r="F152">
        <v>-0.94197872190314402</v>
      </c>
      <c r="G152">
        <v>-2.320001250674468E-2</v>
      </c>
      <c r="H152">
        <v>0.42749133413670493</v>
      </c>
      <c r="I152">
        <v>0.66093556487700533</v>
      </c>
      <c r="J152">
        <v>1.606140710051561</v>
      </c>
      <c r="K152">
        <v>0.26392334211634771</v>
      </c>
      <c r="M152">
        <f t="shared" si="7"/>
        <v>1.3937350394501054</v>
      </c>
      <c r="N152">
        <f t="shared" si="8"/>
        <v>8</v>
      </c>
    </row>
    <row r="153" spans="1:14" x14ac:dyDescent="0.35">
      <c r="A153" t="str">
        <f t="shared" si="6"/>
        <v>18097320600_2025</v>
      </c>
      <c r="B153">
        <v>18097320600</v>
      </c>
      <c r="C153">
        <v>2025</v>
      </c>
      <c r="D153">
        <v>-1.098829922377982</v>
      </c>
      <c r="E153">
        <v>0.47570013916436321</v>
      </c>
      <c r="F153">
        <v>-0.94241446849713617</v>
      </c>
      <c r="G153">
        <v>-5.1859799726831537E-2</v>
      </c>
      <c r="H153">
        <v>0.36948380453880042</v>
      </c>
      <c r="I153">
        <v>0.60364537170588328</v>
      </c>
      <c r="J153">
        <v>1.593155979450074</v>
      </c>
      <c r="K153">
        <v>0.17622824382265309</v>
      </c>
      <c r="M153">
        <f t="shared" si="7"/>
        <v>1.1251093480798244</v>
      </c>
      <c r="N153">
        <f t="shared" si="8"/>
        <v>8</v>
      </c>
    </row>
    <row r="154" spans="1:14" x14ac:dyDescent="0.35">
      <c r="A154" t="str">
        <f t="shared" si="6"/>
        <v>18097320600_2026</v>
      </c>
      <c r="B154">
        <v>18097320600</v>
      </c>
      <c r="C154">
        <v>2026</v>
      </c>
      <c r="D154">
        <v>-1.0706019885696261</v>
      </c>
      <c r="E154">
        <v>0.45592208363630621</v>
      </c>
      <c r="F154">
        <v>-0.93324726736558439</v>
      </c>
      <c r="G154">
        <v>-0.1084563820140016</v>
      </c>
      <c r="H154">
        <v>0.33865953619679939</v>
      </c>
      <c r="I154">
        <v>0.53623821417666095</v>
      </c>
      <c r="J154">
        <v>1.5732430148861909</v>
      </c>
      <c r="K154">
        <v>6.8024787821399618E-2</v>
      </c>
      <c r="M154">
        <f t="shared" si="7"/>
        <v>0.85978199876814521</v>
      </c>
      <c r="N154">
        <f t="shared" si="8"/>
        <v>8</v>
      </c>
    </row>
    <row r="155" spans="1:14" x14ac:dyDescent="0.35">
      <c r="A155" t="str">
        <f t="shared" si="6"/>
        <v>18097320600_2027</v>
      </c>
      <c r="B155">
        <v>18097320600</v>
      </c>
      <c r="C155">
        <v>2027</v>
      </c>
      <c r="D155">
        <v>-1.0315244649439941</v>
      </c>
      <c r="E155">
        <v>0.42763476484684299</v>
      </c>
      <c r="F155">
        <v>-0.90744370803708641</v>
      </c>
      <c r="G155">
        <v>-0.14677630729521529</v>
      </c>
      <c r="H155">
        <v>0.2966786465555733</v>
      </c>
      <c r="I155">
        <v>0.47794667965255622</v>
      </c>
      <c r="J155">
        <v>1.5485872616101879</v>
      </c>
      <c r="K155">
        <v>-2.23043097379335E-2</v>
      </c>
      <c r="M155">
        <f t="shared" si="7"/>
        <v>0.64279856265093105</v>
      </c>
      <c r="N155">
        <f t="shared" si="8"/>
        <v>8</v>
      </c>
    </row>
    <row r="156" spans="1:14" x14ac:dyDescent="0.35">
      <c r="A156" t="str">
        <f t="shared" si="6"/>
        <v>18097320600_2028</v>
      </c>
      <c r="B156">
        <v>18097320600</v>
      </c>
      <c r="C156">
        <v>2028</v>
      </c>
      <c r="D156">
        <v>-0.9897691630444112</v>
      </c>
      <c r="E156">
        <v>0.40711326969590411</v>
      </c>
      <c r="F156">
        <v>-0.88805693787500295</v>
      </c>
      <c r="G156">
        <v>-0.19052213861880399</v>
      </c>
      <c r="H156">
        <v>0.27019647116427919</v>
      </c>
      <c r="I156">
        <v>0.41568625020779237</v>
      </c>
      <c r="J156">
        <v>1.5187540618903339</v>
      </c>
      <c r="K156">
        <v>-9.7835421200318046E-2</v>
      </c>
      <c r="M156">
        <f t="shared" si="7"/>
        <v>0.44556639221977334</v>
      </c>
      <c r="N156">
        <f t="shared" si="8"/>
        <v>8</v>
      </c>
    </row>
    <row r="157" spans="1:14" x14ac:dyDescent="0.35">
      <c r="A157" t="str">
        <f t="shared" si="6"/>
        <v>18097320700_2024</v>
      </c>
      <c r="B157">
        <v>18097320700</v>
      </c>
      <c r="C157">
        <v>2024</v>
      </c>
      <c r="D157">
        <v>-0.55380610491841242</v>
      </c>
      <c r="E157">
        <v>2.2526861963096279</v>
      </c>
      <c r="F157">
        <v>-0.38801469948141148</v>
      </c>
      <c r="G157">
        <v>1.9814961651455301</v>
      </c>
      <c r="H157">
        <v>0.22767633474151719</v>
      </c>
      <c r="I157">
        <v>1.3243640772562579</v>
      </c>
      <c r="J157">
        <v>1.6056816079537251</v>
      </c>
      <c r="K157">
        <v>0.26481578131516681</v>
      </c>
      <c r="M157">
        <f t="shared" si="7"/>
        <v>6.7148993583220014</v>
      </c>
      <c r="N157">
        <f t="shared" si="8"/>
        <v>8</v>
      </c>
    </row>
    <row r="158" spans="1:14" x14ac:dyDescent="0.35">
      <c r="A158" t="str">
        <f t="shared" si="6"/>
        <v>18097320700_2025</v>
      </c>
      <c r="B158">
        <v>18097320700</v>
      </c>
      <c r="C158">
        <v>2025</v>
      </c>
      <c r="D158">
        <v>-0.56443028998029354</v>
      </c>
      <c r="E158">
        <v>2.27432661083661</v>
      </c>
      <c r="F158">
        <v>-0.353604932010679</v>
      </c>
      <c r="G158">
        <v>2.0452304795948311</v>
      </c>
      <c r="H158">
        <v>-9.9028777198116192E-3</v>
      </c>
      <c r="I158">
        <v>1.274065930100835</v>
      </c>
      <c r="J158">
        <v>1.592676522938262</v>
      </c>
      <c r="K158">
        <v>0.17756495735647171</v>
      </c>
      <c r="M158">
        <f t="shared" si="7"/>
        <v>6.4359264011162249</v>
      </c>
      <c r="N158">
        <f t="shared" si="8"/>
        <v>8</v>
      </c>
    </row>
    <row r="159" spans="1:14" x14ac:dyDescent="0.35">
      <c r="A159" t="str">
        <f t="shared" si="6"/>
        <v>18097320700_2026</v>
      </c>
      <c r="B159">
        <v>18097320700</v>
      </c>
      <c r="C159">
        <v>2026</v>
      </c>
      <c r="D159">
        <v>-0.55941527416818537</v>
      </c>
      <c r="E159">
        <v>2.2793193027272158</v>
      </c>
      <c r="F159">
        <v>-0.34031681412531067</v>
      </c>
      <c r="G159">
        <v>2.0276117377176019</v>
      </c>
      <c r="H159">
        <v>-0.1358404068040972</v>
      </c>
      <c r="I159">
        <v>1.22470218058805</v>
      </c>
      <c r="J159">
        <v>1.5727449965133311</v>
      </c>
      <c r="K159">
        <v>6.9509824227749331E-2</v>
      </c>
      <c r="M159">
        <f t="shared" si="7"/>
        <v>6.1383155466763544</v>
      </c>
      <c r="N159">
        <f t="shared" si="8"/>
        <v>8</v>
      </c>
    </row>
    <row r="160" spans="1:14" x14ac:dyDescent="0.35">
      <c r="A160" t="str">
        <f t="shared" si="6"/>
        <v>18097320700_2027</v>
      </c>
      <c r="B160">
        <v>18097320700</v>
      </c>
      <c r="C160">
        <v>2027</v>
      </c>
      <c r="D160">
        <v>-0.5428014112184345</v>
      </c>
      <c r="E160">
        <v>2.2732208238709188</v>
      </c>
      <c r="F160">
        <v>-0.33625602910576202</v>
      </c>
      <c r="G160">
        <v>2.0406994247923178</v>
      </c>
      <c r="H160">
        <v>-0.22993281121557271</v>
      </c>
      <c r="I160">
        <v>1.1988145489405591</v>
      </c>
      <c r="J160">
        <v>1.5480674367165681</v>
      </c>
      <c r="K160">
        <v>-2.0799615886703541E-2</v>
      </c>
      <c r="M160">
        <f t="shared" si="7"/>
        <v>5.9310123668938912</v>
      </c>
      <c r="N160">
        <f t="shared" si="8"/>
        <v>8</v>
      </c>
    </row>
    <row r="161" spans="1:14" x14ac:dyDescent="0.35">
      <c r="A161" t="str">
        <f t="shared" si="6"/>
        <v>18097320700_2028</v>
      </c>
      <c r="B161">
        <v>18097320700</v>
      </c>
      <c r="C161">
        <v>2028</v>
      </c>
      <c r="D161">
        <v>-0.53400921031786974</v>
      </c>
      <c r="E161">
        <v>2.2710669119292022</v>
      </c>
      <c r="F161">
        <v>-0.33539543934908722</v>
      </c>
      <c r="G161">
        <v>1.9899672596474429</v>
      </c>
      <c r="H161">
        <v>-0.26867614671946438</v>
      </c>
      <c r="I161">
        <v>1.169169190935208</v>
      </c>
      <c r="J161">
        <v>1.518207637115043</v>
      </c>
      <c r="K161">
        <v>-9.640085782200318E-2</v>
      </c>
      <c r="M161">
        <f t="shared" si="7"/>
        <v>5.7139293454184719</v>
      </c>
      <c r="N161">
        <f t="shared" si="8"/>
        <v>8</v>
      </c>
    </row>
    <row r="162" spans="1:14" x14ac:dyDescent="0.35">
      <c r="A162" t="str">
        <f t="shared" si="6"/>
        <v>18097320800_2024</v>
      </c>
      <c r="B162">
        <v>18097320800</v>
      </c>
      <c r="C162">
        <v>2024</v>
      </c>
      <c r="D162">
        <v>-1.377652476020248</v>
      </c>
      <c r="E162">
        <v>2.214840165901232</v>
      </c>
      <c r="F162">
        <v>-1.445971857618978</v>
      </c>
      <c r="G162">
        <v>4.1045151997149416</v>
      </c>
      <c r="H162">
        <v>0.57779800595000563</v>
      </c>
      <c r="I162">
        <v>1.5599615886618221</v>
      </c>
      <c r="J162">
        <v>1.0552185718942979</v>
      </c>
      <c r="K162">
        <v>-2.9834825888807721</v>
      </c>
      <c r="M162">
        <f t="shared" si="7"/>
        <v>3.7052266096023008</v>
      </c>
      <c r="N162">
        <f t="shared" si="8"/>
        <v>8</v>
      </c>
    </row>
    <row r="163" spans="1:14" x14ac:dyDescent="0.35">
      <c r="A163" t="str">
        <f t="shared" si="6"/>
        <v>18097320800_2025</v>
      </c>
      <c r="B163">
        <v>18097320800</v>
      </c>
      <c r="C163">
        <v>2025</v>
      </c>
      <c r="D163">
        <v>-1.3271957101979239</v>
      </c>
      <c r="E163">
        <v>2.256406742050777</v>
      </c>
      <c r="F163">
        <v>-1.3876339173079091</v>
      </c>
      <c r="G163">
        <v>4.0847674433088992</v>
      </c>
      <c r="H163">
        <v>0.50911037793649494</v>
      </c>
      <c r="I163">
        <v>1.585211034661947</v>
      </c>
      <c r="J163">
        <v>1.0171028310524</v>
      </c>
      <c r="K163">
        <v>-2.902287285257628</v>
      </c>
      <c r="M163">
        <f t="shared" si="7"/>
        <v>3.8354815162470568</v>
      </c>
      <c r="N163">
        <f t="shared" si="8"/>
        <v>8</v>
      </c>
    </row>
    <row r="164" spans="1:14" x14ac:dyDescent="0.35">
      <c r="A164" t="str">
        <f t="shared" si="6"/>
        <v>18097320800_2026</v>
      </c>
      <c r="B164">
        <v>18097320800</v>
      </c>
      <c r="C164">
        <v>2026</v>
      </c>
      <c r="D164">
        <v>-1.2813804902408199</v>
      </c>
      <c r="E164">
        <v>2.1570312159599978</v>
      </c>
      <c r="F164">
        <v>-1.311160741837359</v>
      </c>
      <c r="G164">
        <v>3.9234313263327438</v>
      </c>
      <c r="H164">
        <v>0.46840598611720152</v>
      </c>
      <c r="I164">
        <v>1.5867757476711639</v>
      </c>
      <c r="J164">
        <v>0.97492170536972056</v>
      </c>
      <c r="K164">
        <v>-2.694243462512766</v>
      </c>
      <c r="M164">
        <f t="shared" si="7"/>
        <v>3.8237812868598819</v>
      </c>
      <c r="N164">
        <f t="shared" si="8"/>
        <v>8</v>
      </c>
    </row>
    <row r="165" spans="1:14" x14ac:dyDescent="0.35">
      <c r="A165" t="str">
        <f t="shared" si="6"/>
        <v>18097320800_2027</v>
      </c>
      <c r="B165">
        <v>18097320800</v>
      </c>
      <c r="C165">
        <v>2027</v>
      </c>
      <c r="D165">
        <v>-1.212212203308997</v>
      </c>
      <c r="E165">
        <v>2.178668812291308</v>
      </c>
      <c r="F165">
        <v>-1.222760849130184</v>
      </c>
      <c r="G165">
        <v>3.821254929832814</v>
      </c>
      <c r="H165">
        <v>0.41966886103917428</v>
      </c>
      <c r="I165">
        <v>1.600215483818296</v>
      </c>
      <c r="J165">
        <v>0.92521334271203115</v>
      </c>
      <c r="K165">
        <v>-2.4438386039707409</v>
      </c>
      <c r="M165">
        <f t="shared" si="7"/>
        <v>4.0662097732837026</v>
      </c>
      <c r="N165">
        <f t="shared" si="8"/>
        <v>8</v>
      </c>
    </row>
    <row r="166" spans="1:14" x14ac:dyDescent="0.35">
      <c r="A166" t="str">
        <f t="shared" si="6"/>
        <v>18097320800_2028</v>
      </c>
      <c r="B166">
        <v>18097320800</v>
      </c>
      <c r="C166">
        <v>2028</v>
      </c>
      <c r="D166">
        <v>-1.1439178817734761</v>
      </c>
      <c r="E166">
        <v>2.0837730522436821</v>
      </c>
      <c r="F166">
        <v>-1.153797849914451</v>
      </c>
      <c r="G166">
        <v>3.6170233887713401</v>
      </c>
      <c r="H166">
        <v>0.38478607089152123</v>
      </c>
      <c r="I166">
        <v>1.5986282580593161</v>
      </c>
      <c r="J166">
        <v>0.86516317464767623</v>
      </c>
      <c r="K166">
        <v>-2.1522835649521799</v>
      </c>
      <c r="M166">
        <f t="shared" si="7"/>
        <v>4.0993746479734288</v>
      </c>
      <c r="N166">
        <f t="shared" si="8"/>
        <v>8</v>
      </c>
    </row>
    <row r="167" spans="1:14" x14ac:dyDescent="0.35">
      <c r="A167" t="str">
        <f t="shared" si="6"/>
        <v>18097320901_2024</v>
      </c>
      <c r="B167">
        <v>18097320901</v>
      </c>
      <c r="C167">
        <v>2024</v>
      </c>
      <c r="D167">
        <v>-0.26852189629344192</v>
      </c>
      <c r="E167">
        <v>0.63146686457316725</v>
      </c>
      <c r="F167">
        <v>-0.26355472463932239</v>
      </c>
      <c r="G167">
        <v>0.67534946820876696</v>
      </c>
      <c r="H167">
        <v>1.094317817029264</v>
      </c>
      <c r="I167">
        <v>-2.5393067074279081E-2</v>
      </c>
      <c r="J167">
        <v>1.0036430697461181</v>
      </c>
      <c r="M167">
        <f t="shared" si="7"/>
        <v>2.8473075315502729</v>
      </c>
      <c r="N167">
        <f t="shared" si="8"/>
        <v>7</v>
      </c>
    </row>
    <row r="168" spans="1:14" x14ac:dyDescent="0.35">
      <c r="A168" t="str">
        <f t="shared" si="6"/>
        <v>18097320901_2025</v>
      </c>
      <c r="B168">
        <v>18097320901</v>
      </c>
      <c r="C168">
        <v>2025</v>
      </c>
      <c r="D168">
        <v>-0.1359092522756076</v>
      </c>
      <c r="E168">
        <v>0.45236628395407291</v>
      </c>
      <c r="F168">
        <v>-0.28411260348111061</v>
      </c>
      <c r="G168">
        <v>0.70969809843309695</v>
      </c>
      <c r="H168">
        <v>1.054535398578073</v>
      </c>
      <c r="I168">
        <v>-2.8523274533395891E-2</v>
      </c>
      <c r="J168">
        <v>0.96347886897857238</v>
      </c>
      <c r="M168">
        <f t="shared" si="7"/>
        <v>2.7315335196537012</v>
      </c>
      <c r="N168">
        <f t="shared" si="8"/>
        <v>7</v>
      </c>
    </row>
    <row r="169" spans="1:14" x14ac:dyDescent="0.35">
      <c r="A169" t="str">
        <f t="shared" si="6"/>
        <v>18097320901_2026</v>
      </c>
      <c r="B169">
        <v>18097320901</v>
      </c>
      <c r="C169">
        <v>2026</v>
      </c>
      <c r="D169">
        <v>-0.1117775388805325</v>
      </c>
      <c r="E169">
        <v>0.31112715061731833</v>
      </c>
      <c r="F169">
        <v>-0.26391383832686799</v>
      </c>
      <c r="G169">
        <v>0.70614122712466587</v>
      </c>
      <c r="H169">
        <v>0.95808664336093075</v>
      </c>
      <c r="I169">
        <v>-3.2151737427325897E-2</v>
      </c>
      <c r="J169">
        <v>0.9194068578436152</v>
      </c>
      <c r="M169">
        <f t="shared" si="7"/>
        <v>2.4869187643118038</v>
      </c>
      <c r="N169">
        <f t="shared" si="8"/>
        <v>7</v>
      </c>
    </row>
    <row r="170" spans="1:14" x14ac:dyDescent="0.35">
      <c r="A170" t="str">
        <f t="shared" si="6"/>
        <v>18097320901_2027</v>
      </c>
      <c r="B170">
        <v>18097320901</v>
      </c>
      <c r="C170">
        <v>2027</v>
      </c>
      <c r="D170">
        <v>-2.277787394197265E-2</v>
      </c>
      <c r="E170">
        <v>0.18262263429697709</v>
      </c>
      <c r="F170">
        <v>-0.26083027192198849</v>
      </c>
      <c r="G170">
        <v>0.71780261144754287</v>
      </c>
      <c r="H170">
        <v>0.88627609834626087</v>
      </c>
      <c r="I170">
        <v>-3.2748924799556073E-2</v>
      </c>
      <c r="J170">
        <v>0.86763176787054386</v>
      </c>
      <c r="M170">
        <f t="shared" si="7"/>
        <v>2.3379760412978072</v>
      </c>
      <c r="N170">
        <f t="shared" si="8"/>
        <v>7</v>
      </c>
    </row>
    <row r="171" spans="1:14" x14ac:dyDescent="0.35">
      <c r="A171" t="str">
        <f t="shared" si="6"/>
        <v>18097320901_2028</v>
      </c>
      <c r="B171">
        <v>18097320901</v>
      </c>
      <c r="C171">
        <v>2028</v>
      </c>
      <c r="D171">
        <v>1.7484361858711901E-2</v>
      </c>
      <c r="E171">
        <v>7.6718417605709521E-2</v>
      </c>
      <c r="F171">
        <v>-0.25234219528774332</v>
      </c>
      <c r="G171">
        <v>0.69944261935304197</v>
      </c>
      <c r="H171">
        <v>0.80938575469072938</v>
      </c>
      <c r="I171">
        <v>-3.4979636437476508E-2</v>
      </c>
      <c r="J171">
        <v>0.80511897749400718</v>
      </c>
      <c r="M171">
        <f t="shared" si="7"/>
        <v>2.12082829927698</v>
      </c>
      <c r="N171">
        <f t="shared" si="8"/>
        <v>7</v>
      </c>
    </row>
    <row r="172" spans="1:14" x14ac:dyDescent="0.35">
      <c r="A172" t="str">
        <f t="shared" si="6"/>
        <v>18097320902_2024</v>
      </c>
      <c r="B172">
        <v>18097320902</v>
      </c>
      <c r="C172">
        <v>2024</v>
      </c>
      <c r="D172">
        <v>-0.62604632662994686</v>
      </c>
      <c r="E172">
        <v>-0.3335973980441499</v>
      </c>
      <c r="F172">
        <v>0.94391742831622838</v>
      </c>
      <c r="G172">
        <v>-0.60578987903768655</v>
      </c>
      <c r="H172">
        <v>-3.7837437340759138E-2</v>
      </c>
      <c r="I172">
        <v>-1.023761942261602</v>
      </c>
      <c r="J172">
        <v>1.0036430697461181</v>
      </c>
      <c r="M172">
        <f t="shared" si="7"/>
        <v>-0.67947248525179793</v>
      </c>
      <c r="N172">
        <f t="shared" si="8"/>
        <v>7</v>
      </c>
    </row>
    <row r="173" spans="1:14" x14ac:dyDescent="0.35">
      <c r="A173" t="str">
        <f t="shared" si="6"/>
        <v>18097320902_2025</v>
      </c>
      <c r="B173">
        <v>18097320902</v>
      </c>
      <c r="C173">
        <v>2025</v>
      </c>
      <c r="D173">
        <v>-0.51793052570573694</v>
      </c>
      <c r="E173">
        <v>-0.37615550313253809</v>
      </c>
      <c r="F173">
        <v>0.84110045129801703</v>
      </c>
      <c r="G173">
        <v>-0.63149525602954282</v>
      </c>
      <c r="H173">
        <v>4.9917890516267098E-2</v>
      </c>
      <c r="I173">
        <v>-1.006528850226021</v>
      </c>
      <c r="J173">
        <v>0.96347886897857238</v>
      </c>
      <c r="M173">
        <f t="shared" si="7"/>
        <v>-0.67761292430098241</v>
      </c>
      <c r="N173">
        <f t="shared" si="8"/>
        <v>7</v>
      </c>
    </row>
    <row r="174" spans="1:14" x14ac:dyDescent="0.35">
      <c r="A174" t="str">
        <f t="shared" si="6"/>
        <v>18097320902_2026</v>
      </c>
      <c r="B174">
        <v>18097320902</v>
      </c>
      <c r="C174">
        <v>2026</v>
      </c>
      <c r="D174">
        <v>-0.48611192898485539</v>
      </c>
      <c r="E174">
        <v>-0.41083948680940702</v>
      </c>
      <c r="F174">
        <v>0.72981898383788801</v>
      </c>
      <c r="G174">
        <v>-0.65073601741830422</v>
      </c>
      <c r="H174">
        <v>5.9258247730219843E-2</v>
      </c>
      <c r="I174">
        <v>-0.96476955943670761</v>
      </c>
      <c r="J174">
        <v>0.9194068578436152</v>
      </c>
      <c r="M174">
        <f t="shared" si="7"/>
        <v>-0.80397290323755133</v>
      </c>
      <c r="N174">
        <f t="shared" si="8"/>
        <v>7</v>
      </c>
    </row>
    <row r="175" spans="1:14" x14ac:dyDescent="0.35">
      <c r="A175" t="str">
        <f t="shared" si="6"/>
        <v>18097320902_2027</v>
      </c>
      <c r="B175">
        <v>18097320902</v>
      </c>
      <c r="C175">
        <v>2027</v>
      </c>
      <c r="D175">
        <v>-0.40239258113765392</v>
      </c>
      <c r="E175">
        <v>-0.44560768609657359</v>
      </c>
      <c r="F175">
        <v>0.61326739298629218</v>
      </c>
      <c r="G175">
        <v>-0.66722480086471647</v>
      </c>
      <c r="H175">
        <v>9.6551923204498805E-2</v>
      </c>
      <c r="I175">
        <v>-0.93321638750465519</v>
      </c>
      <c r="J175">
        <v>0.86763176787054386</v>
      </c>
      <c r="M175">
        <f t="shared" si="7"/>
        <v>-0.87099037154226444</v>
      </c>
      <c r="N175">
        <f t="shared" si="8"/>
        <v>7</v>
      </c>
    </row>
    <row r="176" spans="1:14" x14ac:dyDescent="0.35">
      <c r="A176" t="str">
        <f t="shared" si="6"/>
        <v>18097320902_2028</v>
      </c>
      <c r="B176">
        <v>18097320902</v>
      </c>
      <c r="C176">
        <v>2028</v>
      </c>
      <c r="D176">
        <v>-0.35223540936176051</v>
      </c>
      <c r="E176">
        <v>-0.47387756993045782</v>
      </c>
      <c r="F176">
        <v>0.52361501007763878</v>
      </c>
      <c r="G176">
        <v>-0.67467173867421049</v>
      </c>
      <c r="H176">
        <v>0.12143857838354841</v>
      </c>
      <c r="I176">
        <v>-0.89238573027177492</v>
      </c>
      <c r="J176">
        <v>0.80511897749400718</v>
      </c>
      <c r="M176">
        <f t="shared" si="7"/>
        <v>-0.94299788228300951</v>
      </c>
      <c r="N176">
        <f t="shared" si="8"/>
        <v>7</v>
      </c>
    </row>
    <row r="177" spans="1:14" x14ac:dyDescent="0.35">
      <c r="A177" t="str">
        <f t="shared" si="6"/>
        <v>18097320903_2024</v>
      </c>
      <c r="B177">
        <v>18097320903</v>
      </c>
      <c r="C177">
        <v>2024</v>
      </c>
      <c r="D177">
        <v>-0.68423168907448362</v>
      </c>
      <c r="E177">
        <v>-0.35362831091690161</v>
      </c>
      <c r="F177">
        <v>0.99019472087302962</v>
      </c>
      <c r="G177">
        <v>-0.77883767508581692</v>
      </c>
      <c r="H177">
        <v>-0.30418273178891642</v>
      </c>
      <c r="I177">
        <v>-1.290913977870189</v>
      </c>
      <c r="J177">
        <v>1.001688096340968</v>
      </c>
      <c r="K177">
        <v>-3.299574964358575</v>
      </c>
      <c r="M177">
        <f t="shared" si="7"/>
        <v>-4.719486531880885</v>
      </c>
      <c r="N177">
        <f t="shared" si="8"/>
        <v>8</v>
      </c>
    </row>
    <row r="178" spans="1:14" x14ac:dyDescent="0.35">
      <c r="A178" t="str">
        <f t="shared" si="6"/>
        <v>18097320903_2025</v>
      </c>
      <c r="B178">
        <v>18097320903</v>
      </c>
      <c r="C178">
        <v>2025</v>
      </c>
      <c r="D178">
        <v>-0.58002738185607272</v>
      </c>
      <c r="E178">
        <v>-0.35068125286946938</v>
      </c>
      <c r="F178">
        <v>0.92620413259542522</v>
      </c>
      <c r="G178">
        <v>-0.80277260385312432</v>
      </c>
      <c r="H178">
        <v>-0.45332203185984049</v>
      </c>
      <c r="I178">
        <v>-1.0380215416222109</v>
      </c>
      <c r="J178">
        <v>0.96159915816914043</v>
      </c>
      <c r="K178">
        <v>-3.2054658323421692</v>
      </c>
      <c r="M178">
        <f t="shared" si="7"/>
        <v>-4.5424873536383217</v>
      </c>
      <c r="N178">
        <f t="shared" si="8"/>
        <v>8</v>
      </c>
    </row>
    <row r="179" spans="1:14" x14ac:dyDescent="0.35">
      <c r="A179" t="str">
        <f t="shared" si="6"/>
        <v>18097320903_2026</v>
      </c>
      <c r="B179">
        <v>18097320903</v>
      </c>
      <c r="C179">
        <v>2026</v>
      </c>
      <c r="D179">
        <v>-0.54686269565159917</v>
      </c>
      <c r="E179">
        <v>-0.26560155238971439</v>
      </c>
      <c r="F179">
        <v>0.84054866738823975</v>
      </c>
      <c r="G179">
        <v>-0.81643253748398281</v>
      </c>
      <c r="H179">
        <v>-0.39121193290080769</v>
      </c>
      <c r="I179">
        <v>-1.031245976587543</v>
      </c>
      <c r="J179">
        <v>0.9175935898192904</v>
      </c>
      <c r="K179">
        <v>-2.9685872768370571</v>
      </c>
      <c r="M179">
        <f t="shared" si="7"/>
        <v>-4.2617997146431748</v>
      </c>
      <c r="N179">
        <f t="shared" si="8"/>
        <v>8</v>
      </c>
    </row>
    <row r="180" spans="1:14" x14ac:dyDescent="0.35">
      <c r="A180" t="str">
        <f t="shared" si="6"/>
        <v>18097320903_2027</v>
      </c>
      <c r="B180">
        <v>18097320903</v>
      </c>
      <c r="C180">
        <v>2027</v>
      </c>
      <c r="D180">
        <v>-0.46390729795084401</v>
      </c>
      <c r="E180">
        <v>-0.22992710496437821</v>
      </c>
      <c r="F180">
        <v>0.74064933710286252</v>
      </c>
      <c r="G180">
        <v>-0.82869385551973884</v>
      </c>
      <c r="H180">
        <v>-0.455773349742916</v>
      </c>
      <c r="I180">
        <v>-0.81700452458121442</v>
      </c>
      <c r="J180">
        <v>0.86588223706598666</v>
      </c>
      <c r="K180">
        <v>-2.6859033468701279</v>
      </c>
      <c r="M180">
        <f t="shared" si="7"/>
        <v>-3.8746779054603699</v>
      </c>
      <c r="N180">
        <f t="shared" si="8"/>
        <v>8</v>
      </c>
    </row>
    <row r="181" spans="1:14" x14ac:dyDescent="0.35">
      <c r="A181" t="str">
        <f t="shared" si="6"/>
        <v>18097320903_2028</v>
      </c>
      <c r="B181">
        <v>18097320903</v>
      </c>
      <c r="C181">
        <v>2028</v>
      </c>
      <c r="D181">
        <v>-0.41205515934474263</v>
      </c>
      <c r="E181">
        <v>-0.168367120428284</v>
      </c>
      <c r="F181">
        <v>0.66508449536271541</v>
      </c>
      <c r="G181">
        <v>-0.82787705163555592</v>
      </c>
      <c r="H181">
        <v>-0.42463827100241569</v>
      </c>
      <c r="I181">
        <v>-0.7785370635558585</v>
      </c>
      <c r="J181">
        <v>0.80343453476561288</v>
      </c>
      <c r="K181">
        <v>-2.3587344895968521</v>
      </c>
      <c r="M181">
        <f t="shared" si="7"/>
        <v>-3.5016901254353803</v>
      </c>
      <c r="N181">
        <f t="shared" si="8"/>
        <v>8</v>
      </c>
    </row>
    <row r="182" spans="1:14" x14ac:dyDescent="0.35">
      <c r="A182" t="str">
        <f t="shared" si="6"/>
        <v>18097321001_2024</v>
      </c>
      <c r="B182">
        <v>18097321001</v>
      </c>
      <c r="C182">
        <v>2024</v>
      </c>
      <c r="D182">
        <v>-0.60379653746806017</v>
      </c>
      <c r="E182">
        <v>-0.79604375907081004</v>
      </c>
      <c r="F182">
        <v>-0.90135925247907023</v>
      </c>
      <c r="G182">
        <v>0.40894040431402601</v>
      </c>
      <c r="H182">
        <v>1.200762062099753</v>
      </c>
      <c r="I182">
        <v>-0.80906358497933362</v>
      </c>
      <c r="J182">
        <v>0.53271860429616802</v>
      </c>
      <c r="K182">
        <v>-3.2808762464362089</v>
      </c>
      <c r="M182">
        <f t="shared" si="7"/>
        <v>-4.2487183097235359</v>
      </c>
      <c r="N182">
        <f t="shared" si="8"/>
        <v>8</v>
      </c>
    </row>
    <row r="183" spans="1:14" x14ac:dyDescent="0.35">
      <c r="A183" t="str">
        <f t="shared" si="6"/>
        <v>18097321001_2025</v>
      </c>
      <c r="B183">
        <v>18097321001</v>
      </c>
      <c r="C183">
        <v>2025</v>
      </c>
      <c r="D183">
        <v>-0.55633239109824151</v>
      </c>
      <c r="E183">
        <v>-0.86626553135164763</v>
      </c>
      <c r="F183">
        <v>-0.86649770163924966</v>
      </c>
      <c r="G183">
        <v>0.48126823675301311</v>
      </c>
      <c r="H183">
        <v>1.226037876772013</v>
      </c>
      <c r="I183">
        <v>-0.80999375388495798</v>
      </c>
      <c r="J183">
        <v>0.54452683112941791</v>
      </c>
      <c r="K183">
        <v>-3.1873008654736861</v>
      </c>
      <c r="M183">
        <f t="shared" si="7"/>
        <v>-4.0345572987933389</v>
      </c>
      <c r="N183">
        <f t="shared" si="8"/>
        <v>8</v>
      </c>
    </row>
    <row r="184" spans="1:14" x14ac:dyDescent="0.35">
      <c r="A184" t="str">
        <f t="shared" si="6"/>
        <v>18097321001_2026</v>
      </c>
      <c r="B184">
        <v>18097321001</v>
      </c>
      <c r="C184">
        <v>2026</v>
      </c>
      <c r="D184">
        <v>-0.5453023729009252</v>
      </c>
      <c r="E184">
        <v>-0.91061159606050279</v>
      </c>
      <c r="F184">
        <v>-0.81367820715204386</v>
      </c>
      <c r="G184">
        <v>0.52204296921036009</v>
      </c>
      <c r="H184">
        <v>1.2387588756791239</v>
      </c>
      <c r="I184">
        <v>-0.80818961732898953</v>
      </c>
      <c r="J184">
        <v>0.54996132489774319</v>
      </c>
      <c r="K184">
        <v>-2.9518857406086698</v>
      </c>
      <c r="M184">
        <f t="shared" si="7"/>
        <v>-3.7189043642639037</v>
      </c>
      <c r="N184">
        <f t="shared" si="8"/>
        <v>8</v>
      </c>
    </row>
    <row r="185" spans="1:14" x14ac:dyDescent="0.35">
      <c r="A185" t="str">
        <f t="shared" si="6"/>
        <v>18097321001_2027</v>
      </c>
      <c r="B185">
        <v>18097321001</v>
      </c>
      <c r="C185">
        <v>2027</v>
      </c>
      <c r="D185">
        <v>-0.50076568746584138</v>
      </c>
      <c r="E185">
        <v>-0.93941012641941901</v>
      </c>
      <c r="F185">
        <v>-0.75875596512131249</v>
      </c>
      <c r="G185">
        <v>0.57443432394513305</v>
      </c>
      <c r="H185">
        <v>1.2409394519754451</v>
      </c>
      <c r="I185">
        <v>-0.8044320679432132</v>
      </c>
      <c r="J185">
        <v>0.55131984356695829</v>
      </c>
      <c r="K185">
        <v>-2.6709039396844481</v>
      </c>
      <c r="M185">
        <f t="shared" si="7"/>
        <v>-3.3075741671466976</v>
      </c>
      <c r="N185">
        <f t="shared" si="8"/>
        <v>8</v>
      </c>
    </row>
    <row r="186" spans="1:14" x14ac:dyDescent="0.35">
      <c r="A186" t="str">
        <f t="shared" si="6"/>
        <v>18097321001_2028</v>
      </c>
      <c r="B186">
        <v>18097321001</v>
      </c>
      <c r="C186">
        <v>2028</v>
      </c>
      <c r="D186">
        <v>-0.47750316469658338</v>
      </c>
      <c r="E186">
        <v>-0.95717861303389884</v>
      </c>
      <c r="F186">
        <v>-0.71398823560723557</v>
      </c>
      <c r="G186">
        <v>0.59853533526858183</v>
      </c>
      <c r="H186">
        <v>1.1513900059464439</v>
      </c>
      <c r="I186">
        <v>-0.79678990619317425</v>
      </c>
      <c r="J186">
        <v>0.54892160235522092</v>
      </c>
      <c r="K186">
        <v>-2.3456989743295491</v>
      </c>
      <c r="M186">
        <f t="shared" si="7"/>
        <v>-2.9923119502901945</v>
      </c>
      <c r="N186">
        <f t="shared" si="8"/>
        <v>8</v>
      </c>
    </row>
    <row r="187" spans="1:14" x14ac:dyDescent="0.35">
      <c r="A187" t="str">
        <f t="shared" si="6"/>
        <v>18097321002_2024</v>
      </c>
      <c r="B187">
        <v>18097321002</v>
      </c>
      <c r="C187">
        <v>2024</v>
      </c>
      <c r="D187">
        <v>0.38084760818108992</v>
      </c>
      <c r="E187">
        <v>1.0862957481069691</v>
      </c>
      <c r="F187">
        <v>-0.88944678010429457</v>
      </c>
      <c r="G187">
        <v>1.1975333313642289</v>
      </c>
      <c r="H187">
        <v>0.55021648973232329</v>
      </c>
      <c r="I187">
        <v>0.51894087936297018</v>
      </c>
      <c r="J187">
        <v>0.52783698533719348</v>
      </c>
      <c r="K187">
        <v>-3.3094246539333709</v>
      </c>
      <c r="M187">
        <f t="shared" si="7"/>
        <v>6.2799608047109157E-2</v>
      </c>
      <c r="N187">
        <f t="shared" si="8"/>
        <v>8</v>
      </c>
    </row>
    <row r="188" spans="1:14" x14ac:dyDescent="0.35">
      <c r="A188" t="str">
        <f t="shared" si="6"/>
        <v>18097321002_2025</v>
      </c>
      <c r="B188">
        <v>18097321002</v>
      </c>
      <c r="C188">
        <v>2025</v>
      </c>
      <c r="D188">
        <v>0.44045456917524378</v>
      </c>
      <c r="E188">
        <v>1.1707510555942251</v>
      </c>
      <c r="F188">
        <v>-0.89097591998714187</v>
      </c>
      <c r="G188">
        <v>1.2490126803758519</v>
      </c>
      <c r="H188">
        <v>0.53430246319409247</v>
      </c>
      <c r="I188">
        <v>0.65089529066391449</v>
      </c>
      <c r="J188">
        <v>0.54057022120451304</v>
      </c>
      <c r="K188">
        <v>-3.2150364164743732</v>
      </c>
      <c r="M188">
        <f t="shared" si="7"/>
        <v>0.47997394374632574</v>
      </c>
      <c r="N188">
        <f t="shared" si="8"/>
        <v>8</v>
      </c>
    </row>
    <row r="189" spans="1:14" x14ac:dyDescent="0.35">
      <c r="A189" t="str">
        <f t="shared" si="6"/>
        <v>18097321002_2026</v>
      </c>
      <c r="B189">
        <v>18097321002</v>
      </c>
      <c r="C189">
        <v>2026</v>
      </c>
      <c r="D189">
        <v>0.41177453922529539</v>
      </c>
      <c r="E189">
        <v>1.1218916947057229</v>
      </c>
      <c r="F189">
        <v>-0.87713193344393514</v>
      </c>
      <c r="G189">
        <v>1.24501431498044</v>
      </c>
      <c r="H189">
        <v>0.53173426042892136</v>
      </c>
      <c r="I189">
        <v>0.76234529717987465</v>
      </c>
      <c r="J189">
        <v>0.54694296670850084</v>
      </c>
      <c r="K189">
        <v>-2.9773899426673349</v>
      </c>
      <c r="M189">
        <f t="shared" si="7"/>
        <v>0.76518119711748511</v>
      </c>
      <c r="N189">
        <f t="shared" si="8"/>
        <v>8</v>
      </c>
    </row>
    <row r="190" spans="1:14" x14ac:dyDescent="0.35">
      <c r="A190" t="str">
        <f t="shared" si="6"/>
        <v>18097321002_2027</v>
      </c>
      <c r="B190">
        <v>18097321002</v>
      </c>
      <c r="C190">
        <v>2027</v>
      </c>
      <c r="D190">
        <v>0.4350338121625818</v>
      </c>
      <c r="E190">
        <v>1.1277175992033039</v>
      </c>
      <c r="F190">
        <v>-0.85129364752549297</v>
      </c>
      <c r="G190">
        <v>1.2623682220762811</v>
      </c>
      <c r="H190">
        <v>0.51507893110018932</v>
      </c>
      <c r="I190">
        <v>0.87757194857249798</v>
      </c>
      <c r="J190">
        <v>0.54936666730320405</v>
      </c>
      <c r="K190">
        <v>-2.6938122619697058</v>
      </c>
      <c r="M190">
        <f t="shared" si="7"/>
        <v>1.2220312709228596</v>
      </c>
      <c r="N190">
        <f t="shared" si="8"/>
        <v>8</v>
      </c>
    </row>
    <row r="191" spans="1:14" x14ac:dyDescent="0.35">
      <c r="A191" t="str">
        <f t="shared" si="6"/>
        <v>18097321002_2028</v>
      </c>
      <c r="B191">
        <v>18097321002</v>
      </c>
      <c r="C191">
        <v>2028</v>
      </c>
      <c r="D191">
        <v>0.40745814261404528</v>
      </c>
      <c r="E191">
        <v>1.108657359495905</v>
      </c>
      <c r="F191">
        <v>-0.831670167132744</v>
      </c>
      <c r="G191">
        <v>1.2354908073359021</v>
      </c>
      <c r="H191">
        <v>0.50579985131301064</v>
      </c>
      <c r="I191">
        <v>0.97901623820439443</v>
      </c>
      <c r="J191">
        <v>0.54821632671499154</v>
      </c>
      <c r="K191">
        <v>-2.3656111318244681</v>
      </c>
      <c r="M191">
        <f t="shared" si="7"/>
        <v>1.5873574267210371</v>
      </c>
      <c r="N191">
        <f t="shared" si="8"/>
        <v>8</v>
      </c>
    </row>
    <row r="192" spans="1:14" x14ac:dyDescent="0.35">
      <c r="A192" t="str">
        <f t="shared" si="6"/>
        <v>18097321100_2024</v>
      </c>
      <c r="B192">
        <v>18097321100</v>
      </c>
      <c r="C192">
        <v>2024</v>
      </c>
      <c r="D192">
        <v>0.10831260062074401</v>
      </c>
      <c r="E192">
        <v>0.92790318197909283</v>
      </c>
      <c r="F192">
        <v>-1.006033828332686</v>
      </c>
      <c r="G192">
        <v>0.85039250796729104</v>
      </c>
      <c r="H192">
        <v>0.36102487434420971</v>
      </c>
      <c r="I192">
        <v>0.4078437717368627</v>
      </c>
      <c r="J192">
        <v>0.41892257766955859</v>
      </c>
      <c r="K192">
        <v>-2.937140325657063</v>
      </c>
      <c r="M192">
        <f t="shared" si="7"/>
        <v>-0.8687746396719902</v>
      </c>
      <c r="N192">
        <f t="shared" si="8"/>
        <v>8</v>
      </c>
    </row>
    <row r="193" spans="1:14" x14ac:dyDescent="0.35">
      <c r="A193" t="str">
        <f t="shared" si="6"/>
        <v>18097321100_2025</v>
      </c>
      <c r="B193">
        <v>18097321100</v>
      </c>
      <c r="C193">
        <v>2025</v>
      </c>
      <c r="D193">
        <v>0.1677948303865705</v>
      </c>
      <c r="E193">
        <v>0.88341016302500208</v>
      </c>
      <c r="F193">
        <v>-1.0246221043725949</v>
      </c>
      <c r="G193">
        <v>0.85148558370602856</v>
      </c>
      <c r="H193">
        <v>0.24573732716681709</v>
      </c>
      <c r="I193">
        <v>0.50060906968719687</v>
      </c>
      <c r="J193">
        <v>0.42894231189708648</v>
      </c>
      <c r="K193">
        <v>-2.8428763995793092</v>
      </c>
      <c r="M193">
        <f t="shared" si="7"/>
        <v>-0.78951921808320247</v>
      </c>
      <c r="N193">
        <f t="shared" si="8"/>
        <v>8</v>
      </c>
    </row>
    <row r="194" spans="1:14" x14ac:dyDescent="0.35">
      <c r="A194" t="str">
        <f t="shared" si="6"/>
        <v>18097321100_2026</v>
      </c>
      <c r="B194">
        <v>18097321100</v>
      </c>
      <c r="C194">
        <v>2026</v>
      </c>
      <c r="D194">
        <v>0.12830006090507651</v>
      </c>
      <c r="E194">
        <v>0.85206017866889472</v>
      </c>
      <c r="F194">
        <v>-0.98148126176979444</v>
      </c>
      <c r="G194">
        <v>0.80876506329721498</v>
      </c>
      <c r="H194">
        <v>0.2390684741494698</v>
      </c>
      <c r="I194">
        <v>0.57269133785712578</v>
      </c>
      <c r="J194">
        <v>0.43314753310458382</v>
      </c>
      <c r="K194">
        <v>-2.626812238369979</v>
      </c>
      <c r="M194">
        <f t="shared" si="7"/>
        <v>-0.57426085215740752</v>
      </c>
      <c r="N194">
        <f t="shared" si="8"/>
        <v>8</v>
      </c>
    </row>
    <row r="195" spans="1:14" x14ac:dyDescent="0.35">
      <c r="A195" t="str">
        <f t="shared" ref="A195:A258" si="9">TEXT(B195,0)&amp;"_"&amp;TEXT(C195,0)</f>
        <v>18097321100_2027</v>
      </c>
      <c r="B195">
        <v>18097321100</v>
      </c>
      <c r="C195">
        <v>2027</v>
      </c>
      <c r="D195">
        <v>0.1473740292797889</v>
      </c>
      <c r="E195">
        <v>0.80935543478290473</v>
      </c>
      <c r="F195">
        <v>-0.94509176659930605</v>
      </c>
      <c r="G195">
        <v>0.78413851872320139</v>
      </c>
      <c r="H195">
        <v>0.1542520559212337</v>
      </c>
      <c r="I195">
        <v>0.6475411532060128</v>
      </c>
      <c r="J195">
        <v>0.43308431627866611</v>
      </c>
      <c r="K195">
        <v>-2.372354902582964</v>
      </c>
      <c r="M195">
        <f t="shared" ref="M195:M258" si="10">SUM(D195:K195)</f>
        <v>-0.34170116099046233</v>
      </c>
      <c r="N195">
        <f t="shared" ref="N195:N258" si="11">IF(D195=0,0,1)+IF(E195=0,0,1)+IF(F195=0,0,1)+IF(G195=0,0,1)+IF(H195=0,0,1)+IF(I195=0,0,1)++IF(J195=0,0,1)++IF(K195=0,0,1)</f>
        <v>8</v>
      </c>
    </row>
    <row r="196" spans="1:14" x14ac:dyDescent="0.35">
      <c r="A196" t="str">
        <f t="shared" si="9"/>
        <v>18097321100_2028</v>
      </c>
      <c r="B196">
        <v>18097321100</v>
      </c>
      <c r="C196">
        <v>2028</v>
      </c>
      <c r="D196">
        <v>0.1212069238546496</v>
      </c>
      <c r="E196">
        <v>0.77591912241835936</v>
      </c>
      <c r="F196">
        <v>-0.9110190490275446</v>
      </c>
      <c r="G196">
        <v>0.73026853213816034</v>
      </c>
      <c r="H196">
        <v>0.14223945930804219</v>
      </c>
      <c r="I196">
        <v>0.71164694782333904</v>
      </c>
      <c r="J196">
        <v>0.42892162340989581</v>
      </c>
      <c r="K196">
        <v>-2.0812487485800641</v>
      </c>
      <c r="M196">
        <f t="shared" si="10"/>
        <v>-8.2065188655162435E-2</v>
      </c>
      <c r="N196">
        <f t="shared" si="11"/>
        <v>8</v>
      </c>
    </row>
    <row r="197" spans="1:14" x14ac:dyDescent="0.35">
      <c r="A197" t="str">
        <f t="shared" si="9"/>
        <v>18097321200_2024</v>
      </c>
      <c r="B197">
        <v>18097321200</v>
      </c>
      <c r="C197">
        <v>2024</v>
      </c>
      <c r="D197">
        <v>0.4022690583206992</v>
      </c>
      <c r="E197">
        <v>2.0711560233399728</v>
      </c>
      <c r="F197">
        <v>-1.0041529655621539</v>
      </c>
      <c r="G197">
        <v>2.200102806696921</v>
      </c>
      <c r="H197">
        <v>0.38580439416572138</v>
      </c>
      <c r="I197">
        <v>1.481984103449475</v>
      </c>
      <c r="J197">
        <v>1.2550640892502249</v>
      </c>
      <c r="M197">
        <f t="shared" si="10"/>
        <v>6.7922275096608606</v>
      </c>
      <c r="N197">
        <f t="shared" si="11"/>
        <v>7</v>
      </c>
    </row>
    <row r="198" spans="1:14" x14ac:dyDescent="0.35">
      <c r="A198" t="str">
        <f t="shared" si="9"/>
        <v>18097321200_2025</v>
      </c>
      <c r="B198">
        <v>18097321200</v>
      </c>
      <c r="C198">
        <v>2025</v>
      </c>
      <c r="D198">
        <v>0.38557687359507992</v>
      </c>
      <c r="E198">
        <v>1.9807019749466901</v>
      </c>
      <c r="F198">
        <v>-0.92044732067009116</v>
      </c>
      <c r="G198">
        <v>2.062798116006253</v>
      </c>
      <c r="H198">
        <v>0.2479314615054227</v>
      </c>
      <c r="I198">
        <v>1.482572555249543</v>
      </c>
      <c r="J198">
        <v>1.2415963922939</v>
      </c>
      <c r="M198">
        <f t="shared" si="10"/>
        <v>6.4807300529267975</v>
      </c>
      <c r="N198">
        <f t="shared" si="11"/>
        <v>7</v>
      </c>
    </row>
    <row r="199" spans="1:14" x14ac:dyDescent="0.35">
      <c r="A199" t="str">
        <f t="shared" si="9"/>
        <v>18097321200_2026</v>
      </c>
      <c r="B199">
        <v>18097321200</v>
      </c>
      <c r="C199">
        <v>2026</v>
      </c>
      <c r="D199">
        <v>0.33201603186970252</v>
      </c>
      <c r="E199">
        <v>1.9098317611007229</v>
      </c>
      <c r="F199">
        <v>-0.82613437288880742</v>
      </c>
      <c r="G199">
        <v>1.850028656845923</v>
      </c>
      <c r="H199">
        <v>0.1441802227810943</v>
      </c>
      <c r="I199">
        <v>1.456967451032954</v>
      </c>
      <c r="J199">
        <v>1.2215768061488641</v>
      </c>
      <c r="M199">
        <f t="shared" si="10"/>
        <v>6.0884665568904532</v>
      </c>
      <c r="N199">
        <f t="shared" si="11"/>
        <v>7</v>
      </c>
    </row>
    <row r="200" spans="1:14" x14ac:dyDescent="0.35">
      <c r="A200" t="str">
        <f t="shared" si="9"/>
        <v>18097321200_2027</v>
      </c>
      <c r="B200">
        <v>18097321200</v>
      </c>
      <c r="C200">
        <v>2027</v>
      </c>
      <c r="D200">
        <v>0.31126480961184527</v>
      </c>
      <c r="E200">
        <v>1.820812015960984</v>
      </c>
      <c r="F200">
        <v>-0.72880676618672058</v>
      </c>
      <c r="G200">
        <v>1.6808819040317391</v>
      </c>
      <c r="H200">
        <v>3.4906352209259119E-2</v>
      </c>
      <c r="I200">
        <v>1.442216610701796</v>
      </c>
      <c r="J200">
        <v>1.195795181525243</v>
      </c>
      <c r="M200">
        <f t="shared" si="10"/>
        <v>5.7570701078541457</v>
      </c>
      <c r="N200">
        <f t="shared" si="11"/>
        <v>7</v>
      </c>
    </row>
    <row r="201" spans="1:14" x14ac:dyDescent="0.35">
      <c r="A201" t="str">
        <f t="shared" si="9"/>
        <v>18097321200_2028</v>
      </c>
      <c r="B201">
        <v>18097321200</v>
      </c>
      <c r="C201">
        <v>2028</v>
      </c>
      <c r="D201">
        <v>0.25619131270082801</v>
      </c>
      <c r="E201">
        <v>1.745387661079167</v>
      </c>
      <c r="F201">
        <v>-0.6433289564407545</v>
      </c>
      <c r="G201">
        <v>1.4741970823898749</v>
      </c>
      <c r="H201">
        <v>-4.530044166995513E-2</v>
      </c>
      <c r="I201">
        <v>1.414011736798634</v>
      </c>
      <c r="J201">
        <v>1.1634671481804151</v>
      </c>
      <c r="M201">
        <f t="shared" si="10"/>
        <v>5.3646255430382102</v>
      </c>
      <c r="N201">
        <f t="shared" si="11"/>
        <v>7</v>
      </c>
    </row>
    <row r="202" spans="1:14" x14ac:dyDescent="0.35">
      <c r="A202" t="str">
        <f t="shared" si="9"/>
        <v>18097321300_2024</v>
      </c>
      <c r="B202">
        <v>18097321300</v>
      </c>
      <c r="C202">
        <v>2024</v>
      </c>
      <c r="D202">
        <v>-0.56225018168218222</v>
      </c>
      <c r="E202">
        <v>2.1135391926292049</v>
      </c>
      <c r="F202">
        <v>-0.89988764415720379</v>
      </c>
      <c r="G202">
        <v>1.380328602737473</v>
      </c>
      <c r="I202">
        <v>1.4763848953662551</v>
      </c>
      <c r="J202">
        <v>1.606140710051561</v>
      </c>
      <c r="K202">
        <v>0.26392334211634771</v>
      </c>
      <c r="M202">
        <f t="shared" si="10"/>
        <v>5.3781789170614562</v>
      </c>
      <c r="N202">
        <f t="shared" si="11"/>
        <v>7</v>
      </c>
    </row>
    <row r="203" spans="1:14" x14ac:dyDescent="0.35">
      <c r="A203" t="str">
        <f t="shared" si="9"/>
        <v>18097321300_2025</v>
      </c>
      <c r="B203">
        <v>18097321300</v>
      </c>
      <c r="C203">
        <v>2025</v>
      </c>
      <c r="D203">
        <v>-0.57264684925662346</v>
      </c>
      <c r="E203">
        <v>2.084037563666389</v>
      </c>
      <c r="F203">
        <v>-0.90999024886105961</v>
      </c>
      <c r="G203">
        <v>1.3642591259803589</v>
      </c>
      <c r="I203">
        <v>1.47325734372235</v>
      </c>
      <c r="J203">
        <v>1.593155979450074</v>
      </c>
      <c r="K203">
        <v>0.17622824382265309</v>
      </c>
      <c r="M203">
        <f t="shared" si="10"/>
        <v>5.2083011585241419</v>
      </c>
      <c r="N203">
        <f t="shared" si="11"/>
        <v>7</v>
      </c>
    </row>
    <row r="204" spans="1:14" x14ac:dyDescent="0.35">
      <c r="A204" t="str">
        <f t="shared" si="9"/>
        <v>18097321300_2026</v>
      </c>
      <c r="B204">
        <v>18097321300</v>
      </c>
      <c r="C204">
        <v>2026</v>
      </c>
      <c r="D204">
        <v>-0.56728484456065043</v>
      </c>
      <c r="E204">
        <v>1.992677154191276</v>
      </c>
      <c r="F204">
        <v>-0.89745664369082556</v>
      </c>
      <c r="G204">
        <v>1.290006085072853</v>
      </c>
      <c r="I204">
        <v>1.435150323030209</v>
      </c>
      <c r="J204">
        <v>1.5732430148861909</v>
      </c>
      <c r="K204">
        <v>6.8024787821399618E-2</v>
      </c>
      <c r="M204">
        <f t="shared" si="10"/>
        <v>4.8943598767504524</v>
      </c>
      <c r="N204">
        <f t="shared" si="11"/>
        <v>7</v>
      </c>
    </row>
    <row r="205" spans="1:14" x14ac:dyDescent="0.35">
      <c r="A205" t="str">
        <f t="shared" si="9"/>
        <v>18097321300_2027</v>
      </c>
      <c r="B205">
        <v>18097321300</v>
      </c>
      <c r="C205">
        <v>2027</v>
      </c>
      <c r="D205">
        <v>-0.55035315947586372</v>
      </c>
      <c r="E205">
        <v>1.9293174410909411</v>
      </c>
      <c r="F205">
        <v>-0.87261106671230859</v>
      </c>
      <c r="G205">
        <v>1.242031212427265</v>
      </c>
      <c r="I205">
        <v>1.4042264990176749</v>
      </c>
      <c r="J205">
        <v>1.5485872616101879</v>
      </c>
      <c r="K205">
        <v>-2.23043097379335E-2</v>
      </c>
      <c r="M205">
        <f t="shared" si="10"/>
        <v>4.6788938782199638</v>
      </c>
      <c r="N205">
        <f t="shared" si="11"/>
        <v>7</v>
      </c>
    </row>
    <row r="206" spans="1:14" x14ac:dyDescent="0.35">
      <c r="A206" t="str">
        <f t="shared" si="9"/>
        <v>18097321300_2028</v>
      </c>
      <c r="B206">
        <v>18097321300</v>
      </c>
      <c r="C206">
        <v>2028</v>
      </c>
      <c r="D206">
        <v>-0.54106804921362295</v>
      </c>
      <c r="E206">
        <v>1.852061860882515</v>
      </c>
      <c r="F206">
        <v>-0.85361569842473695</v>
      </c>
      <c r="G206">
        <v>1.1548481273734501</v>
      </c>
      <c r="I206">
        <v>1.3592955482267071</v>
      </c>
      <c r="J206">
        <v>1.5187540618903339</v>
      </c>
      <c r="K206">
        <v>-9.7835421200318046E-2</v>
      </c>
      <c r="M206">
        <f t="shared" si="10"/>
        <v>4.3924404295343278</v>
      </c>
      <c r="N206">
        <f t="shared" si="11"/>
        <v>7</v>
      </c>
    </row>
    <row r="207" spans="1:14" x14ac:dyDescent="0.35">
      <c r="A207" t="str">
        <f t="shared" si="9"/>
        <v>18097321400_2024</v>
      </c>
      <c r="B207">
        <v>18097321400</v>
      </c>
      <c r="C207">
        <v>2024</v>
      </c>
      <c r="D207">
        <v>0.57625593422624122</v>
      </c>
      <c r="E207">
        <v>1.5725351791479321</v>
      </c>
      <c r="F207">
        <v>-0.58044084068793833</v>
      </c>
      <c r="G207">
        <v>0.18351354659002511</v>
      </c>
      <c r="H207">
        <v>1.1815041063611871</v>
      </c>
      <c r="I207">
        <v>0.73196543361824784</v>
      </c>
      <c r="J207">
        <v>1.606140710051561</v>
      </c>
      <c r="K207">
        <v>0.26392334211634771</v>
      </c>
      <c r="M207">
        <f t="shared" si="10"/>
        <v>5.5353974114236042</v>
      </c>
      <c r="N207">
        <f t="shared" si="11"/>
        <v>8</v>
      </c>
    </row>
    <row r="208" spans="1:14" x14ac:dyDescent="0.35">
      <c r="A208" t="str">
        <f t="shared" si="9"/>
        <v>18097321400_2025</v>
      </c>
      <c r="B208">
        <v>18097321400</v>
      </c>
      <c r="C208">
        <v>2025</v>
      </c>
      <c r="D208">
        <v>0.52922567086898198</v>
      </c>
      <c r="E208">
        <v>1.5979133122087961</v>
      </c>
      <c r="F208">
        <v>-0.53883665617077214</v>
      </c>
      <c r="G208">
        <v>0.1208949288620409</v>
      </c>
      <c r="H208">
        <v>1.1217340357107499</v>
      </c>
      <c r="I208">
        <v>0.76255648859058589</v>
      </c>
      <c r="J208">
        <v>1.593155979450074</v>
      </c>
      <c r="K208">
        <v>0.17622824382265309</v>
      </c>
      <c r="M208">
        <f t="shared" si="10"/>
        <v>5.3628720033431092</v>
      </c>
      <c r="N208">
        <f t="shared" si="11"/>
        <v>8</v>
      </c>
    </row>
    <row r="209" spans="1:14" x14ac:dyDescent="0.35">
      <c r="A209" t="str">
        <f t="shared" si="9"/>
        <v>18097321400_2026</v>
      </c>
      <c r="B209">
        <v>18097321400</v>
      </c>
      <c r="C209">
        <v>2026</v>
      </c>
      <c r="D209">
        <v>0.48670905312901153</v>
      </c>
      <c r="E209">
        <v>1.3723765325811621</v>
      </c>
      <c r="F209">
        <v>-0.4935772175851747</v>
      </c>
      <c r="G209">
        <v>4.5292899181520581E-2</v>
      </c>
      <c r="H209">
        <v>1.0601656102189541</v>
      </c>
      <c r="I209">
        <v>0.78198713626093164</v>
      </c>
      <c r="J209">
        <v>1.5732430148861909</v>
      </c>
      <c r="K209">
        <v>6.8024787821399618E-2</v>
      </c>
      <c r="M209">
        <f t="shared" si="10"/>
        <v>4.894221816493995</v>
      </c>
      <c r="N209">
        <f t="shared" si="11"/>
        <v>8</v>
      </c>
    </row>
    <row r="210" spans="1:14" x14ac:dyDescent="0.35">
      <c r="A210" t="str">
        <f t="shared" si="9"/>
        <v>18097321400_2027</v>
      </c>
      <c r="B210">
        <v>18097321400</v>
      </c>
      <c r="C210">
        <v>2027</v>
      </c>
      <c r="D210">
        <v>0.45726928535537759</v>
      </c>
      <c r="E210">
        <v>1.4077883482475499</v>
      </c>
      <c r="F210">
        <v>-0.45042628894117542</v>
      </c>
      <c r="G210">
        <v>-1.541826738079244E-2</v>
      </c>
      <c r="H210">
        <v>0.9951860721079292</v>
      </c>
      <c r="I210">
        <v>0.80723011147705781</v>
      </c>
      <c r="J210">
        <v>1.5485872616101879</v>
      </c>
      <c r="K210">
        <v>-2.23043097379335E-2</v>
      </c>
      <c r="M210">
        <f t="shared" si="10"/>
        <v>4.7279122127382012</v>
      </c>
      <c r="N210">
        <f t="shared" si="11"/>
        <v>8</v>
      </c>
    </row>
    <row r="211" spans="1:14" x14ac:dyDescent="0.35">
      <c r="A211" t="str">
        <f t="shared" si="9"/>
        <v>18097321400_2028</v>
      </c>
      <c r="B211">
        <v>18097321400</v>
      </c>
      <c r="C211">
        <v>2028</v>
      </c>
      <c r="D211">
        <v>0.3985623510873903</v>
      </c>
      <c r="E211">
        <v>1.579818303794865</v>
      </c>
      <c r="F211">
        <v>-0.41296190625994489</v>
      </c>
      <c r="G211">
        <v>-7.9681517011695652E-2</v>
      </c>
      <c r="H211">
        <v>0.93286733331829164</v>
      </c>
      <c r="I211">
        <v>0.82280909830093973</v>
      </c>
      <c r="J211">
        <v>1.5187540618903339</v>
      </c>
      <c r="K211">
        <v>-9.7835421200318046E-2</v>
      </c>
      <c r="M211">
        <f t="shared" si="10"/>
        <v>4.6623323039198619</v>
      </c>
      <c r="N211">
        <f t="shared" si="11"/>
        <v>8</v>
      </c>
    </row>
    <row r="212" spans="1:14" x14ac:dyDescent="0.35">
      <c r="A212" t="str">
        <f t="shared" si="9"/>
        <v>18097321600_2024</v>
      </c>
      <c r="B212">
        <v>18097321600</v>
      </c>
      <c r="C212">
        <v>2024</v>
      </c>
      <c r="D212">
        <v>0.5056403383123973</v>
      </c>
      <c r="E212">
        <v>0.42678016185797812</v>
      </c>
      <c r="F212">
        <v>0.17759379257905941</v>
      </c>
      <c r="G212">
        <v>-0.24909351440326069</v>
      </c>
      <c r="H212">
        <v>0.37474453805024849</v>
      </c>
      <c r="I212">
        <v>-0.23241468474337559</v>
      </c>
      <c r="J212">
        <v>0.74452579448646716</v>
      </c>
      <c r="K212">
        <v>0.43180469249045622</v>
      </c>
      <c r="M212">
        <f t="shared" si="10"/>
        <v>2.1795811186299705</v>
      </c>
      <c r="N212">
        <f t="shared" si="11"/>
        <v>8</v>
      </c>
    </row>
    <row r="213" spans="1:14" x14ac:dyDescent="0.35">
      <c r="A213" t="str">
        <f t="shared" si="9"/>
        <v>18097321600_2025</v>
      </c>
      <c r="B213">
        <v>18097321600</v>
      </c>
      <c r="C213">
        <v>2025</v>
      </c>
      <c r="D213">
        <v>0.4955501741646709</v>
      </c>
      <c r="E213">
        <v>0.35599445961035697</v>
      </c>
      <c r="F213">
        <v>0.12818235716951579</v>
      </c>
      <c r="G213">
        <v>-0.34068044456642388</v>
      </c>
      <c r="H213">
        <v>0.39482758368988868</v>
      </c>
      <c r="I213">
        <v>-0.20455659554520861</v>
      </c>
      <c r="J213">
        <v>0.77574553224327136</v>
      </c>
      <c r="K213">
        <v>0.62802656268167678</v>
      </c>
      <c r="M213">
        <f t="shared" si="10"/>
        <v>2.2330896294477478</v>
      </c>
      <c r="N213">
        <f t="shared" si="11"/>
        <v>8</v>
      </c>
    </row>
    <row r="214" spans="1:14" x14ac:dyDescent="0.35">
      <c r="A214" t="str">
        <f t="shared" si="9"/>
        <v>18097321600_2026</v>
      </c>
      <c r="B214">
        <v>18097321600</v>
      </c>
      <c r="C214">
        <v>2026</v>
      </c>
      <c r="D214">
        <v>0.39260869380560193</v>
      </c>
      <c r="E214">
        <v>0.30350095052333881</v>
      </c>
      <c r="F214">
        <v>6.8140466274705366E-2</v>
      </c>
      <c r="G214">
        <v>-0.31637789039906322</v>
      </c>
      <c r="H214">
        <v>0.36834284082922197</v>
      </c>
      <c r="I214">
        <v>-0.15097597556856879</v>
      </c>
      <c r="J214">
        <v>0.80216213667929459</v>
      </c>
      <c r="K214">
        <v>0.76174426256811967</v>
      </c>
      <c r="M214">
        <f t="shared" si="10"/>
        <v>2.2291454847126504</v>
      </c>
      <c r="N214">
        <f t="shared" si="11"/>
        <v>8</v>
      </c>
    </row>
    <row r="215" spans="1:14" x14ac:dyDescent="0.35">
      <c r="A215" t="str">
        <f t="shared" si="9"/>
        <v>18097321600_2027</v>
      </c>
      <c r="B215">
        <v>18097321600</v>
      </c>
      <c r="C215">
        <v>2027</v>
      </c>
      <c r="D215">
        <v>0.35353983709424452</v>
      </c>
      <c r="E215">
        <v>0.24387078079829649</v>
      </c>
      <c r="F215">
        <v>9.6242861241285799E-3</v>
      </c>
      <c r="G215">
        <v>-0.37629749867882212</v>
      </c>
      <c r="H215">
        <v>0.35680681961484989</v>
      </c>
      <c r="I215">
        <v>-0.1090969446354573</v>
      </c>
      <c r="J215">
        <v>0.8279219017928493</v>
      </c>
      <c r="K215">
        <v>0.86037087007376378</v>
      </c>
      <c r="M215">
        <f t="shared" si="10"/>
        <v>2.1667400521838531</v>
      </c>
      <c r="N215">
        <f t="shared" si="11"/>
        <v>8</v>
      </c>
    </row>
    <row r="216" spans="1:14" x14ac:dyDescent="0.35">
      <c r="A216" t="str">
        <f t="shared" si="9"/>
        <v>18097321600_2028</v>
      </c>
      <c r="B216">
        <v>18097321600</v>
      </c>
      <c r="C216">
        <v>2028</v>
      </c>
      <c r="D216">
        <v>0.2695114415087711</v>
      </c>
      <c r="E216">
        <v>0.19379133561102099</v>
      </c>
      <c r="F216">
        <v>-3.6296336272566218E-2</v>
      </c>
      <c r="G216">
        <v>-0.36674297862369248</v>
      </c>
      <c r="H216">
        <v>0.34311316618126592</v>
      </c>
      <c r="I216">
        <v>-6.389226771272645E-2</v>
      </c>
      <c r="J216">
        <v>0.85449474083395316</v>
      </c>
      <c r="K216">
        <v>0.9036294817724404</v>
      </c>
      <c r="M216">
        <f t="shared" si="10"/>
        <v>2.0976085832984666</v>
      </c>
      <c r="N216">
        <f t="shared" si="11"/>
        <v>8</v>
      </c>
    </row>
    <row r="217" spans="1:14" x14ac:dyDescent="0.35">
      <c r="A217" t="str">
        <f t="shared" si="9"/>
        <v>18097321700_2024</v>
      </c>
      <c r="B217">
        <v>18097321700</v>
      </c>
      <c r="C217">
        <v>2024</v>
      </c>
      <c r="D217">
        <v>1.085231177066166</v>
      </c>
      <c r="E217">
        <v>1.4685717670032441</v>
      </c>
      <c r="F217">
        <v>0.16660304112224661</v>
      </c>
      <c r="G217">
        <v>2.0706049044396662</v>
      </c>
      <c r="H217">
        <v>1.263758354631892</v>
      </c>
      <c r="I217">
        <v>1.216550177918851</v>
      </c>
      <c r="J217">
        <v>1.3840207869442229</v>
      </c>
      <c r="K217">
        <v>0.87665535488234558</v>
      </c>
      <c r="M217">
        <f t="shared" si="10"/>
        <v>9.5319955640086338</v>
      </c>
      <c r="N217">
        <f t="shared" si="11"/>
        <v>8</v>
      </c>
    </row>
    <row r="218" spans="1:14" x14ac:dyDescent="0.35">
      <c r="A218" t="str">
        <f t="shared" si="9"/>
        <v>18097321700_2025</v>
      </c>
      <c r="B218">
        <v>18097321700</v>
      </c>
      <c r="C218">
        <v>2025</v>
      </c>
      <c r="D218">
        <v>1.0457675314759221</v>
      </c>
      <c r="E218">
        <v>1.46432647102827</v>
      </c>
      <c r="F218">
        <v>0.27193559495479219</v>
      </c>
      <c r="G218">
        <v>2.5963841832268688</v>
      </c>
      <c r="H218">
        <v>1.2201347716140321</v>
      </c>
      <c r="I218">
        <v>1.2596270271495651</v>
      </c>
      <c r="J218">
        <v>1.398268994901132</v>
      </c>
      <c r="K218">
        <v>1.5455045949418069</v>
      </c>
      <c r="M218">
        <f t="shared" si="10"/>
        <v>10.801949169292389</v>
      </c>
      <c r="N218">
        <f t="shared" si="11"/>
        <v>8</v>
      </c>
    </row>
    <row r="219" spans="1:14" x14ac:dyDescent="0.35">
      <c r="A219" t="str">
        <f t="shared" si="9"/>
        <v>18097321700_2026</v>
      </c>
      <c r="B219">
        <v>18097321700</v>
      </c>
      <c r="C219">
        <v>2026</v>
      </c>
      <c r="D219">
        <v>0.93448211566361294</v>
      </c>
      <c r="E219">
        <v>1.4403246686462019</v>
      </c>
      <c r="F219">
        <v>0.3815675076886646</v>
      </c>
      <c r="G219">
        <v>2.884762025664112</v>
      </c>
      <c r="H219">
        <v>1.170963708052678</v>
      </c>
      <c r="I219">
        <v>1.2786278182697759</v>
      </c>
      <c r="J219">
        <v>1.4056897993677051</v>
      </c>
      <c r="K219">
        <v>2.173173903071989</v>
      </c>
      <c r="M219">
        <f t="shared" si="10"/>
        <v>11.669591546424739</v>
      </c>
      <c r="N219">
        <f t="shared" si="11"/>
        <v>8</v>
      </c>
    </row>
    <row r="220" spans="1:14" x14ac:dyDescent="0.35">
      <c r="A220" t="str">
        <f t="shared" si="9"/>
        <v>18097321700_2027</v>
      </c>
      <c r="B220">
        <v>18097321700</v>
      </c>
      <c r="C220">
        <v>2027</v>
      </c>
      <c r="D220">
        <v>0.87552561840423215</v>
      </c>
      <c r="E220">
        <v>1.4167282679580151</v>
      </c>
      <c r="F220">
        <v>0.46634310075835089</v>
      </c>
      <c r="G220">
        <v>3.1269785677156912</v>
      </c>
      <c r="H220">
        <v>1.1177105610268481</v>
      </c>
      <c r="I220">
        <v>1.306211926883859</v>
      </c>
      <c r="J220">
        <v>1.411002429422938</v>
      </c>
      <c r="K220">
        <v>2.7552732604832011</v>
      </c>
      <c r="M220">
        <f t="shared" si="10"/>
        <v>12.475773732653135</v>
      </c>
      <c r="N220">
        <f t="shared" si="11"/>
        <v>8</v>
      </c>
    </row>
    <row r="221" spans="1:14" x14ac:dyDescent="0.35">
      <c r="A221" t="str">
        <f t="shared" si="9"/>
        <v>18097321700_2028</v>
      </c>
      <c r="B221">
        <v>18097321700</v>
      </c>
      <c r="C221">
        <v>2028</v>
      </c>
      <c r="D221">
        <v>0.76377644367932085</v>
      </c>
      <c r="E221">
        <v>1.393906182694892</v>
      </c>
      <c r="F221">
        <v>0.55854234422484739</v>
      </c>
      <c r="G221">
        <v>3.226859072837033</v>
      </c>
      <c r="H221">
        <v>1.0630439689023909</v>
      </c>
      <c r="I221">
        <v>1.3198772608465621</v>
      </c>
      <c r="J221">
        <v>1.414928560103861</v>
      </c>
      <c r="K221">
        <v>3.2140671023609442</v>
      </c>
      <c r="M221">
        <f t="shared" si="10"/>
        <v>12.955000935649853</v>
      </c>
      <c r="N221">
        <f t="shared" si="11"/>
        <v>8</v>
      </c>
    </row>
    <row r="222" spans="1:14" x14ac:dyDescent="0.35">
      <c r="A222" t="str">
        <f t="shared" si="9"/>
        <v>18097321800_2024</v>
      </c>
      <c r="B222">
        <v>18097321800</v>
      </c>
      <c r="C222">
        <v>2024</v>
      </c>
      <c r="D222">
        <v>-4.2090325530825569E-2</v>
      </c>
      <c r="E222">
        <v>2.277966909180638</v>
      </c>
      <c r="F222">
        <v>-0.87453163231151121</v>
      </c>
      <c r="G222">
        <v>2.1868648745604209</v>
      </c>
      <c r="H222">
        <v>0.61292119779627019</v>
      </c>
      <c r="I222">
        <v>1.717261153336447</v>
      </c>
      <c r="J222">
        <v>0.73446100815531912</v>
      </c>
      <c r="K222">
        <v>0.48515268858437471</v>
      </c>
      <c r="M222">
        <f t="shared" si="10"/>
        <v>7.0980058737711342</v>
      </c>
      <c r="N222">
        <f t="shared" si="11"/>
        <v>8</v>
      </c>
    </row>
    <row r="223" spans="1:14" x14ac:dyDescent="0.35">
      <c r="A223" t="str">
        <f t="shared" si="9"/>
        <v>18097321800_2025</v>
      </c>
      <c r="B223">
        <v>18097321800</v>
      </c>
      <c r="C223">
        <v>2025</v>
      </c>
      <c r="D223">
        <v>-2.694113421948743E-2</v>
      </c>
      <c r="E223">
        <v>2.194605289697952</v>
      </c>
      <c r="F223">
        <v>-0.82635355070950911</v>
      </c>
      <c r="G223">
        <v>2.0802475072215492</v>
      </c>
      <c r="H223">
        <v>0.66182955022873469</v>
      </c>
      <c r="I223">
        <v>1.742275413890231</v>
      </c>
      <c r="J223">
        <v>0.72159864037599264</v>
      </c>
      <c r="K223">
        <v>0.94921271628611315</v>
      </c>
      <c r="M223">
        <f t="shared" si="10"/>
        <v>7.496474432771576</v>
      </c>
      <c r="N223">
        <f t="shared" si="11"/>
        <v>8</v>
      </c>
    </row>
    <row r="224" spans="1:14" x14ac:dyDescent="0.35">
      <c r="A224" t="str">
        <f t="shared" si="9"/>
        <v>18097321800_2026</v>
      </c>
      <c r="B224">
        <v>18097321800</v>
      </c>
      <c r="C224">
        <v>2026</v>
      </c>
      <c r="D224">
        <v>-7.7858408966881551E-2</v>
      </c>
      <c r="E224">
        <v>2.133960886528969</v>
      </c>
      <c r="F224">
        <v>-0.77117350138407148</v>
      </c>
      <c r="G224">
        <v>1.9077189092488449</v>
      </c>
      <c r="H224">
        <v>0.45881974001785403</v>
      </c>
      <c r="I224">
        <v>1.7368443608960651</v>
      </c>
      <c r="J224">
        <v>0.70413321776311355</v>
      </c>
      <c r="K224">
        <v>1.3578289815422131</v>
      </c>
      <c r="M224">
        <f t="shared" si="10"/>
        <v>7.4502741856461068</v>
      </c>
      <c r="N224">
        <f t="shared" si="11"/>
        <v>8</v>
      </c>
    </row>
    <row r="225" spans="1:14" x14ac:dyDescent="0.35">
      <c r="A225" t="str">
        <f t="shared" si="9"/>
        <v>18097321800_2027</v>
      </c>
      <c r="B225">
        <v>18097321800</v>
      </c>
      <c r="C225">
        <v>2027</v>
      </c>
      <c r="D225">
        <v>-8.1469265307843555E-2</v>
      </c>
      <c r="E225">
        <v>2.0521946450386679</v>
      </c>
      <c r="F225">
        <v>-0.71300892831034091</v>
      </c>
      <c r="G225">
        <v>1.776786490519165</v>
      </c>
      <c r="H225">
        <v>0.4382040185523291</v>
      </c>
      <c r="I225">
        <v>1.741970320184816</v>
      </c>
      <c r="J225">
        <v>0.68045247788320662</v>
      </c>
      <c r="K225">
        <v>1.716494713309703</v>
      </c>
      <c r="M225">
        <f t="shared" si="10"/>
        <v>7.6116244718697033</v>
      </c>
      <c r="N225">
        <f t="shared" si="11"/>
        <v>8</v>
      </c>
    </row>
    <row r="226" spans="1:14" x14ac:dyDescent="0.35">
      <c r="A226" t="str">
        <f t="shared" si="9"/>
        <v>18097321800_2028</v>
      </c>
      <c r="B226">
        <v>18097321800</v>
      </c>
      <c r="C226">
        <v>2028</v>
      </c>
      <c r="D226">
        <v>-0.11640868825572349</v>
      </c>
      <c r="E226">
        <v>1.984165931555518</v>
      </c>
      <c r="F226">
        <v>-0.6652240621006692</v>
      </c>
      <c r="G226">
        <v>1.6010954006480489</v>
      </c>
      <c r="H226">
        <v>0.31001611410833452</v>
      </c>
      <c r="I226">
        <v>1.73032023053752</v>
      </c>
      <c r="J226">
        <v>0.64924233293695888</v>
      </c>
      <c r="K226">
        <v>1.9763064899476861</v>
      </c>
      <c r="M226">
        <f t="shared" si="10"/>
        <v>7.4695137493776738</v>
      </c>
      <c r="N226">
        <f t="shared" si="11"/>
        <v>8</v>
      </c>
    </row>
    <row r="227" spans="1:14" x14ac:dyDescent="0.35">
      <c r="A227" t="str">
        <f t="shared" si="9"/>
        <v>18097321900_2024</v>
      </c>
      <c r="B227">
        <v>18097321900</v>
      </c>
      <c r="C227">
        <v>2024</v>
      </c>
      <c r="D227">
        <v>0.59838736502339829</v>
      </c>
      <c r="E227">
        <v>2.4010507855885099</v>
      </c>
      <c r="F227">
        <v>-0.5705246673195904</v>
      </c>
      <c r="G227">
        <v>2.409709823504719</v>
      </c>
      <c r="H227">
        <v>1.119881441180165</v>
      </c>
      <c r="I227">
        <v>1.2318822828542</v>
      </c>
      <c r="J227">
        <v>-0.65444531078648049</v>
      </c>
      <c r="K227">
        <v>-0.26150001912149878</v>
      </c>
      <c r="M227">
        <f t="shared" si="10"/>
        <v>6.2744417009234219</v>
      </c>
      <c r="N227">
        <f t="shared" si="11"/>
        <v>8</v>
      </c>
    </row>
    <row r="228" spans="1:14" x14ac:dyDescent="0.35">
      <c r="A228" t="str">
        <f t="shared" si="9"/>
        <v>18097321900_2025</v>
      </c>
      <c r="B228">
        <v>18097321900</v>
      </c>
      <c r="C228">
        <v>2025</v>
      </c>
      <c r="D228">
        <v>0.66103128198114736</v>
      </c>
      <c r="E228">
        <v>2.345092996030989</v>
      </c>
      <c r="F228">
        <v>-0.53286283301387682</v>
      </c>
      <c r="G228">
        <v>2.3461643664116631</v>
      </c>
      <c r="H228">
        <v>1.1506137961700911</v>
      </c>
      <c r="I228">
        <v>1.2668530746315041</v>
      </c>
      <c r="J228">
        <v>-0.68866958690975744</v>
      </c>
      <c r="K228">
        <v>-0.26375635941638781</v>
      </c>
      <c r="M228">
        <f t="shared" si="10"/>
        <v>6.2844667358853732</v>
      </c>
      <c r="N228">
        <f t="shared" si="11"/>
        <v>8</v>
      </c>
    </row>
    <row r="229" spans="1:14" x14ac:dyDescent="0.35">
      <c r="A229" t="str">
        <f t="shared" si="9"/>
        <v>18097321900_2026</v>
      </c>
      <c r="B229">
        <v>18097321900</v>
      </c>
      <c r="C229">
        <v>2026</v>
      </c>
      <c r="D229">
        <v>0.53035572245887208</v>
      </c>
      <c r="E229">
        <v>2.305773397097826</v>
      </c>
      <c r="F229">
        <v>-0.49355528370833129</v>
      </c>
      <c r="G229">
        <v>2.1890455976819529</v>
      </c>
      <c r="H229">
        <v>1.1702089287154549</v>
      </c>
      <c r="I229">
        <v>1.2801256594160699</v>
      </c>
      <c r="J229">
        <v>-0.70900131490072771</v>
      </c>
      <c r="K229">
        <v>-0.27753359652357262</v>
      </c>
      <c r="M229">
        <f t="shared" si="10"/>
        <v>5.9954191102375454</v>
      </c>
      <c r="N229">
        <f t="shared" si="11"/>
        <v>8</v>
      </c>
    </row>
    <row r="230" spans="1:14" x14ac:dyDescent="0.35">
      <c r="A230" t="str">
        <f t="shared" si="9"/>
        <v>18097321900_2027</v>
      </c>
      <c r="B230">
        <v>18097321900</v>
      </c>
      <c r="C230">
        <v>2027</v>
      </c>
      <c r="D230">
        <v>0.49865365310377152</v>
      </c>
      <c r="E230">
        <v>2.2447324858697142</v>
      </c>
      <c r="F230">
        <v>-0.45540731388349009</v>
      </c>
      <c r="G230">
        <v>2.0751809030373591</v>
      </c>
      <c r="H230">
        <v>1.178016232381623</v>
      </c>
      <c r="I230">
        <v>1.301766118740022</v>
      </c>
      <c r="J230">
        <v>-0.72526471683085147</v>
      </c>
      <c r="K230">
        <v>-0.28351949364586831</v>
      </c>
      <c r="M230">
        <f t="shared" si="10"/>
        <v>5.8341578687722802</v>
      </c>
      <c r="N230">
        <f t="shared" si="11"/>
        <v>8</v>
      </c>
    </row>
    <row r="231" spans="1:14" x14ac:dyDescent="0.35">
      <c r="A231" t="str">
        <f t="shared" si="9"/>
        <v>18097321900_2028</v>
      </c>
      <c r="B231">
        <v>18097321900</v>
      </c>
      <c r="C231">
        <v>2028</v>
      </c>
      <c r="D231">
        <v>0.40582570940265839</v>
      </c>
      <c r="E231">
        <v>2.195993841437792</v>
      </c>
      <c r="F231">
        <v>-0.42258872355400401</v>
      </c>
      <c r="G231">
        <v>1.9061042226235341</v>
      </c>
      <c r="H231">
        <v>1.1513900059464439</v>
      </c>
      <c r="I231">
        <v>1.309823982339049</v>
      </c>
      <c r="J231">
        <v>-0.74214720602679984</v>
      </c>
      <c r="K231">
        <v>-0.28466115161712668</v>
      </c>
      <c r="M231">
        <f t="shared" si="10"/>
        <v>5.5197406805515472</v>
      </c>
      <c r="N231">
        <f t="shared" si="11"/>
        <v>8</v>
      </c>
    </row>
    <row r="232" spans="1:14" x14ac:dyDescent="0.35">
      <c r="A232" t="str">
        <f t="shared" si="9"/>
        <v>18097322000_2024</v>
      </c>
      <c r="B232">
        <v>18097322000</v>
      </c>
      <c r="C232">
        <v>2024</v>
      </c>
      <c r="D232">
        <v>1.056780861427546</v>
      </c>
      <c r="E232">
        <v>0.6160078283894358</v>
      </c>
      <c r="F232">
        <v>-0.42043634411107728</v>
      </c>
      <c r="G232">
        <v>-0.25629221974774041</v>
      </c>
      <c r="H232">
        <v>-0.66773437802299718</v>
      </c>
      <c r="I232">
        <v>-0.3297464760166457</v>
      </c>
      <c r="J232">
        <v>-0.65997061956687364</v>
      </c>
      <c r="K232">
        <v>-0.26445591004887259</v>
      </c>
      <c r="M232">
        <f t="shared" si="10"/>
        <v>-0.92584725769722476</v>
      </c>
      <c r="N232">
        <f t="shared" si="11"/>
        <v>8</v>
      </c>
    </row>
    <row r="233" spans="1:14" x14ac:dyDescent="0.35">
      <c r="A233" t="str">
        <f t="shared" si="9"/>
        <v>18097322000_2025</v>
      </c>
      <c r="B233">
        <v>18097322000</v>
      </c>
      <c r="C233">
        <v>2025</v>
      </c>
      <c r="D233">
        <v>1.1263064925962829</v>
      </c>
      <c r="E233">
        <v>0.58824954689008169</v>
      </c>
      <c r="F233">
        <v>-0.4012946003886404</v>
      </c>
      <c r="G233">
        <v>-0.25864590402834831</v>
      </c>
      <c r="H233">
        <v>-0.75405498896671141</v>
      </c>
      <c r="I233">
        <v>-0.24715272182735409</v>
      </c>
      <c r="J233">
        <v>-0.69501583860619554</v>
      </c>
      <c r="K233">
        <v>-0.26656234682242158</v>
      </c>
      <c r="M233">
        <f t="shared" si="10"/>
        <v>-0.90817036115330674</v>
      </c>
      <c r="N233">
        <f t="shared" si="11"/>
        <v>8</v>
      </c>
    </row>
    <row r="234" spans="1:14" x14ac:dyDescent="0.35">
      <c r="A234" t="str">
        <f t="shared" si="9"/>
        <v>18097322000_2026</v>
      </c>
      <c r="B234">
        <v>18097322000</v>
      </c>
      <c r="C234">
        <v>2026</v>
      </c>
      <c r="D234">
        <v>0.95959947996249384</v>
      </c>
      <c r="E234">
        <v>0.62534756084505272</v>
      </c>
      <c r="F234">
        <v>-0.28838215713231907</v>
      </c>
      <c r="G234">
        <v>-0.26593557526487599</v>
      </c>
      <c r="H234">
        <v>-0.78295262208107241</v>
      </c>
      <c r="I234">
        <v>-0.18723752538503899</v>
      </c>
      <c r="J234">
        <v>-0.71618628276489449</v>
      </c>
      <c r="K234">
        <v>-0.2800877646798367</v>
      </c>
      <c r="M234">
        <f t="shared" si="10"/>
        <v>-0.93583488650049107</v>
      </c>
      <c r="N234">
        <f t="shared" si="11"/>
        <v>8</v>
      </c>
    </row>
    <row r="235" spans="1:14" x14ac:dyDescent="0.35">
      <c r="A235" t="str">
        <f t="shared" si="9"/>
        <v>18097322000_2027</v>
      </c>
      <c r="B235">
        <v>18097322000</v>
      </c>
      <c r="C235">
        <v>2027</v>
      </c>
      <c r="D235">
        <v>0.90910321453736775</v>
      </c>
      <c r="E235">
        <v>0.61424310713433694</v>
      </c>
      <c r="F235">
        <v>-0.36065403528441131</v>
      </c>
      <c r="G235">
        <v>-0.26868412244476092</v>
      </c>
      <c r="H235">
        <v>-0.83365072662616402</v>
      </c>
      <c r="I235">
        <v>-0.1180614314181824</v>
      </c>
      <c r="J235">
        <v>-0.73332721240314802</v>
      </c>
      <c r="K235">
        <v>-0.28581019163953852</v>
      </c>
      <c r="M235">
        <f t="shared" si="10"/>
        <v>-1.0768413981445006</v>
      </c>
      <c r="N235">
        <f t="shared" si="11"/>
        <v>8</v>
      </c>
    </row>
    <row r="236" spans="1:14" x14ac:dyDescent="0.35">
      <c r="A236" t="str">
        <f t="shared" si="9"/>
        <v>18097322000_2028</v>
      </c>
      <c r="B236">
        <v>18097322000</v>
      </c>
      <c r="C236">
        <v>2028</v>
      </c>
      <c r="D236">
        <v>0.78265493940703812</v>
      </c>
      <c r="E236">
        <v>0.63383248429119932</v>
      </c>
      <c r="F236">
        <v>-0.44475675327332381</v>
      </c>
      <c r="G236">
        <v>-0.27452889934249203</v>
      </c>
      <c r="H236">
        <v>-0.84343607930202447</v>
      </c>
      <c r="I236">
        <v>-5.600066491402713E-2</v>
      </c>
      <c r="J236">
        <v>-0.75117978977789723</v>
      </c>
      <c r="K236">
        <v>-0.28665986414062189</v>
      </c>
      <c r="M236">
        <f t="shared" si="10"/>
        <v>-1.2400746270521492</v>
      </c>
      <c r="N236">
        <f t="shared" si="11"/>
        <v>8</v>
      </c>
    </row>
    <row r="237" spans="1:14" x14ac:dyDescent="0.35">
      <c r="A237" t="str">
        <f t="shared" si="9"/>
        <v>18097322100_2024</v>
      </c>
      <c r="B237">
        <v>18097322100</v>
      </c>
      <c r="C237">
        <v>2024</v>
      </c>
      <c r="D237">
        <v>-0.32656648289497031</v>
      </c>
      <c r="E237">
        <v>1.54730134420933</v>
      </c>
      <c r="F237">
        <v>-1.3007406917784221</v>
      </c>
      <c r="G237">
        <v>1.634976187954432</v>
      </c>
      <c r="H237">
        <v>-0.40459821351736391</v>
      </c>
      <c r="I237">
        <v>-2.620842698814442E-2</v>
      </c>
      <c r="J237">
        <v>0.61697636311906945</v>
      </c>
      <c r="K237">
        <v>0.41835240450450289</v>
      </c>
      <c r="M237">
        <f t="shared" si="10"/>
        <v>2.1594924846084336</v>
      </c>
      <c r="N237">
        <f t="shared" si="11"/>
        <v>8</v>
      </c>
    </row>
    <row r="238" spans="1:14" x14ac:dyDescent="0.35">
      <c r="A238" t="str">
        <f t="shared" si="9"/>
        <v>18097322100_2025</v>
      </c>
      <c r="B238">
        <v>18097322100</v>
      </c>
      <c r="C238">
        <v>2025</v>
      </c>
      <c r="D238">
        <v>-0.30611162309501261</v>
      </c>
      <c r="E238">
        <v>1.6288797722031869</v>
      </c>
      <c r="F238">
        <v>-1.292953499425568</v>
      </c>
      <c r="G238">
        <v>1.8353948986768549</v>
      </c>
      <c r="H238">
        <v>-0.52797760235232249</v>
      </c>
      <c r="I238">
        <v>4.8047002775327849E-2</v>
      </c>
      <c r="J238">
        <v>0.71236453895385687</v>
      </c>
      <c r="K238">
        <v>0.39451453133589409</v>
      </c>
      <c r="M238">
        <f t="shared" si="10"/>
        <v>2.492158019072217</v>
      </c>
      <c r="N238">
        <f t="shared" si="11"/>
        <v>8</v>
      </c>
    </row>
    <row r="239" spans="1:14" x14ac:dyDescent="0.35">
      <c r="A239" t="str">
        <f t="shared" si="9"/>
        <v>18097322100_2026</v>
      </c>
      <c r="B239">
        <v>18097322100</v>
      </c>
      <c r="C239">
        <v>2026</v>
      </c>
      <c r="D239">
        <v>-0.37541125129071212</v>
      </c>
      <c r="E239">
        <v>1.714039399872531</v>
      </c>
      <c r="F239">
        <v>-1.2559385195416271</v>
      </c>
      <c r="G239">
        <v>1.9982204791710709</v>
      </c>
      <c r="H239">
        <v>-0.64563904520226334</v>
      </c>
      <c r="I239">
        <v>0.1120589274676304</v>
      </c>
      <c r="J239">
        <v>0.81279848689249456</v>
      </c>
      <c r="K239">
        <v>0.33181970446613829</v>
      </c>
      <c r="M239">
        <f t="shared" si="10"/>
        <v>2.6919481818352624</v>
      </c>
      <c r="N239">
        <f t="shared" si="11"/>
        <v>8</v>
      </c>
    </row>
    <row r="240" spans="1:14" x14ac:dyDescent="0.35">
      <c r="A240" t="str">
        <f t="shared" si="9"/>
        <v>18097322100_2027</v>
      </c>
      <c r="B240">
        <v>18097322100</v>
      </c>
      <c r="C240">
        <v>2027</v>
      </c>
      <c r="D240">
        <v>-0.38273919911183968</v>
      </c>
      <c r="E240">
        <v>1.7728232681751781</v>
      </c>
      <c r="F240">
        <v>-1.1977567644296501</v>
      </c>
      <c r="G240">
        <v>2.1829665084962042</v>
      </c>
      <c r="H240">
        <v>-0.75709888345711818</v>
      </c>
      <c r="I240">
        <v>0.1786214979008604</v>
      </c>
      <c r="J240">
        <v>0.92589272039518455</v>
      </c>
      <c r="K240">
        <v>0.27040192815025299</v>
      </c>
      <c r="M240">
        <f t="shared" si="10"/>
        <v>2.9931110761190727</v>
      </c>
      <c r="N240">
        <f t="shared" si="11"/>
        <v>8</v>
      </c>
    </row>
    <row r="241" spans="1:14" x14ac:dyDescent="0.35">
      <c r="A241" t="str">
        <f t="shared" si="9"/>
        <v>18097322100_2028</v>
      </c>
      <c r="B241">
        <v>18097322100</v>
      </c>
      <c r="C241">
        <v>2028</v>
      </c>
      <c r="D241">
        <v>-0.41673250155856711</v>
      </c>
      <c r="E241">
        <v>1.8367857585130529</v>
      </c>
      <c r="F241">
        <v>-1.150717014946032</v>
      </c>
      <c r="G241">
        <v>2.3019532145045889</v>
      </c>
      <c r="H241">
        <v>-0.82689603700833947</v>
      </c>
      <c r="I241">
        <v>0.2388413870421478</v>
      </c>
      <c r="J241">
        <v>1.056898159097857</v>
      </c>
      <c r="K241">
        <v>0.20394336503644431</v>
      </c>
      <c r="M241">
        <f t="shared" si="10"/>
        <v>3.2440763306811524</v>
      </c>
      <c r="N241">
        <f t="shared" si="11"/>
        <v>8</v>
      </c>
    </row>
    <row r="242" spans="1:14" x14ac:dyDescent="0.35">
      <c r="A242" t="str">
        <f t="shared" si="9"/>
        <v>18097322200_2024</v>
      </c>
      <c r="B242">
        <v>18097322200</v>
      </c>
      <c r="C242">
        <v>2024</v>
      </c>
      <c r="D242">
        <v>-0.70864010231858154</v>
      </c>
      <c r="E242">
        <v>1.270027434685391</v>
      </c>
      <c r="F242">
        <v>-1.0792957250376629</v>
      </c>
      <c r="G242">
        <v>1.226323715540679</v>
      </c>
      <c r="I242">
        <v>0.77850307014917774</v>
      </c>
      <c r="J242">
        <v>0.61697636311906945</v>
      </c>
      <c r="K242">
        <v>0.41835240450450289</v>
      </c>
      <c r="M242">
        <f t="shared" si="10"/>
        <v>2.5222471606425754</v>
      </c>
      <c r="N242">
        <f t="shared" si="11"/>
        <v>7</v>
      </c>
    </row>
    <row r="243" spans="1:14" x14ac:dyDescent="0.35">
      <c r="A243" t="str">
        <f t="shared" si="9"/>
        <v>18097322200_2025</v>
      </c>
      <c r="B243">
        <v>18097322200</v>
      </c>
      <c r="C243">
        <v>2025</v>
      </c>
      <c r="D243">
        <v>-0.68597581869256186</v>
      </c>
      <c r="E243">
        <v>1.238918032441618</v>
      </c>
      <c r="F243">
        <v>-1.084154276817942</v>
      </c>
      <c r="G243">
        <v>1.3201946479720901</v>
      </c>
      <c r="I243">
        <v>0.85233391537641712</v>
      </c>
      <c r="J243">
        <v>0.71236453895385687</v>
      </c>
      <c r="K243">
        <v>0.39451453133589409</v>
      </c>
      <c r="M243">
        <f t="shared" si="10"/>
        <v>2.7481955705693726</v>
      </c>
      <c r="N243">
        <f t="shared" si="11"/>
        <v>7</v>
      </c>
    </row>
    <row r="244" spans="1:14" x14ac:dyDescent="0.35">
      <c r="A244" t="str">
        <f t="shared" si="9"/>
        <v>18097322200_2026</v>
      </c>
      <c r="B244">
        <v>18097322200</v>
      </c>
      <c r="C244">
        <v>2026</v>
      </c>
      <c r="D244">
        <v>-0.7222153687455678</v>
      </c>
      <c r="E244">
        <v>1.270572912530763</v>
      </c>
      <c r="F244">
        <v>-1.065539221419749</v>
      </c>
      <c r="G244">
        <v>1.3786621017714</v>
      </c>
      <c r="I244">
        <v>0.91018297619735444</v>
      </c>
      <c r="J244">
        <v>0.81279848689249456</v>
      </c>
      <c r="K244">
        <v>0.33181970446613829</v>
      </c>
      <c r="M244">
        <f t="shared" si="10"/>
        <v>2.9162815916928335</v>
      </c>
      <c r="N244">
        <f t="shared" si="11"/>
        <v>7</v>
      </c>
    </row>
    <row r="245" spans="1:14" x14ac:dyDescent="0.35">
      <c r="A245" t="str">
        <f t="shared" si="9"/>
        <v>18097322200_2027</v>
      </c>
      <c r="B245">
        <v>18097322200</v>
      </c>
      <c r="C245">
        <v>2027</v>
      </c>
      <c r="D245">
        <v>-0.7101333051658828</v>
      </c>
      <c r="E245">
        <v>1.2690271324242339</v>
      </c>
      <c r="F245">
        <v>-1.029660447823822</v>
      </c>
      <c r="G245">
        <v>1.4685217762788489</v>
      </c>
      <c r="I245">
        <v>0.97423456415710241</v>
      </c>
      <c r="J245">
        <v>0.92589272039518455</v>
      </c>
      <c r="K245">
        <v>0.27040192815025299</v>
      </c>
      <c r="M245">
        <f t="shared" si="10"/>
        <v>3.1682843684159181</v>
      </c>
      <c r="N245">
        <f t="shared" si="11"/>
        <v>7</v>
      </c>
    </row>
    <row r="246" spans="1:14" x14ac:dyDescent="0.35">
      <c r="A246" t="str">
        <f t="shared" si="9"/>
        <v>18097322200_2028</v>
      </c>
      <c r="B246">
        <v>18097322200</v>
      </c>
      <c r="C246">
        <v>2028</v>
      </c>
      <c r="D246">
        <v>-0.71364490828790195</v>
      </c>
      <c r="E246">
        <v>1.2801184174158511</v>
      </c>
      <c r="F246">
        <v>-1.0013706256834749</v>
      </c>
      <c r="G246">
        <v>1.510827862593217</v>
      </c>
      <c r="I246">
        <v>1.025706238144154</v>
      </c>
      <c r="J246">
        <v>1.056898159097857</v>
      </c>
      <c r="K246">
        <v>0.20394336503644431</v>
      </c>
      <c r="M246">
        <f t="shared" si="10"/>
        <v>3.3624785083161468</v>
      </c>
      <c r="N246">
        <f t="shared" si="11"/>
        <v>7</v>
      </c>
    </row>
    <row r="247" spans="1:14" x14ac:dyDescent="0.35">
      <c r="A247" t="str">
        <f t="shared" si="9"/>
        <v>18097322300_2024</v>
      </c>
      <c r="B247">
        <v>18097322300</v>
      </c>
      <c r="C247">
        <v>2024</v>
      </c>
      <c r="D247">
        <v>-0.37246129788458388</v>
      </c>
      <c r="E247">
        <v>1.909990508500393</v>
      </c>
      <c r="F247">
        <v>-1.3691224024516151</v>
      </c>
      <c r="G247">
        <v>1.2946147298237509</v>
      </c>
      <c r="H247">
        <v>0.28506154437857639</v>
      </c>
      <c r="I247">
        <v>1.1309839519926259</v>
      </c>
      <c r="J247">
        <v>0.61697636311906945</v>
      </c>
      <c r="K247">
        <v>0.41835240450450289</v>
      </c>
      <c r="M247">
        <f t="shared" si="10"/>
        <v>3.9143958019827196</v>
      </c>
      <c r="N247">
        <f t="shared" si="11"/>
        <v>8</v>
      </c>
    </row>
    <row r="248" spans="1:14" x14ac:dyDescent="0.35">
      <c r="A248" t="str">
        <f t="shared" si="9"/>
        <v>18097322300_2025</v>
      </c>
      <c r="B248">
        <v>18097322300</v>
      </c>
      <c r="C248">
        <v>2025</v>
      </c>
      <c r="D248">
        <v>-0.35174111315062639</v>
      </c>
      <c r="E248">
        <v>1.8850111046859881</v>
      </c>
      <c r="F248">
        <v>-1.340082389926476</v>
      </c>
      <c r="G248">
        <v>1.2568568546382519</v>
      </c>
      <c r="H248">
        <v>-0.25510695817775619</v>
      </c>
      <c r="I248">
        <v>1.1551195706900881</v>
      </c>
      <c r="J248">
        <v>0.71236453895385687</v>
      </c>
      <c r="K248">
        <v>0.39451453133589409</v>
      </c>
      <c r="M248">
        <f t="shared" si="10"/>
        <v>3.4569361390492204</v>
      </c>
      <c r="N248">
        <f t="shared" si="11"/>
        <v>8</v>
      </c>
    </row>
    <row r="249" spans="1:14" x14ac:dyDescent="0.35">
      <c r="A249" t="str">
        <f t="shared" si="9"/>
        <v>18097322300_2026</v>
      </c>
      <c r="B249">
        <v>18097322300</v>
      </c>
      <c r="C249">
        <v>2026</v>
      </c>
      <c r="D249">
        <v>-0.41706961431437589</v>
      </c>
      <c r="E249">
        <v>1.874197039385658</v>
      </c>
      <c r="F249">
        <v>-1.285564914792042</v>
      </c>
      <c r="G249">
        <v>1.1666042092584961</v>
      </c>
      <c r="H249">
        <v>-0.16185963125692379</v>
      </c>
      <c r="I249">
        <v>1.1574330364110219</v>
      </c>
      <c r="J249">
        <v>0.81279848689249456</v>
      </c>
      <c r="K249">
        <v>0.33181970446613829</v>
      </c>
      <c r="M249">
        <f t="shared" si="10"/>
        <v>3.4783583160504672</v>
      </c>
      <c r="N249">
        <f t="shared" si="11"/>
        <v>8</v>
      </c>
    </row>
    <row r="250" spans="1:14" x14ac:dyDescent="0.35">
      <c r="A250" t="str">
        <f t="shared" si="9"/>
        <v>18097322300_2027</v>
      </c>
      <c r="B250">
        <v>18097322300</v>
      </c>
      <c r="C250">
        <v>2027</v>
      </c>
      <c r="D250">
        <v>-0.4220660807839145</v>
      </c>
      <c r="E250">
        <v>1.8401554868977239</v>
      </c>
      <c r="F250">
        <v>-1.21423662358273</v>
      </c>
      <c r="G250">
        <v>1.1024850211098349</v>
      </c>
      <c r="H250">
        <v>-5.6740186466504298E-2</v>
      </c>
      <c r="I250">
        <v>1.168403170230691</v>
      </c>
      <c r="J250">
        <v>0.92589272039518455</v>
      </c>
      <c r="K250">
        <v>0.27040192815025299</v>
      </c>
      <c r="M250">
        <f t="shared" si="10"/>
        <v>3.614295435950539</v>
      </c>
      <c r="N250">
        <f t="shared" si="11"/>
        <v>8</v>
      </c>
    </row>
    <row r="251" spans="1:14" x14ac:dyDescent="0.35">
      <c r="A251" t="str">
        <f t="shared" si="9"/>
        <v>18097322300_2028</v>
      </c>
      <c r="B251">
        <v>18097322300</v>
      </c>
      <c r="C251">
        <v>2028</v>
      </c>
      <c r="D251">
        <v>-0.45239795084237339</v>
      </c>
      <c r="E251">
        <v>1.8160420415190159</v>
      </c>
      <c r="F251">
        <v>-1.158324001633243</v>
      </c>
      <c r="G251">
        <v>1.004442464558815</v>
      </c>
      <c r="H251">
        <v>-0.41009917374428839</v>
      </c>
      <c r="I251">
        <v>1.1671960155184919</v>
      </c>
      <c r="J251">
        <v>1.056898159097857</v>
      </c>
      <c r="K251">
        <v>0.20394336503644431</v>
      </c>
      <c r="M251">
        <f t="shared" si="10"/>
        <v>3.2277009195107196</v>
      </c>
      <c r="N251">
        <f t="shared" si="11"/>
        <v>8</v>
      </c>
    </row>
    <row r="252" spans="1:14" x14ac:dyDescent="0.35">
      <c r="A252" t="str">
        <f t="shared" si="9"/>
        <v>18097322400_2024</v>
      </c>
      <c r="B252">
        <v>18097322400</v>
      </c>
      <c r="C252">
        <v>2024</v>
      </c>
      <c r="D252">
        <v>0.21728707970578881</v>
      </c>
      <c r="E252">
        <v>0.9705745388691488</v>
      </c>
      <c r="F252">
        <v>0.15211514605028251</v>
      </c>
      <c r="G252">
        <v>-0.35868658533121522</v>
      </c>
      <c r="H252">
        <v>0.44578351875491368</v>
      </c>
      <c r="I252">
        <v>0.32713573369068533</v>
      </c>
      <c r="J252">
        <v>0.61697636311906945</v>
      </c>
      <c r="K252">
        <v>0.41835240450450289</v>
      </c>
      <c r="M252">
        <f t="shared" si="10"/>
        <v>2.789538199363176</v>
      </c>
      <c r="N252">
        <f t="shared" si="11"/>
        <v>8</v>
      </c>
    </row>
    <row r="253" spans="1:14" x14ac:dyDescent="0.35">
      <c r="A253" t="str">
        <f t="shared" si="9"/>
        <v>18097322400_2025</v>
      </c>
      <c r="B253">
        <v>18097322400</v>
      </c>
      <c r="C253">
        <v>2025</v>
      </c>
      <c r="D253">
        <v>0.23459783832118161</v>
      </c>
      <c r="E253">
        <v>1.039335458748188</v>
      </c>
      <c r="F253">
        <v>0.18964338370095621</v>
      </c>
      <c r="G253">
        <v>-0.38201640216309191</v>
      </c>
      <c r="H253">
        <v>0.56100169340082662</v>
      </c>
      <c r="I253">
        <v>0.41444824750537929</v>
      </c>
      <c r="J253">
        <v>0.71236453895385687</v>
      </c>
      <c r="K253">
        <v>0.39451453133589409</v>
      </c>
      <c r="M253">
        <f t="shared" si="10"/>
        <v>3.163889289803191</v>
      </c>
      <c r="N253">
        <f t="shared" si="11"/>
        <v>8</v>
      </c>
    </row>
    <row r="254" spans="1:14" x14ac:dyDescent="0.35">
      <c r="A254" t="str">
        <f t="shared" si="9"/>
        <v>18097322400_2026</v>
      </c>
      <c r="B254">
        <v>18097322400</v>
      </c>
      <c r="C254">
        <v>2026</v>
      </c>
      <c r="D254">
        <v>0.1182403558853659</v>
      </c>
      <c r="E254">
        <v>1.1201717412739081</v>
      </c>
      <c r="F254">
        <v>0.19616682216314649</v>
      </c>
      <c r="G254">
        <v>-0.40557453300404872</v>
      </c>
      <c r="H254">
        <v>0.62143149270443043</v>
      </c>
      <c r="I254">
        <v>0.49872197143779901</v>
      </c>
      <c r="J254">
        <v>0.81279848689249456</v>
      </c>
      <c r="K254">
        <v>0.33181970446613829</v>
      </c>
      <c r="M254">
        <f t="shared" si="10"/>
        <v>3.2937760418192341</v>
      </c>
      <c r="N254">
        <f t="shared" si="11"/>
        <v>8</v>
      </c>
    </row>
    <row r="255" spans="1:14" x14ac:dyDescent="0.35">
      <c r="A255" t="str">
        <f t="shared" si="9"/>
        <v>18097322400_2027</v>
      </c>
      <c r="B255">
        <v>18097322400</v>
      </c>
      <c r="C255">
        <v>2027</v>
      </c>
      <c r="D255">
        <v>8.3284354484956941E-2</v>
      </c>
      <c r="E255">
        <v>1.181239314722401</v>
      </c>
      <c r="F255">
        <v>0.19475354247770821</v>
      </c>
      <c r="G255">
        <v>-0.42365388153415051</v>
      </c>
      <c r="H255">
        <v>0.69319263072984127</v>
      </c>
      <c r="I255">
        <v>0.59177755387262665</v>
      </c>
      <c r="J255">
        <v>0.92589272039518455</v>
      </c>
      <c r="K255">
        <v>0.27040192815025299</v>
      </c>
      <c r="M255">
        <f t="shared" si="10"/>
        <v>3.5168881632988214</v>
      </c>
      <c r="N255">
        <f t="shared" si="11"/>
        <v>8</v>
      </c>
    </row>
    <row r="256" spans="1:14" x14ac:dyDescent="0.35">
      <c r="A256" t="str">
        <f t="shared" si="9"/>
        <v>18097322400_2028</v>
      </c>
      <c r="B256">
        <v>18097322400</v>
      </c>
      <c r="C256">
        <v>2028</v>
      </c>
      <c r="D256">
        <v>5.9030785377790999E-3</v>
      </c>
      <c r="E256">
        <v>1.24666400182241</v>
      </c>
      <c r="F256">
        <v>0.19868612027835919</v>
      </c>
      <c r="G256">
        <v>-0.4392446844300732</v>
      </c>
      <c r="H256">
        <v>0.7392739027288221</v>
      </c>
      <c r="I256">
        <v>0.67676903869266369</v>
      </c>
      <c r="J256">
        <v>1.056898159097857</v>
      </c>
      <c r="K256">
        <v>0.20394336503644431</v>
      </c>
      <c r="M256">
        <f t="shared" si="10"/>
        <v>3.6888929817642619</v>
      </c>
      <c r="N256">
        <f t="shared" si="11"/>
        <v>8</v>
      </c>
    </row>
    <row r="257" spans="1:14" x14ac:dyDescent="0.35">
      <c r="A257" t="str">
        <f t="shared" si="9"/>
        <v>18097322500_2024</v>
      </c>
      <c r="B257">
        <v>18097322500</v>
      </c>
      <c r="C257">
        <v>2024</v>
      </c>
      <c r="D257">
        <v>-0.4871983386449914</v>
      </c>
      <c r="F257">
        <v>1.232060348568788</v>
      </c>
      <c r="G257">
        <v>-0.88997430833012547</v>
      </c>
      <c r="H257">
        <v>-0.82271213098849894</v>
      </c>
      <c r="I257">
        <v>-0.83397301077914709</v>
      </c>
      <c r="J257">
        <v>0.61697636311906945</v>
      </c>
      <c r="K257">
        <v>0.41835240450450289</v>
      </c>
      <c r="M257">
        <f t="shared" si="10"/>
        <v>-0.76646867255040263</v>
      </c>
      <c r="N257">
        <f t="shared" si="11"/>
        <v>7</v>
      </c>
    </row>
    <row r="258" spans="1:14" x14ac:dyDescent="0.35">
      <c r="A258" t="str">
        <f t="shared" si="9"/>
        <v>18097322500_2025</v>
      </c>
      <c r="B258">
        <v>18097322500</v>
      </c>
      <c r="C258">
        <v>2025</v>
      </c>
      <c r="D258">
        <v>-0.4658148383801522</v>
      </c>
      <c r="F258">
        <v>1.159858231033678</v>
      </c>
      <c r="G258">
        <v>-0.90239593789412575</v>
      </c>
      <c r="H258">
        <v>-0.79224236852297236</v>
      </c>
      <c r="I258">
        <v>-0.76418049345975525</v>
      </c>
      <c r="J258">
        <v>0.71236453895385687</v>
      </c>
      <c r="K258">
        <v>0.39451453133589409</v>
      </c>
      <c r="M258">
        <f t="shared" si="10"/>
        <v>-0.65789633693357674</v>
      </c>
      <c r="N258">
        <f t="shared" si="11"/>
        <v>7</v>
      </c>
    </row>
    <row r="259" spans="1:14" x14ac:dyDescent="0.35">
      <c r="A259" t="str">
        <f t="shared" ref="A259:A322" si="12">TEXT(B259,0)&amp;"_"&amp;TEXT(C259,0)</f>
        <v>18097322500_2026</v>
      </c>
      <c r="B259">
        <v>18097322500</v>
      </c>
      <c r="C259">
        <v>2026</v>
      </c>
      <c r="D259">
        <v>-0.52121552155372697</v>
      </c>
      <c r="F259">
        <v>1.062474768249118</v>
      </c>
      <c r="G259">
        <v>-0.89934289436210213</v>
      </c>
      <c r="H259">
        <v>-0.68714308707839911</v>
      </c>
      <c r="I259">
        <v>-0.69485422548671072</v>
      </c>
      <c r="J259">
        <v>0.81279848689249456</v>
      </c>
      <c r="K259">
        <v>0.33181970446613829</v>
      </c>
      <c r="M259">
        <f t="shared" ref="M259:M322" si="13">SUM(D259:K259)</f>
        <v>-0.59546276887318794</v>
      </c>
      <c r="N259">
        <f t="shared" ref="N259:N322" si="14">IF(D259=0,0,1)+IF(E259=0,0,1)+IF(F259=0,0,1)+IF(G259=0,0,1)+IF(H259=0,0,1)+IF(I259=0,0,1)++IF(J259=0,0,1)++IF(K259=0,0,1)</f>
        <v>7</v>
      </c>
    </row>
    <row r="260" spans="1:14" x14ac:dyDescent="0.35">
      <c r="A260" t="str">
        <f t="shared" si="12"/>
        <v>18097322500_2027</v>
      </c>
      <c r="B260">
        <v>18097322500</v>
      </c>
      <c r="C260">
        <v>2027</v>
      </c>
      <c r="D260">
        <v>-0.52038328350198126</v>
      </c>
      <c r="F260">
        <v>0.94786728237485296</v>
      </c>
      <c r="G260">
        <v>-0.89790104303496121</v>
      </c>
      <c r="H260">
        <v>-0.60752069789711283</v>
      </c>
      <c r="I260">
        <v>-0.62561760001383215</v>
      </c>
      <c r="J260">
        <v>0.92589272039518455</v>
      </c>
      <c r="K260">
        <v>0.27040192815025299</v>
      </c>
      <c r="M260">
        <f t="shared" si="13"/>
        <v>-0.50726069352759695</v>
      </c>
      <c r="N260">
        <f t="shared" si="14"/>
        <v>7</v>
      </c>
    </row>
    <row r="261" spans="1:14" x14ac:dyDescent="0.35">
      <c r="A261" t="str">
        <f t="shared" si="12"/>
        <v>18097322500_2028</v>
      </c>
      <c r="B261">
        <v>18097322500</v>
      </c>
      <c r="C261">
        <v>2028</v>
      </c>
      <c r="D261">
        <v>-0.54156157188394383</v>
      </c>
      <c r="F261">
        <v>0.86155728711916779</v>
      </c>
      <c r="G261">
        <v>-0.88318546263581144</v>
      </c>
      <c r="H261">
        <v>-0.50332328872870735</v>
      </c>
      <c r="I261">
        <v>-0.55632758375837077</v>
      </c>
      <c r="J261">
        <v>1.056898159097857</v>
      </c>
      <c r="K261">
        <v>0.20394336503644431</v>
      </c>
      <c r="M261">
        <f t="shared" si="13"/>
        <v>-0.3619990957533642</v>
      </c>
      <c r="N261">
        <f t="shared" si="14"/>
        <v>7</v>
      </c>
    </row>
    <row r="262" spans="1:14" x14ac:dyDescent="0.35">
      <c r="A262" t="str">
        <f t="shared" si="12"/>
        <v>18097322601_2024</v>
      </c>
      <c r="B262">
        <v>18097322601</v>
      </c>
      <c r="C262">
        <v>2024</v>
      </c>
      <c r="D262">
        <v>0.22659135155351501</v>
      </c>
      <c r="F262">
        <v>1.031136716413253</v>
      </c>
      <c r="H262">
        <v>-2.2702355371971268</v>
      </c>
      <c r="I262">
        <v>-1.9670157362403291</v>
      </c>
      <c r="J262">
        <v>0.45981422825686408</v>
      </c>
      <c r="K262">
        <v>0.38747896968809481</v>
      </c>
      <c r="M262">
        <f t="shared" si="13"/>
        <v>-2.1322300075257288</v>
      </c>
      <c r="N262">
        <f t="shared" si="14"/>
        <v>6</v>
      </c>
    </row>
    <row r="263" spans="1:14" x14ac:dyDescent="0.35">
      <c r="A263" t="str">
        <f t="shared" si="12"/>
        <v>18097322601_2025</v>
      </c>
      <c r="B263">
        <v>18097322601</v>
      </c>
      <c r="C263">
        <v>2025</v>
      </c>
      <c r="D263">
        <v>0.23383238385603869</v>
      </c>
      <c r="F263">
        <v>1.296278724134287</v>
      </c>
      <c r="H263">
        <v>-2.4164433847728488</v>
      </c>
      <c r="I263">
        <v>-1.849169148841652</v>
      </c>
      <c r="J263">
        <v>0.54940775144833986</v>
      </c>
      <c r="K263">
        <v>0.38298948323255988</v>
      </c>
      <c r="M263">
        <f t="shared" si="13"/>
        <v>-1.8031041909432752</v>
      </c>
      <c r="N263">
        <f t="shared" si="14"/>
        <v>6</v>
      </c>
    </row>
    <row r="264" spans="1:14" x14ac:dyDescent="0.35">
      <c r="A264" t="str">
        <f t="shared" si="12"/>
        <v>18097322601_2026</v>
      </c>
      <c r="B264">
        <v>18097322601</v>
      </c>
      <c r="C264">
        <v>2026</v>
      </c>
      <c r="D264">
        <v>0.1154519551853472</v>
      </c>
      <c r="F264">
        <v>0.90383605923375521</v>
      </c>
      <c r="H264">
        <v>-2.4728612785860111</v>
      </c>
      <c r="I264">
        <v>-1.7693057011302791</v>
      </c>
      <c r="J264">
        <v>0.64342046810465015</v>
      </c>
      <c r="K264">
        <v>0.34242322266608111</v>
      </c>
      <c r="M264">
        <f t="shared" si="13"/>
        <v>-2.2370352745264563</v>
      </c>
      <c r="N264">
        <f t="shared" si="14"/>
        <v>6</v>
      </c>
    </row>
    <row r="265" spans="1:14" x14ac:dyDescent="0.35">
      <c r="A265" t="str">
        <f t="shared" si="12"/>
        <v>18097322601_2027</v>
      </c>
      <c r="B265">
        <v>18097322601</v>
      </c>
      <c r="C265">
        <v>2027</v>
      </c>
      <c r="D265">
        <v>7.6225849124000072E-2</v>
      </c>
      <c r="F265">
        <v>1.0578124441645951</v>
      </c>
      <c r="H265">
        <v>-2.5507097978772459</v>
      </c>
      <c r="I265">
        <v>-1.6505533079618011</v>
      </c>
      <c r="J265">
        <v>0.74910766777396509</v>
      </c>
      <c r="K265">
        <v>0.29649332942139789</v>
      </c>
      <c r="M265">
        <f t="shared" si="13"/>
        <v>-2.0216238153550892</v>
      </c>
      <c r="N265">
        <f t="shared" si="14"/>
        <v>6</v>
      </c>
    </row>
    <row r="266" spans="1:14" x14ac:dyDescent="0.35">
      <c r="A266" t="str">
        <f t="shared" si="12"/>
        <v>18097322601_2028</v>
      </c>
      <c r="B266">
        <v>18097322601</v>
      </c>
      <c r="C266">
        <v>2028</v>
      </c>
      <c r="D266">
        <v>-3.7689340913869399E-3</v>
      </c>
      <c r="F266">
        <v>0.74057558048739813</v>
      </c>
      <c r="H266">
        <v>-2.54956741919302</v>
      </c>
      <c r="I266">
        <v>-1.5608413735935369</v>
      </c>
      <c r="J266">
        <v>0.8715125177641756</v>
      </c>
      <c r="K266">
        <v>0.24134672332378579</v>
      </c>
      <c r="M266">
        <f t="shared" si="13"/>
        <v>-2.2607429053025845</v>
      </c>
      <c r="N266">
        <f t="shared" si="14"/>
        <v>6</v>
      </c>
    </row>
    <row r="267" spans="1:14" x14ac:dyDescent="0.35">
      <c r="A267" t="str">
        <f t="shared" si="12"/>
        <v>18097322602_2024</v>
      </c>
      <c r="B267">
        <v>18097322602</v>
      </c>
      <c r="C267">
        <v>2024</v>
      </c>
      <c r="D267">
        <v>-0.83691584449487733</v>
      </c>
      <c r="E267">
        <v>0.10826152967709129</v>
      </c>
      <c r="F267">
        <v>3.8564636273900098E-3</v>
      </c>
      <c r="G267">
        <v>-0.1242014107514985</v>
      </c>
      <c r="I267">
        <v>-0.92578529800003284</v>
      </c>
      <c r="J267">
        <v>0.60271378874343573</v>
      </c>
      <c r="K267">
        <v>0.41000695992987812</v>
      </c>
      <c r="M267">
        <f t="shared" si="13"/>
        <v>-0.76206381126861356</v>
      </c>
      <c r="N267">
        <f t="shared" si="14"/>
        <v>7</v>
      </c>
    </row>
    <row r="268" spans="1:14" x14ac:dyDescent="0.35">
      <c r="A268" t="str">
        <f t="shared" si="12"/>
        <v>18097322602_2025</v>
      </c>
      <c r="B268">
        <v>18097322602</v>
      </c>
      <c r="C268">
        <v>2025</v>
      </c>
      <c r="D268">
        <v>-0.81353802229620531</v>
      </c>
      <c r="E268">
        <v>7.111425156914393E-2</v>
      </c>
      <c r="F268">
        <v>-0.1186088451875051</v>
      </c>
      <c r="G268">
        <v>-6.19204920787211E-2</v>
      </c>
      <c r="I268">
        <v>-0.80454357719010194</v>
      </c>
      <c r="J268">
        <v>0.69736112070039458</v>
      </c>
      <c r="K268">
        <v>0.38560721283806348</v>
      </c>
      <c r="M268">
        <f t="shared" si="13"/>
        <v>-0.64452835164493161</v>
      </c>
      <c r="N268">
        <f t="shared" si="14"/>
        <v>7</v>
      </c>
    </row>
    <row r="269" spans="1:14" x14ac:dyDescent="0.35">
      <c r="A269" t="str">
        <f t="shared" si="12"/>
        <v>18097322602_2026</v>
      </c>
      <c r="B269">
        <v>18097322602</v>
      </c>
      <c r="C269">
        <v>2026</v>
      </c>
      <c r="D269">
        <v>-0.83855555538690929</v>
      </c>
      <c r="E269">
        <v>8.50666293529268E-3</v>
      </c>
      <c r="F269">
        <v>-2.4204699276483482E-2</v>
      </c>
      <c r="G269">
        <v>-0.17424521670917459</v>
      </c>
      <c r="I269">
        <v>-0.70960582395782268</v>
      </c>
      <c r="J269">
        <v>0.79693629018575474</v>
      </c>
      <c r="K269">
        <v>0.3229445851547485</v>
      </c>
      <c r="M269">
        <f t="shared" si="13"/>
        <v>-0.61822375705459431</v>
      </c>
      <c r="N269">
        <f t="shared" si="14"/>
        <v>7</v>
      </c>
    </row>
    <row r="270" spans="1:14" x14ac:dyDescent="0.35">
      <c r="A270" t="str">
        <f t="shared" si="12"/>
        <v>18097322602_2027</v>
      </c>
      <c r="B270">
        <v>18097322602</v>
      </c>
      <c r="C270">
        <v>2027</v>
      </c>
      <c r="D270">
        <v>-0.81989225295160628</v>
      </c>
      <c r="E270">
        <v>-2.7755316096102121E-2</v>
      </c>
      <c r="F270">
        <v>-0.1329145131432739</v>
      </c>
      <c r="G270">
        <v>-0.1328106202366284</v>
      </c>
      <c r="I270">
        <v>-0.6036814624682646</v>
      </c>
      <c r="J270">
        <v>0.90902698791593817</v>
      </c>
      <c r="K270">
        <v>0.26184451900989819</v>
      </c>
      <c r="M270">
        <f t="shared" si="13"/>
        <v>-0.54618265797003884</v>
      </c>
      <c r="N270">
        <f t="shared" si="14"/>
        <v>7</v>
      </c>
    </row>
    <row r="271" spans="1:14" x14ac:dyDescent="0.35">
      <c r="A271" t="str">
        <f t="shared" si="12"/>
        <v>18097322602_2028</v>
      </c>
      <c r="B271">
        <v>18097322602</v>
      </c>
      <c r="C271">
        <v>2028</v>
      </c>
      <c r="D271">
        <v>-0.81311001745601708</v>
      </c>
      <c r="E271">
        <v>-8.0842688210851041E-2</v>
      </c>
      <c r="F271">
        <v>-6.0348244612277488E-2</v>
      </c>
      <c r="G271">
        <v>-0.22120599522051451</v>
      </c>
      <c r="I271">
        <v>-0.50463354955800999</v>
      </c>
      <c r="J271">
        <v>1.038849383225144</v>
      </c>
      <c r="K271">
        <v>0.19601038457693651</v>
      </c>
      <c r="M271">
        <f t="shared" si="13"/>
        <v>-0.44528072725558965</v>
      </c>
      <c r="N271">
        <f t="shared" si="14"/>
        <v>7</v>
      </c>
    </row>
    <row r="272" spans="1:14" x14ac:dyDescent="0.35">
      <c r="A272" t="str">
        <f t="shared" si="12"/>
        <v>18097322700_2024</v>
      </c>
      <c r="B272">
        <v>18097322700</v>
      </c>
      <c r="C272">
        <v>2024</v>
      </c>
      <c r="D272">
        <v>-0.89992330015344613</v>
      </c>
      <c r="E272">
        <v>7.7560090794508832E-2</v>
      </c>
      <c r="F272">
        <v>-1.268303973030279</v>
      </c>
      <c r="G272">
        <v>-0.2428523704251824</v>
      </c>
      <c r="H272">
        <v>-0.5001303305681718</v>
      </c>
      <c r="I272">
        <v>-0.79134614321419605</v>
      </c>
      <c r="J272">
        <v>-1.095525716622916</v>
      </c>
      <c r="K272">
        <v>-0.44559976662715423</v>
      </c>
      <c r="M272">
        <f t="shared" si="13"/>
        <v>-5.1661215098468372</v>
      </c>
      <c r="N272">
        <f t="shared" si="14"/>
        <v>8</v>
      </c>
    </row>
    <row r="273" spans="1:14" x14ac:dyDescent="0.35">
      <c r="A273" t="str">
        <f t="shared" si="12"/>
        <v>18097322700_2025</v>
      </c>
      <c r="B273">
        <v>18097322700</v>
      </c>
      <c r="C273">
        <v>2025</v>
      </c>
      <c r="D273">
        <v>-0.90459827140832483</v>
      </c>
      <c r="E273">
        <v>8.2787523960081599E-2</v>
      </c>
      <c r="F273">
        <v>-1.26382434594399</v>
      </c>
      <c r="G273">
        <v>-0.49104204889480879</v>
      </c>
      <c r="H273">
        <v>-0.40158290864605861</v>
      </c>
      <c r="I273">
        <v>-0.67390498942480415</v>
      </c>
      <c r="J273">
        <v>-1.12778272932725</v>
      </c>
      <c r="K273">
        <v>-0.49865982219943999</v>
      </c>
      <c r="M273">
        <f t="shared" si="13"/>
        <v>-5.2786075918845947</v>
      </c>
      <c r="N273">
        <f t="shared" si="14"/>
        <v>8</v>
      </c>
    </row>
    <row r="274" spans="1:14" x14ac:dyDescent="0.35">
      <c r="A274" t="str">
        <f t="shared" si="12"/>
        <v>18097322700_2026</v>
      </c>
      <c r="B274">
        <v>18097322700</v>
      </c>
      <c r="C274">
        <v>2026</v>
      </c>
      <c r="D274">
        <v>-0.89103331042277811</v>
      </c>
      <c r="E274">
        <v>0.1126302359678439</v>
      </c>
      <c r="F274">
        <v>-1.235501117031393</v>
      </c>
      <c r="G274">
        <v>-0.34892986660103792</v>
      </c>
      <c r="H274">
        <v>-0.31614628631859659</v>
      </c>
      <c r="I274">
        <v>-0.56604376834472225</v>
      </c>
      <c r="J274">
        <v>-1.17016182795455</v>
      </c>
      <c r="K274">
        <v>-0.53781145321671486</v>
      </c>
      <c r="M274">
        <f t="shared" si="13"/>
        <v>-4.9529973939219492</v>
      </c>
      <c r="N274">
        <f t="shared" si="14"/>
        <v>8</v>
      </c>
    </row>
    <row r="275" spans="1:14" x14ac:dyDescent="0.35">
      <c r="A275" t="str">
        <f t="shared" si="12"/>
        <v>18097322700_2027</v>
      </c>
      <c r="B275">
        <v>18097322700</v>
      </c>
      <c r="C275">
        <v>2027</v>
      </c>
      <c r="D275">
        <v>-0.87028082691676734</v>
      </c>
      <c r="E275">
        <v>0.12752782065760851</v>
      </c>
      <c r="F275">
        <v>-1.182422186865203</v>
      </c>
      <c r="G275">
        <v>-0.10816175097425269</v>
      </c>
      <c r="H275">
        <v>-0.24616069453471881</v>
      </c>
      <c r="I275">
        <v>-0.4647314542279205</v>
      </c>
      <c r="J275">
        <v>-1.224059382848492</v>
      </c>
      <c r="K275">
        <v>-0.55294577298544767</v>
      </c>
      <c r="M275">
        <f t="shared" si="13"/>
        <v>-4.5212342486951931</v>
      </c>
      <c r="N275">
        <f t="shared" si="14"/>
        <v>8</v>
      </c>
    </row>
    <row r="276" spans="1:14" x14ac:dyDescent="0.35">
      <c r="A276" t="str">
        <f t="shared" si="12"/>
        <v>18097322700_2028</v>
      </c>
      <c r="B276">
        <v>18097322700</v>
      </c>
      <c r="C276">
        <v>2028</v>
      </c>
      <c r="D276">
        <v>-0.84477706564689847</v>
      </c>
      <c r="E276">
        <v>0.15003914722062581</v>
      </c>
      <c r="F276">
        <v>-1.139550910077844</v>
      </c>
      <c r="G276">
        <v>-0.2333130770609764</v>
      </c>
      <c r="H276">
        <v>-0.1675815498009092</v>
      </c>
      <c r="I276">
        <v>-0.36905623175355118</v>
      </c>
      <c r="J276">
        <v>-1.290974116365998</v>
      </c>
      <c r="K276">
        <v>-0.5473644102485008</v>
      </c>
      <c r="M276">
        <f t="shared" si="13"/>
        <v>-4.4425782137340519</v>
      </c>
      <c r="N276">
        <f t="shared" si="14"/>
        <v>8</v>
      </c>
    </row>
    <row r="277" spans="1:14" x14ac:dyDescent="0.35">
      <c r="A277" t="str">
        <f t="shared" si="12"/>
        <v>18097330103_2024</v>
      </c>
      <c r="B277">
        <v>18097330103</v>
      </c>
      <c r="C277">
        <v>2024</v>
      </c>
      <c r="D277">
        <v>-1.7607310403644221</v>
      </c>
      <c r="E277">
        <v>0.4499258027294325</v>
      </c>
      <c r="F277">
        <v>-0.51220702255953121</v>
      </c>
      <c r="G277">
        <v>0.1011055681506739</v>
      </c>
      <c r="I277">
        <v>0.46899768384929108</v>
      </c>
      <c r="J277">
        <v>1.5375073746847161</v>
      </c>
      <c r="M277">
        <f t="shared" si="13"/>
        <v>0.28459836649016013</v>
      </c>
      <c r="N277">
        <f t="shared" si="14"/>
        <v>6</v>
      </c>
    </row>
    <row r="278" spans="1:14" x14ac:dyDescent="0.35">
      <c r="A278" t="str">
        <f t="shared" si="12"/>
        <v>18097330103_2025</v>
      </c>
      <c r="B278">
        <v>18097330103</v>
      </c>
      <c r="C278">
        <v>2025</v>
      </c>
      <c r="D278">
        <v>-1.731033716649317</v>
      </c>
      <c r="E278">
        <v>0.35356513298032899</v>
      </c>
      <c r="F278">
        <v>-0.49206620903487869</v>
      </c>
      <c r="G278">
        <v>7.3696060754020618E-2</v>
      </c>
      <c r="I278">
        <v>0.43594486722419912</v>
      </c>
      <c r="J278">
        <v>1.5473911127769879</v>
      </c>
      <c r="M278">
        <f t="shared" si="13"/>
        <v>0.18749724805134083</v>
      </c>
      <c r="N278">
        <f t="shared" si="14"/>
        <v>6</v>
      </c>
    </row>
    <row r="279" spans="1:14" x14ac:dyDescent="0.35">
      <c r="A279" t="str">
        <f t="shared" si="12"/>
        <v>18097330103_2026</v>
      </c>
      <c r="B279">
        <v>18097330103</v>
      </c>
      <c r="C279">
        <v>2026</v>
      </c>
      <c r="D279">
        <v>-1.6753766110426209</v>
      </c>
      <c r="E279">
        <v>0.27051953338369572</v>
      </c>
      <c r="F279">
        <v>-0.4670711110137809</v>
      </c>
      <c r="G279">
        <v>2.748832219314918E-2</v>
      </c>
      <c r="I279">
        <v>0.38910320540871912</v>
      </c>
      <c r="J279">
        <v>1.550486398200442</v>
      </c>
      <c r="M279">
        <f t="shared" si="13"/>
        <v>9.5149737129604173E-2</v>
      </c>
      <c r="N279">
        <f t="shared" si="14"/>
        <v>6</v>
      </c>
    </row>
    <row r="280" spans="1:14" x14ac:dyDescent="0.35">
      <c r="A280" t="str">
        <f t="shared" si="12"/>
        <v>18097330103_2027</v>
      </c>
      <c r="B280">
        <v>18097330103</v>
      </c>
      <c r="C280">
        <v>2027</v>
      </c>
      <c r="D280">
        <v>-1.609014232991381</v>
      </c>
      <c r="E280">
        <v>0.18371954687498029</v>
      </c>
      <c r="F280">
        <v>-0.44238581271974742</v>
      </c>
      <c r="G280">
        <v>-5.6046055345877598E-3</v>
      </c>
      <c r="I280">
        <v>0.35017366434446501</v>
      </c>
      <c r="J280">
        <v>1.5513609175617089</v>
      </c>
      <c r="M280">
        <f t="shared" si="13"/>
        <v>2.8249477535438272E-2</v>
      </c>
      <c r="N280">
        <f t="shared" si="14"/>
        <v>6</v>
      </c>
    </row>
    <row r="281" spans="1:14" x14ac:dyDescent="0.35">
      <c r="A281" t="str">
        <f t="shared" si="12"/>
        <v>18097330103_2028</v>
      </c>
      <c r="B281">
        <v>18097330103</v>
      </c>
      <c r="C281">
        <v>2028</v>
      </c>
      <c r="D281">
        <v>-1.5279531178275449</v>
      </c>
      <c r="E281">
        <v>0.1074382299037502</v>
      </c>
      <c r="F281">
        <v>-0.42132353190985022</v>
      </c>
      <c r="G281">
        <v>-4.6685812799239911E-2</v>
      </c>
      <c r="I281">
        <v>0.30748281467938221</v>
      </c>
      <c r="J281">
        <v>1.5506160124847239</v>
      </c>
      <c r="M281">
        <f t="shared" si="13"/>
        <v>-3.0425405468778921E-2</v>
      </c>
      <c r="N281">
        <f t="shared" si="14"/>
        <v>6</v>
      </c>
    </row>
    <row r="282" spans="1:14" x14ac:dyDescent="0.35">
      <c r="A282" t="str">
        <f t="shared" si="12"/>
        <v>18097330105_2024</v>
      </c>
      <c r="B282">
        <v>18097330105</v>
      </c>
      <c r="C282">
        <v>2024</v>
      </c>
      <c r="D282">
        <v>-1.456485956620847</v>
      </c>
      <c r="E282">
        <v>0.45068636363504339</v>
      </c>
      <c r="F282">
        <v>-7.4158344525135497E-3</v>
      </c>
      <c r="G282">
        <v>-8.3990009063484389E-2</v>
      </c>
      <c r="H282">
        <v>-0.29011916185012221</v>
      </c>
      <c r="I282">
        <v>0.4680215021864722</v>
      </c>
      <c r="J282">
        <v>1.5375073746847161</v>
      </c>
      <c r="M282">
        <f t="shared" si="13"/>
        <v>0.61820427851926452</v>
      </c>
      <c r="N282">
        <f t="shared" si="14"/>
        <v>7</v>
      </c>
    </row>
    <row r="283" spans="1:14" x14ac:dyDescent="0.35">
      <c r="A283" t="str">
        <f t="shared" si="12"/>
        <v>18097330105_2025</v>
      </c>
      <c r="B283">
        <v>18097330105</v>
      </c>
      <c r="C283">
        <v>2025</v>
      </c>
      <c r="D283">
        <v>-1.415305647693327</v>
      </c>
      <c r="E283">
        <v>0.39049921321950198</v>
      </c>
      <c r="F283">
        <v>-2.9838459395962851E-2</v>
      </c>
      <c r="G283">
        <v>-0.1400272252311624</v>
      </c>
      <c r="H283">
        <v>-0.3377819763599112</v>
      </c>
      <c r="I283">
        <v>0.42574032893175912</v>
      </c>
      <c r="J283">
        <v>1.5473911127769879</v>
      </c>
      <c r="M283">
        <f t="shared" si="13"/>
        <v>0.44067734624788568</v>
      </c>
      <c r="N283">
        <f t="shared" si="14"/>
        <v>7</v>
      </c>
    </row>
    <row r="284" spans="1:14" x14ac:dyDescent="0.35">
      <c r="A284" t="str">
        <f t="shared" si="12"/>
        <v>18097330105_2026</v>
      </c>
      <c r="B284">
        <v>18097330105</v>
      </c>
      <c r="C284">
        <v>2026</v>
      </c>
      <c r="D284">
        <v>-1.373954065183479</v>
      </c>
      <c r="E284">
        <v>0.34328076720105571</v>
      </c>
      <c r="F284">
        <v>-5.717527042879917E-2</v>
      </c>
      <c r="G284">
        <v>-0.2062169525395578</v>
      </c>
      <c r="H284">
        <v>-0.49439047342909642</v>
      </c>
      <c r="I284">
        <v>0.39716418459006952</v>
      </c>
      <c r="J284">
        <v>1.550486398200442</v>
      </c>
      <c r="M284">
        <f t="shared" si="13"/>
        <v>0.15919458841063472</v>
      </c>
      <c r="N284">
        <f t="shared" si="14"/>
        <v>7</v>
      </c>
    </row>
    <row r="285" spans="1:14" x14ac:dyDescent="0.35">
      <c r="A285" t="str">
        <f t="shared" si="12"/>
        <v>18097330105_2027</v>
      </c>
      <c r="B285">
        <v>18097330105</v>
      </c>
      <c r="C285">
        <v>2027</v>
      </c>
      <c r="D285">
        <v>-1.3114358951346761</v>
      </c>
      <c r="E285">
        <v>0.28982543848928732</v>
      </c>
      <c r="F285">
        <v>-8.6423298322376038E-2</v>
      </c>
      <c r="G285">
        <v>-0.26297821968301233</v>
      </c>
      <c r="H285">
        <v>-0.58025479905748456</v>
      </c>
      <c r="I285">
        <v>0.38455187688420311</v>
      </c>
      <c r="J285">
        <v>1.5513609175617089</v>
      </c>
      <c r="M285">
        <f t="shared" si="13"/>
        <v>-1.5353979262349826E-2</v>
      </c>
      <c r="N285">
        <f t="shared" si="14"/>
        <v>7</v>
      </c>
    </row>
    <row r="286" spans="1:14" x14ac:dyDescent="0.35">
      <c r="A286" t="str">
        <f t="shared" si="12"/>
        <v>18097330105_2028</v>
      </c>
      <c r="B286">
        <v>18097330105</v>
      </c>
      <c r="C286">
        <v>2028</v>
      </c>
      <c r="D286">
        <v>-1.2457565323205599</v>
      </c>
      <c r="E286">
        <v>0.24526292551757889</v>
      </c>
      <c r="F286">
        <v>-0.1084843964915109</v>
      </c>
      <c r="G286">
        <v>-0.31803168197380072</v>
      </c>
      <c r="H286">
        <v>-0.66273270921000804</v>
      </c>
      <c r="I286">
        <v>0.37025102175410612</v>
      </c>
      <c r="J286">
        <v>1.5506160124847239</v>
      </c>
      <c r="M286">
        <f t="shared" si="13"/>
        <v>-0.16887536023947081</v>
      </c>
      <c r="N286">
        <f t="shared" si="14"/>
        <v>7</v>
      </c>
    </row>
    <row r="287" spans="1:14" x14ac:dyDescent="0.35">
      <c r="A287" t="str">
        <f t="shared" si="12"/>
        <v>18097330106_2024</v>
      </c>
      <c r="B287">
        <v>18097330106</v>
      </c>
      <c r="C287">
        <v>2024</v>
      </c>
      <c r="D287">
        <v>-0.43778418334955621</v>
      </c>
      <c r="E287">
        <v>0.17239349654501371</v>
      </c>
      <c r="F287">
        <v>1.0671450185029749</v>
      </c>
      <c r="G287">
        <v>-0.68276911845186061</v>
      </c>
      <c r="H287">
        <v>-0.71109664514331061</v>
      </c>
      <c r="I287">
        <v>-0.81471880468841829</v>
      </c>
      <c r="J287">
        <v>1.5375073746847161</v>
      </c>
      <c r="M287">
        <f t="shared" si="13"/>
        <v>0.13067713809955905</v>
      </c>
      <c r="N287">
        <f t="shared" si="14"/>
        <v>7</v>
      </c>
    </row>
    <row r="288" spans="1:14" x14ac:dyDescent="0.35">
      <c r="A288" t="str">
        <f t="shared" si="12"/>
        <v>18097330106_2025</v>
      </c>
      <c r="B288">
        <v>18097330106</v>
      </c>
      <c r="C288">
        <v>2025</v>
      </c>
      <c r="D288">
        <v>-0.35815522908461439</v>
      </c>
      <c r="E288">
        <v>0.20199354731201921</v>
      </c>
      <c r="F288">
        <v>1.006050625772791</v>
      </c>
      <c r="G288">
        <v>-0.69013297191422029</v>
      </c>
      <c r="H288">
        <v>-0.84491386256388812</v>
      </c>
      <c r="I288">
        <v>-0.94790939011347597</v>
      </c>
      <c r="J288">
        <v>1.5473911127769879</v>
      </c>
      <c r="M288">
        <f t="shared" si="13"/>
        <v>-8.5676167814400461E-2</v>
      </c>
      <c r="N288">
        <f t="shared" si="14"/>
        <v>7</v>
      </c>
    </row>
    <row r="289" spans="1:14" x14ac:dyDescent="0.35">
      <c r="A289" t="str">
        <f t="shared" si="12"/>
        <v>18097330106_2026</v>
      </c>
      <c r="B289">
        <v>18097330106</v>
      </c>
      <c r="C289">
        <v>2026</v>
      </c>
      <c r="D289">
        <v>-0.36470271167002499</v>
      </c>
      <c r="E289">
        <v>0.14467284435110581</v>
      </c>
      <c r="F289">
        <v>0.87132072278193506</v>
      </c>
      <c r="G289">
        <v>-0.68905160137340715</v>
      </c>
      <c r="H289">
        <v>-0.90675584268366805</v>
      </c>
      <c r="I289">
        <v>-1.021505757295585</v>
      </c>
      <c r="J289">
        <v>1.550486398200442</v>
      </c>
      <c r="M289">
        <f t="shared" si="13"/>
        <v>-0.41553594768920221</v>
      </c>
      <c r="N289">
        <f t="shared" si="14"/>
        <v>7</v>
      </c>
    </row>
    <row r="290" spans="1:14" x14ac:dyDescent="0.35">
      <c r="A290" t="str">
        <f t="shared" si="12"/>
        <v>18097330106_2027</v>
      </c>
      <c r="B290">
        <v>18097330106</v>
      </c>
      <c r="C290">
        <v>2027</v>
      </c>
      <c r="D290">
        <v>-0.31505599553465069</v>
      </c>
      <c r="E290">
        <v>0.14495127341144029</v>
      </c>
      <c r="F290">
        <v>0.75643339171070412</v>
      </c>
      <c r="G290">
        <v>-0.68746883914256773</v>
      </c>
      <c r="H290">
        <v>-0.98632789594444481</v>
      </c>
      <c r="I290">
        <v>-1.1135353746143579</v>
      </c>
      <c r="J290">
        <v>1.5513609175617089</v>
      </c>
      <c r="M290">
        <f t="shared" si="13"/>
        <v>-0.64964252255216803</v>
      </c>
      <c r="N290">
        <f t="shared" si="14"/>
        <v>7</v>
      </c>
    </row>
    <row r="291" spans="1:14" x14ac:dyDescent="0.35">
      <c r="A291" t="str">
        <f t="shared" si="12"/>
        <v>18097330106_2028</v>
      </c>
      <c r="B291">
        <v>18097330106</v>
      </c>
      <c r="C291">
        <v>2028</v>
      </c>
      <c r="D291">
        <v>-0.30087920002856572</v>
      </c>
      <c r="E291">
        <v>0.1102872200101561</v>
      </c>
      <c r="F291">
        <v>0.65331411488877644</v>
      </c>
      <c r="G291">
        <v>-0.67842116732740143</v>
      </c>
      <c r="H291">
        <v>-1.0179280589434909</v>
      </c>
      <c r="I291">
        <v>-1.1861126957103101</v>
      </c>
      <c r="J291">
        <v>1.5506160124847239</v>
      </c>
      <c r="M291">
        <f t="shared" si="13"/>
        <v>-0.86912377462611201</v>
      </c>
      <c r="N291">
        <f t="shared" si="14"/>
        <v>7</v>
      </c>
    </row>
    <row r="292" spans="1:14" x14ac:dyDescent="0.35">
      <c r="A292" t="str">
        <f t="shared" si="12"/>
        <v>18097330107_2024</v>
      </c>
      <c r="B292">
        <v>18097330107</v>
      </c>
      <c r="C292">
        <v>2024</v>
      </c>
      <c r="D292">
        <v>-0.44051529147758961</v>
      </c>
      <c r="E292">
        <v>1.3564049010444921</v>
      </c>
      <c r="G292">
        <v>1.779067492771262</v>
      </c>
      <c r="I292">
        <v>1.3372698988469749</v>
      </c>
      <c r="J292">
        <v>1.5375073746847161</v>
      </c>
      <c r="M292">
        <f t="shared" si="13"/>
        <v>5.5697343758698548</v>
      </c>
      <c r="N292">
        <f t="shared" si="14"/>
        <v>5</v>
      </c>
    </row>
    <row r="293" spans="1:14" x14ac:dyDescent="0.35">
      <c r="A293" t="str">
        <f t="shared" si="12"/>
        <v>18097330107_2025</v>
      </c>
      <c r="B293">
        <v>18097330107</v>
      </c>
      <c r="C293">
        <v>2025</v>
      </c>
      <c r="D293">
        <v>-0.36098941441036619</v>
      </c>
      <c r="E293">
        <v>1.324138387821111</v>
      </c>
      <c r="G293">
        <v>1.7283872231442019</v>
      </c>
      <c r="I293">
        <v>1.3553807827318849</v>
      </c>
      <c r="J293">
        <v>1.5473911127769879</v>
      </c>
      <c r="M293">
        <f t="shared" si="13"/>
        <v>5.5943080920638195</v>
      </c>
      <c r="N293">
        <f t="shared" si="14"/>
        <v>5</v>
      </c>
    </row>
    <row r="294" spans="1:14" x14ac:dyDescent="0.35">
      <c r="A294" t="str">
        <f t="shared" si="12"/>
        <v>18097330107_2026</v>
      </c>
      <c r="B294">
        <v>18097330107</v>
      </c>
      <c r="C294">
        <v>2026</v>
      </c>
      <c r="D294">
        <v>-0.36740848108292568</v>
      </c>
      <c r="E294">
        <v>1.2918728674169759</v>
      </c>
      <c r="G294">
        <v>1.590608495837146</v>
      </c>
      <c r="I294">
        <v>1.3466106457013729</v>
      </c>
      <c r="J294">
        <v>1.550486398200442</v>
      </c>
      <c r="M294">
        <f t="shared" si="13"/>
        <v>5.4121699260730116</v>
      </c>
      <c r="N294">
        <f t="shared" si="14"/>
        <v>5</v>
      </c>
    </row>
    <row r="295" spans="1:14" x14ac:dyDescent="0.35">
      <c r="A295" t="str">
        <f t="shared" si="12"/>
        <v>18097330107_2027</v>
      </c>
      <c r="B295">
        <v>18097330107</v>
      </c>
      <c r="C295">
        <v>2027</v>
      </c>
      <c r="D295">
        <v>-0.31772725631549642</v>
      </c>
      <c r="E295">
        <v>1.2373194230553879</v>
      </c>
      <c r="G295">
        <v>1.4802318025512571</v>
      </c>
      <c r="I295">
        <v>1.348065559959994</v>
      </c>
      <c r="J295">
        <v>1.5513609175617089</v>
      </c>
      <c r="M295">
        <f t="shared" si="13"/>
        <v>5.2992504468128514</v>
      </c>
      <c r="N295">
        <f t="shared" si="14"/>
        <v>5</v>
      </c>
    </row>
    <row r="296" spans="1:14" x14ac:dyDescent="0.35">
      <c r="A296" t="str">
        <f t="shared" si="12"/>
        <v>18097330107_2028</v>
      </c>
      <c r="B296">
        <v>18097330107</v>
      </c>
      <c r="C296">
        <v>2028</v>
      </c>
      <c r="D296">
        <v>-0.30341238364947892</v>
      </c>
      <c r="E296">
        <v>1.1902979446849451</v>
      </c>
      <c r="G296">
        <v>1.328540050616777</v>
      </c>
      <c r="I296">
        <v>1.3361560781273969</v>
      </c>
      <c r="J296">
        <v>1.5506160124847239</v>
      </c>
      <c r="M296">
        <f t="shared" si="13"/>
        <v>5.1021977022643643</v>
      </c>
      <c r="N296">
        <f t="shared" si="14"/>
        <v>5</v>
      </c>
    </row>
    <row r="297" spans="1:14" x14ac:dyDescent="0.35">
      <c r="A297" t="str">
        <f t="shared" si="12"/>
        <v>18097330108_2024</v>
      </c>
      <c r="B297">
        <v>18097330108</v>
      </c>
      <c r="C297">
        <v>2024</v>
      </c>
      <c r="D297">
        <v>-0.95177791501489162</v>
      </c>
      <c r="E297">
        <v>1.7916638772768381</v>
      </c>
      <c r="F297">
        <v>-1.355058427240464</v>
      </c>
      <c r="G297">
        <v>2.370531852893941</v>
      </c>
      <c r="I297">
        <v>1.7098083475264549</v>
      </c>
      <c r="J297">
        <v>1.5375073746847161</v>
      </c>
      <c r="M297">
        <f t="shared" si="13"/>
        <v>5.1026751101265946</v>
      </c>
      <c r="N297">
        <f t="shared" si="14"/>
        <v>6</v>
      </c>
    </row>
    <row r="298" spans="1:14" x14ac:dyDescent="0.35">
      <c r="A298" t="str">
        <f t="shared" si="12"/>
        <v>18097330108_2025</v>
      </c>
      <c r="B298">
        <v>18097330108</v>
      </c>
      <c r="C298">
        <v>2025</v>
      </c>
      <c r="D298">
        <v>-0.89154853973901227</v>
      </c>
      <c r="E298">
        <v>1.708428692713363</v>
      </c>
      <c r="F298">
        <v>-1.232496356891075</v>
      </c>
      <c r="G298">
        <v>2.17091541880741</v>
      </c>
      <c r="I298">
        <v>1.7031792700513819</v>
      </c>
      <c r="J298">
        <v>1.5473911127769879</v>
      </c>
      <c r="M298">
        <f t="shared" si="13"/>
        <v>5.0058695977190553</v>
      </c>
      <c r="N298">
        <f t="shared" si="14"/>
        <v>6</v>
      </c>
    </row>
    <row r="299" spans="1:14" x14ac:dyDescent="0.35">
      <c r="A299" t="str">
        <f t="shared" si="12"/>
        <v>18097330108_2026</v>
      </c>
      <c r="B299">
        <v>18097330108</v>
      </c>
      <c r="C299">
        <v>2026</v>
      </c>
      <c r="D299">
        <v>-0.8739281866713513</v>
      </c>
      <c r="E299">
        <v>1.6579998574612951</v>
      </c>
      <c r="F299">
        <v>-1.073202004097713</v>
      </c>
      <c r="G299">
        <v>1.90954225882828</v>
      </c>
      <c r="I299">
        <v>1.7563520738812191</v>
      </c>
      <c r="J299">
        <v>1.550486398200442</v>
      </c>
      <c r="M299">
        <f t="shared" si="13"/>
        <v>4.9272503976021715</v>
      </c>
      <c r="N299">
        <f t="shared" si="14"/>
        <v>6</v>
      </c>
    </row>
    <row r="300" spans="1:14" x14ac:dyDescent="0.35">
      <c r="A300" t="str">
        <f t="shared" si="12"/>
        <v>18097330108_2027</v>
      </c>
      <c r="B300">
        <v>18097330108</v>
      </c>
      <c r="C300">
        <v>2027</v>
      </c>
      <c r="D300">
        <v>-0.81778708815409962</v>
      </c>
      <c r="E300">
        <v>1.5945662487296779</v>
      </c>
      <c r="F300">
        <v>-0.88178110768340556</v>
      </c>
      <c r="G300">
        <v>1.6994805539920541</v>
      </c>
      <c r="I300">
        <v>1.7613312416034661</v>
      </c>
      <c r="J300">
        <v>1.5513609175617089</v>
      </c>
      <c r="M300">
        <f t="shared" si="13"/>
        <v>4.9071707660494024</v>
      </c>
      <c r="N300">
        <f t="shared" si="14"/>
        <v>6</v>
      </c>
    </row>
    <row r="301" spans="1:14" x14ac:dyDescent="0.35">
      <c r="A301" t="str">
        <f t="shared" si="12"/>
        <v>18097330108_2028</v>
      </c>
      <c r="B301">
        <v>18097330108</v>
      </c>
      <c r="C301">
        <v>2028</v>
      </c>
      <c r="D301">
        <v>-0.77762428516547533</v>
      </c>
      <c r="E301">
        <v>1.5446405035614239</v>
      </c>
      <c r="F301">
        <v>-0.67208325904907684</v>
      </c>
      <c r="G301">
        <v>1.4575910640859999</v>
      </c>
      <c r="I301">
        <v>1.786610154926731</v>
      </c>
      <c r="J301">
        <v>1.5506160124847239</v>
      </c>
      <c r="M301">
        <f t="shared" si="13"/>
        <v>4.8897501908443264</v>
      </c>
      <c r="N301">
        <f t="shared" si="14"/>
        <v>6</v>
      </c>
    </row>
    <row r="302" spans="1:14" x14ac:dyDescent="0.35">
      <c r="A302" t="str">
        <f t="shared" si="12"/>
        <v>18097330109_2024</v>
      </c>
      <c r="B302">
        <v>18097330109</v>
      </c>
      <c r="C302">
        <v>2024</v>
      </c>
      <c r="D302">
        <v>-0.62240679381452801</v>
      </c>
      <c r="E302">
        <v>1.106297176650713</v>
      </c>
      <c r="F302">
        <v>-1.405864754931706</v>
      </c>
      <c r="G302">
        <v>0.4660712151708955</v>
      </c>
      <c r="H302">
        <v>1.280666389912523</v>
      </c>
      <c r="I302">
        <v>0.69580410784138425</v>
      </c>
      <c r="J302">
        <v>1.5375073746847161</v>
      </c>
      <c r="M302">
        <f t="shared" si="13"/>
        <v>3.0580747155139978</v>
      </c>
      <c r="N302">
        <f t="shared" si="14"/>
        <v>7</v>
      </c>
    </row>
    <row r="303" spans="1:14" x14ac:dyDescent="0.35">
      <c r="A303" t="str">
        <f t="shared" si="12"/>
        <v>18097330109_2025</v>
      </c>
      <c r="B303">
        <v>18097330109</v>
      </c>
      <c r="C303">
        <v>2025</v>
      </c>
      <c r="D303">
        <v>-0.54974602331963607</v>
      </c>
      <c r="E303">
        <v>1.0597698760838989</v>
      </c>
      <c r="F303">
        <v>-1.3402150117503691</v>
      </c>
      <c r="G303">
        <v>0.30981531744894769</v>
      </c>
      <c r="H303">
        <v>1.1736852080760241</v>
      </c>
      <c r="I303">
        <v>0.54351757816897983</v>
      </c>
      <c r="J303">
        <v>1.5473911127769879</v>
      </c>
      <c r="M303">
        <f t="shared" si="13"/>
        <v>2.7442180574848334</v>
      </c>
      <c r="N303">
        <f t="shared" si="14"/>
        <v>7</v>
      </c>
    </row>
    <row r="304" spans="1:14" x14ac:dyDescent="0.35">
      <c r="A304" t="str">
        <f t="shared" si="12"/>
        <v>18097330109_2026</v>
      </c>
      <c r="B304">
        <v>18097330109</v>
      </c>
      <c r="C304">
        <v>2026</v>
      </c>
      <c r="D304">
        <v>-0.54761260483528262</v>
      </c>
      <c r="E304">
        <v>1.0294085648433331</v>
      </c>
      <c r="F304">
        <v>-1.2555786725634761</v>
      </c>
      <c r="G304">
        <v>0.14671722600485529</v>
      </c>
      <c r="H304">
        <v>1.06838805738086</v>
      </c>
      <c r="I304">
        <v>0.42067891654685857</v>
      </c>
      <c r="J304">
        <v>1.550486398200442</v>
      </c>
      <c r="M304">
        <f t="shared" si="13"/>
        <v>2.4124878855775904</v>
      </c>
      <c r="N304">
        <f t="shared" si="14"/>
        <v>7</v>
      </c>
    </row>
    <row r="305" spans="1:14" x14ac:dyDescent="0.35">
      <c r="A305" t="str">
        <f t="shared" si="12"/>
        <v>18097330109_2027</v>
      </c>
      <c r="B305">
        <v>18097330109</v>
      </c>
      <c r="C305">
        <v>2027</v>
      </c>
      <c r="D305">
        <v>-0.49563315753394388</v>
      </c>
      <c r="E305">
        <v>0.98589074080637085</v>
      </c>
      <c r="F305">
        <v>-1.1602773154760611</v>
      </c>
      <c r="G305">
        <v>1.243186407783114E-2</v>
      </c>
      <c r="H305">
        <v>0.96462551692352605</v>
      </c>
      <c r="I305">
        <v>0.33525661444667187</v>
      </c>
      <c r="J305">
        <v>1.5513609175617089</v>
      </c>
      <c r="M305">
        <f t="shared" si="13"/>
        <v>2.193655180806104</v>
      </c>
      <c r="N305">
        <f t="shared" si="14"/>
        <v>7</v>
      </c>
    </row>
    <row r="306" spans="1:14" x14ac:dyDescent="0.35">
      <c r="A306" t="str">
        <f t="shared" si="12"/>
        <v>18097330109_2028</v>
      </c>
      <c r="B306">
        <v>18097330109</v>
      </c>
      <c r="C306">
        <v>2028</v>
      </c>
      <c r="D306">
        <v>-0.47212238799655099</v>
      </c>
      <c r="E306">
        <v>0.95204011989463477</v>
      </c>
      <c r="F306">
        <v>-1.0834326097585061</v>
      </c>
      <c r="G306">
        <v>-0.1141502342588584</v>
      </c>
      <c r="H306">
        <v>0.86889959515216408</v>
      </c>
      <c r="I306">
        <v>0.26681450123356792</v>
      </c>
      <c r="J306">
        <v>1.5506160124847239</v>
      </c>
      <c r="M306">
        <f t="shared" si="13"/>
        <v>1.9686649967511753</v>
      </c>
      <c r="N306">
        <f t="shared" si="14"/>
        <v>7</v>
      </c>
    </row>
    <row r="307" spans="1:14" x14ac:dyDescent="0.35">
      <c r="A307" t="str">
        <f t="shared" si="12"/>
        <v>18097330204_2024</v>
      </c>
      <c r="B307">
        <v>18097330204</v>
      </c>
      <c r="C307">
        <v>2024</v>
      </c>
      <c r="D307">
        <v>-1.7262157648293901</v>
      </c>
      <c r="E307">
        <v>0.55718733560180622</v>
      </c>
      <c r="F307">
        <v>-1.4878537507922029</v>
      </c>
      <c r="G307">
        <v>1.642724715292466</v>
      </c>
      <c r="I307">
        <v>0.159611787957846</v>
      </c>
      <c r="J307">
        <v>-0.22395993270265341</v>
      </c>
      <c r="K307">
        <v>0.59541816661440039</v>
      </c>
      <c r="M307">
        <f t="shared" si="13"/>
        <v>-0.48308744285772798</v>
      </c>
      <c r="N307">
        <f t="shared" si="14"/>
        <v>7</v>
      </c>
    </row>
    <row r="308" spans="1:14" x14ac:dyDescent="0.35">
      <c r="A308" t="str">
        <f t="shared" si="12"/>
        <v>18097330204_2025</v>
      </c>
      <c r="B308">
        <v>18097330204</v>
      </c>
      <c r="C308">
        <v>2025</v>
      </c>
      <c r="D308">
        <v>-1.6958669275925731</v>
      </c>
      <c r="E308">
        <v>0.48868174510229601</v>
      </c>
      <c r="F308">
        <v>-1.439567890018667</v>
      </c>
      <c r="G308">
        <v>1.6371158148303939</v>
      </c>
      <c r="I308">
        <v>0.1562711768473396</v>
      </c>
      <c r="J308">
        <v>-0.20526150608579879</v>
      </c>
      <c r="K308">
        <v>0.48461244909343099</v>
      </c>
      <c r="M308">
        <f t="shared" si="13"/>
        <v>-0.57401513782357849</v>
      </c>
      <c r="N308">
        <f t="shared" si="14"/>
        <v>7</v>
      </c>
    </row>
    <row r="309" spans="1:14" x14ac:dyDescent="0.35">
      <c r="A309" t="str">
        <f t="shared" si="12"/>
        <v>18097330204_2026</v>
      </c>
      <c r="B309">
        <v>18097330204</v>
      </c>
      <c r="C309">
        <v>2026</v>
      </c>
      <c r="D309">
        <v>-1.6413396202525941</v>
      </c>
      <c r="E309">
        <v>0.43308754748734007</v>
      </c>
      <c r="F309">
        <v>-1.368869124264138</v>
      </c>
      <c r="G309">
        <v>1.4952824531402871</v>
      </c>
      <c r="I309">
        <v>0.14547687543279719</v>
      </c>
      <c r="J309">
        <v>-0.19258673304361701</v>
      </c>
      <c r="K309">
        <v>0.33457600083519062</v>
      </c>
      <c r="M309">
        <f t="shared" si="13"/>
        <v>-0.79437260066473403</v>
      </c>
      <c r="N309">
        <f t="shared" si="14"/>
        <v>7</v>
      </c>
    </row>
    <row r="310" spans="1:14" x14ac:dyDescent="0.35">
      <c r="A310" t="str">
        <f t="shared" si="12"/>
        <v>18097330204_2027</v>
      </c>
      <c r="B310">
        <v>18097330204</v>
      </c>
      <c r="C310">
        <v>2027</v>
      </c>
      <c r="D310">
        <v>-1.5753869433928189</v>
      </c>
      <c r="E310">
        <v>0.37095066019769729</v>
      </c>
      <c r="F310">
        <v>-1.283166426959387</v>
      </c>
      <c r="G310">
        <v>1.425356167423895</v>
      </c>
      <c r="I310">
        <v>0.14008499283634551</v>
      </c>
      <c r="J310">
        <v>-0.183108134167114</v>
      </c>
      <c r="K310">
        <v>0.20019038014065599</v>
      </c>
      <c r="M310">
        <f t="shared" si="13"/>
        <v>-0.90507930392072589</v>
      </c>
      <c r="N310">
        <f t="shared" si="14"/>
        <v>7</v>
      </c>
    </row>
    <row r="311" spans="1:14" x14ac:dyDescent="0.35">
      <c r="A311" t="str">
        <f t="shared" si="12"/>
        <v>18097330204_2028</v>
      </c>
      <c r="B311">
        <v>18097330204</v>
      </c>
      <c r="C311">
        <v>2028</v>
      </c>
      <c r="D311">
        <v>-1.4958920811458021</v>
      </c>
      <c r="E311">
        <v>0.31833050771315752</v>
      </c>
      <c r="F311">
        <v>-1.216300790217808</v>
      </c>
      <c r="G311">
        <v>1.2932616788563791</v>
      </c>
      <c r="I311">
        <v>0.13141188532463599</v>
      </c>
      <c r="J311">
        <v>-0.17562497996575599</v>
      </c>
      <c r="K311">
        <v>8.0432070019121032E-2</v>
      </c>
      <c r="M311">
        <f t="shared" si="13"/>
        <v>-1.0643817094160724</v>
      </c>
      <c r="N311">
        <f t="shared" si="14"/>
        <v>7</v>
      </c>
    </row>
    <row r="312" spans="1:14" x14ac:dyDescent="0.35">
      <c r="A312" t="str">
        <f t="shared" si="12"/>
        <v>18097330210_2024</v>
      </c>
      <c r="B312">
        <v>18097330210</v>
      </c>
      <c r="C312">
        <v>2024</v>
      </c>
      <c r="D312">
        <v>-0.67903005817028905</v>
      </c>
      <c r="E312">
        <v>5.0341841577205719E-2</v>
      </c>
      <c r="F312">
        <v>-0.85799055697750393</v>
      </c>
      <c r="G312">
        <v>0.4023044469002014</v>
      </c>
      <c r="H312">
        <v>0.87781433925632246</v>
      </c>
      <c r="J312">
        <v>-0.22395993270265341</v>
      </c>
      <c r="K312">
        <v>0.59541816656703717</v>
      </c>
      <c r="M312">
        <f t="shared" si="13"/>
        <v>0.16489824645032042</v>
      </c>
      <c r="N312">
        <f t="shared" si="14"/>
        <v>7</v>
      </c>
    </row>
    <row r="313" spans="1:14" x14ac:dyDescent="0.35">
      <c r="A313" t="str">
        <f t="shared" si="12"/>
        <v>18097330210_2025</v>
      </c>
      <c r="B313">
        <v>18097330210</v>
      </c>
      <c r="C313">
        <v>2025</v>
      </c>
      <c r="D313">
        <v>-0.62125397519554815</v>
      </c>
      <c r="E313">
        <v>5.2999900576292988E-2</v>
      </c>
      <c r="F313">
        <v>-0.8214203613654899</v>
      </c>
      <c r="G313">
        <v>0.26960852748323588</v>
      </c>
      <c r="H313">
        <v>0.82503415820361636</v>
      </c>
      <c r="J313">
        <v>-0.20526150608579879</v>
      </c>
      <c r="K313">
        <v>0.48461244897933148</v>
      </c>
      <c r="M313">
        <f t="shared" si="13"/>
        <v>-1.5680807404360231E-2</v>
      </c>
      <c r="N313">
        <f t="shared" si="14"/>
        <v>7</v>
      </c>
    </row>
    <row r="314" spans="1:14" x14ac:dyDescent="0.35">
      <c r="A314" t="str">
        <f t="shared" si="12"/>
        <v>18097330210_2026</v>
      </c>
      <c r="B314">
        <v>18097330210</v>
      </c>
      <c r="C314">
        <v>2026</v>
      </c>
      <c r="D314">
        <v>-0.60680335683964692</v>
      </c>
      <c r="E314">
        <v>9.1857191296061041E-2</v>
      </c>
      <c r="F314">
        <v>-0.81235974275183376</v>
      </c>
      <c r="G314">
        <v>0.24368382440059111</v>
      </c>
      <c r="H314">
        <v>0.69773082277696041</v>
      </c>
      <c r="J314">
        <v>-0.19258673304361701</v>
      </c>
      <c r="K314">
        <v>0.3345760006592961</v>
      </c>
      <c r="M314">
        <f t="shared" si="13"/>
        <v>-0.24390199350218894</v>
      </c>
      <c r="N314">
        <f t="shared" si="14"/>
        <v>7</v>
      </c>
    </row>
    <row r="315" spans="1:14" x14ac:dyDescent="0.35">
      <c r="A315" t="str">
        <f t="shared" si="12"/>
        <v>18097330210_2027</v>
      </c>
      <c r="B315">
        <v>18097330210</v>
      </c>
      <c r="C315">
        <v>2027</v>
      </c>
      <c r="D315">
        <v>-0.55359031530994462</v>
      </c>
      <c r="E315">
        <v>0.1115476508942614</v>
      </c>
      <c r="F315">
        <v>-0.78473100515145844</v>
      </c>
      <c r="G315">
        <v>0.13852732515678839</v>
      </c>
      <c r="H315">
        <v>0.60224328917225634</v>
      </c>
      <c r="J315">
        <v>-0.183108134167114</v>
      </c>
      <c r="K315">
        <v>0.20019037991692459</v>
      </c>
      <c r="M315">
        <f t="shared" si="13"/>
        <v>-0.46892080948828629</v>
      </c>
      <c r="N315">
        <f t="shared" si="14"/>
        <v>7</v>
      </c>
    </row>
    <row r="316" spans="1:14" x14ac:dyDescent="0.35">
      <c r="A316" t="str">
        <f t="shared" si="12"/>
        <v>18097330210_2028</v>
      </c>
      <c r="B316">
        <v>18097330210</v>
      </c>
      <c r="C316">
        <v>2028</v>
      </c>
      <c r="D316">
        <v>-0.52371666952350859</v>
      </c>
      <c r="E316">
        <v>0.1398863597408346</v>
      </c>
      <c r="F316">
        <v>-0.7653153250408905</v>
      </c>
      <c r="G316">
        <v>9.7964335225474167E-2</v>
      </c>
      <c r="H316">
        <v>0.51054344827607745</v>
      </c>
      <c r="J316">
        <v>-0.17562497996575599</v>
      </c>
      <c r="K316">
        <v>8.0432069768273509E-2</v>
      </c>
      <c r="M316">
        <f t="shared" si="13"/>
        <v>-0.63583076151949525</v>
      </c>
      <c r="N316">
        <f t="shared" si="14"/>
        <v>7</v>
      </c>
    </row>
    <row r="317" spans="1:14" x14ac:dyDescent="0.35">
      <c r="A317" t="str">
        <f t="shared" si="12"/>
        <v>18097330211_2024</v>
      </c>
      <c r="B317">
        <v>18097330211</v>
      </c>
      <c r="C317">
        <v>2024</v>
      </c>
      <c r="D317">
        <v>-0.52575931472797843</v>
      </c>
      <c r="F317">
        <v>0.25574205555661222</v>
      </c>
      <c r="H317">
        <v>-0.28084397376574738</v>
      </c>
      <c r="I317">
        <v>-1.521977739971945</v>
      </c>
      <c r="J317">
        <v>-0.22395993270265341</v>
      </c>
      <c r="K317">
        <v>0.59541816656703717</v>
      </c>
      <c r="M317">
        <f t="shared" si="13"/>
        <v>-1.7013807390446751</v>
      </c>
      <c r="N317">
        <f t="shared" si="14"/>
        <v>6</v>
      </c>
    </row>
    <row r="318" spans="1:14" x14ac:dyDescent="0.35">
      <c r="A318" t="str">
        <f t="shared" si="12"/>
        <v>18097330211_2025</v>
      </c>
      <c r="B318">
        <v>18097330211</v>
      </c>
      <c r="C318">
        <v>2025</v>
      </c>
      <c r="D318">
        <v>-0.46396879080800418</v>
      </c>
      <c r="F318">
        <v>5.4713609582912118E-2</v>
      </c>
      <c r="H318">
        <v>-0.17233219781754441</v>
      </c>
      <c r="I318">
        <v>-1.577862844919484</v>
      </c>
      <c r="J318">
        <v>-0.20526150608579879</v>
      </c>
      <c r="K318">
        <v>0.48461244897933148</v>
      </c>
      <c r="M318">
        <f t="shared" si="13"/>
        <v>-1.8800992810685877</v>
      </c>
      <c r="N318">
        <f t="shared" si="14"/>
        <v>6</v>
      </c>
    </row>
    <row r="319" spans="1:14" x14ac:dyDescent="0.35">
      <c r="A319" t="str">
        <f t="shared" si="12"/>
        <v>18097330211_2026</v>
      </c>
      <c r="B319">
        <v>18097330211</v>
      </c>
      <c r="C319">
        <v>2026</v>
      </c>
      <c r="D319">
        <v>-0.4553839877030002</v>
      </c>
      <c r="F319">
        <v>-6.7717058713969158E-2</v>
      </c>
      <c r="H319">
        <v>-0.61209127366771054</v>
      </c>
      <c r="I319">
        <v>-1.610073316232919</v>
      </c>
      <c r="J319">
        <v>-0.19258673304361701</v>
      </c>
      <c r="K319">
        <v>0.3345760006592961</v>
      </c>
      <c r="M319">
        <f t="shared" si="13"/>
        <v>-2.6032763687019203</v>
      </c>
      <c r="N319">
        <f t="shared" si="14"/>
        <v>6</v>
      </c>
    </row>
    <row r="320" spans="1:14" x14ac:dyDescent="0.35">
      <c r="A320" t="str">
        <f t="shared" si="12"/>
        <v>18097330211_2027</v>
      </c>
      <c r="B320">
        <v>18097330211</v>
      </c>
      <c r="C320">
        <v>2027</v>
      </c>
      <c r="D320">
        <v>-0.40403555179697259</v>
      </c>
      <c r="F320">
        <v>-0.18343070890145299</v>
      </c>
      <c r="H320">
        <v>-0.4901772950544907</v>
      </c>
      <c r="I320">
        <v>-1.6472396845957831</v>
      </c>
      <c r="J320">
        <v>-0.183108134167114</v>
      </c>
      <c r="K320">
        <v>0.20019037991692459</v>
      </c>
      <c r="M320">
        <f t="shared" si="13"/>
        <v>-2.7078009945988888</v>
      </c>
      <c r="N320">
        <f t="shared" si="14"/>
        <v>6</v>
      </c>
    </row>
    <row r="321" spans="1:14" x14ac:dyDescent="0.35">
      <c r="A321" t="str">
        <f t="shared" si="12"/>
        <v>18097330211_2028</v>
      </c>
      <c r="B321">
        <v>18097330211</v>
      </c>
      <c r="C321">
        <v>2028</v>
      </c>
      <c r="D321">
        <v>-0.38142468192027978</v>
      </c>
      <c r="F321">
        <v>-0.27007756953076623</v>
      </c>
      <c r="H321">
        <v>-0.84642093515184891</v>
      </c>
      <c r="I321">
        <v>-1.6692924379164771</v>
      </c>
      <c r="J321">
        <v>-0.17562497996575599</v>
      </c>
      <c r="K321">
        <v>8.0432069768273509E-2</v>
      </c>
      <c r="M321">
        <f t="shared" si="13"/>
        <v>-3.2624085347168545</v>
      </c>
      <c r="N321">
        <f t="shared" si="14"/>
        <v>6</v>
      </c>
    </row>
    <row r="322" spans="1:14" x14ac:dyDescent="0.35">
      <c r="A322" t="str">
        <f t="shared" si="12"/>
        <v>18097330212_2024</v>
      </c>
      <c r="B322">
        <v>18097330212</v>
      </c>
      <c r="C322">
        <v>2024</v>
      </c>
      <c r="D322">
        <v>-1.200645085051891</v>
      </c>
      <c r="E322">
        <v>-0.50181555525491917</v>
      </c>
      <c r="F322">
        <v>-1.2180163407243101</v>
      </c>
      <c r="G322">
        <v>0.56559074268166765</v>
      </c>
      <c r="I322">
        <v>-0.938176073809037</v>
      </c>
      <c r="J322">
        <v>-0.22395993270265341</v>
      </c>
      <c r="K322">
        <v>0.59541816656703717</v>
      </c>
      <c r="M322">
        <f t="shared" si="13"/>
        <v>-2.9216040782941062</v>
      </c>
      <c r="N322">
        <f t="shared" si="14"/>
        <v>7</v>
      </c>
    </row>
    <row r="323" spans="1:14" x14ac:dyDescent="0.35">
      <c r="A323" t="str">
        <f t="shared" ref="A323:A386" si="15">TEXT(B323,0)&amp;"_"&amp;TEXT(C323,0)</f>
        <v>18097330212_2025</v>
      </c>
      <c r="B323">
        <v>18097330212</v>
      </c>
      <c r="C323">
        <v>2025</v>
      </c>
      <c r="D323">
        <v>-1.1565309548736</v>
      </c>
      <c r="E323">
        <v>-0.56099744745740276</v>
      </c>
      <c r="F323">
        <v>-1.2164240551458281</v>
      </c>
      <c r="G323">
        <v>0.63432007011648939</v>
      </c>
      <c r="I323">
        <v>-1.0387778910026251</v>
      </c>
      <c r="J323">
        <v>-0.20526150608579879</v>
      </c>
      <c r="K323">
        <v>0.48461244897933148</v>
      </c>
      <c r="M323">
        <f t="shared" ref="M323:M386" si="16">SUM(D323:K323)</f>
        <v>-3.0590593354694344</v>
      </c>
      <c r="N323">
        <f t="shared" ref="N323:N386" si="17">IF(D323=0,0,1)+IF(E323=0,0,1)+IF(F323=0,0,1)+IF(G323=0,0,1)+IF(H323=0,0,1)+IF(I323=0,0,1)++IF(J323=0,0,1)++IF(K323=0,0,1)</f>
        <v>7</v>
      </c>
    </row>
    <row r="324" spans="1:14" x14ac:dyDescent="0.35">
      <c r="A324" t="str">
        <f t="shared" si="15"/>
        <v>18097330212_2026</v>
      </c>
      <c r="B324">
        <v>18097330212</v>
      </c>
      <c r="C324">
        <v>2026</v>
      </c>
      <c r="D324">
        <v>-1.122117651195329</v>
      </c>
      <c r="E324">
        <v>-0.61612363724067332</v>
      </c>
      <c r="F324">
        <v>-1.197195001724918</v>
      </c>
      <c r="G324">
        <v>0.66662501064652857</v>
      </c>
      <c r="I324">
        <v>-1.163009933006917</v>
      </c>
      <c r="J324">
        <v>-0.19258673304361701</v>
      </c>
      <c r="K324">
        <v>0.3345760006592961</v>
      </c>
      <c r="M324">
        <f t="shared" si="16"/>
        <v>-3.2898319449056292</v>
      </c>
      <c r="N324">
        <f t="shared" si="17"/>
        <v>7</v>
      </c>
    </row>
    <row r="325" spans="1:14" x14ac:dyDescent="0.35">
      <c r="A325" t="str">
        <f t="shared" si="15"/>
        <v>18097330212_2027</v>
      </c>
      <c r="B325">
        <v>18097330212</v>
      </c>
      <c r="C325">
        <v>2027</v>
      </c>
      <c r="D325">
        <v>-1.0625588958652989</v>
      </c>
      <c r="E325">
        <v>-0.66820795479069983</v>
      </c>
      <c r="F325">
        <v>-1.151965498911075</v>
      </c>
      <c r="G325">
        <v>0.71242910216763178</v>
      </c>
      <c r="I325">
        <v>-1.2551487633255931</v>
      </c>
      <c r="J325">
        <v>-0.183108134167114</v>
      </c>
      <c r="K325">
        <v>0.20019037991692459</v>
      </c>
      <c r="M325">
        <f t="shared" si="16"/>
        <v>-3.4083697649752245</v>
      </c>
      <c r="N325">
        <f t="shared" si="17"/>
        <v>7</v>
      </c>
    </row>
    <row r="326" spans="1:14" x14ac:dyDescent="0.35">
      <c r="A326" t="str">
        <f t="shared" si="15"/>
        <v>18097330212_2028</v>
      </c>
      <c r="B326">
        <v>18097330212</v>
      </c>
      <c r="C326">
        <v>2028</v>
      </c>
      <c r="D326">
        <v>-1.007968367345335</v>
      </c>
      <c r="E326">
        <v>-0.71334899851032518</v>
      </c>
      <c r="F326">
        <v>-1.1148212977322991</v>
      </c>
      <c r="G326">
        <v>0.72668170653835973</v>
      </c>
      <c r="I326">
        <v>-1.358621163590076</v>
      </c>
      <c r="J326">
        <v>-0.17562497996575599</v>
      </c>
      <c r="K326">
        <v>8.0432069768273509E-2</v>
      </c>
      <c r="M326">
        <f t="shared" si="16"/>
        <v>-3.563271030837158</v>
      </c>
      <c r="N326">
        <f t="shared" si="17"/>
        <v>7</v>
      </c>
    </row>
    <row r="327" spans="1:14" x14ac:dyDescent="0.35">
      <c r="A327" t="str">
        <f t="shared" si="15"/>
        <v>18097330401_2024</v>
      </c>
      <c r="B327">
        <v>18097330401</v>
      </c>
      <c r="C327">
        <v>2024</v>
      </c>
      <c r="D327">
        <v>-0.17135734534719099</v>
      </c>
      <c r="E327">
        <v>0.81860915336979756</v>
      </c>
      <c r="F327">
        <v>-0.71284225734802997</v>
      </c>
      <c r="G327">
        <v>1.0767560495069191</v>
      </c>
      <c r="I327">
        <v>0.78946140641972873</v>
      </c>
      <c r="J327">
        <v>1.5191203593926781</v>
      </c>
      <c r="M327">
        <f t="shared" si="16"/>
        <v>3.3197473659939023</v>
      </c>
      <c r="N327">
        <f t="shared" si="17"/>
        <v>6</v>
      </c>
    </row>
    <row r="328" spans="1:14" x14ac:dyDescent="0.35">
      <c r="A328" t="str">
        <f t="shared" si="15"/>
        <v>18097330401_2025</v>
      </c>
      <c r="B328">
        <v>18097330401</v>
      </c>
      <c r="C328">
        <v>2025</v>
      </c>
      <c r="D328">
        <v>-0.1541342063254201</v>
      </c>
      <c r="E328">
        <v>0.7434108369921405</v>
      </c>
      <c r="F328">
        <v>-0.76761514622410543</v>
      </c>
      <c r="G328">
        <v>0.93492624860031437</v>
      </c>
      <c r="I328">
        <v>0.78868482594589984</v>
      </c>
      <c r="J328">
        <v>1.517203098251813</v>
      </c>
      <c r="M328">
        <f t="shared" si="16"/>
        <v>3.0624756572406424</v>
      </c>
      <c r="N328">
        <f t="shared" si="17"/>
        <v>6</v>
      </c>
    </row>
    <row r="329" spans="1:14" x14ac:dyDescent="0.35">
      <c r="A329" t="str">
        <f t="shared" si="15"/>
        <v>18097330401_2026</v>
      </c>
      <c r="B329">
        <v>18097330401</v>
      </c>
      <c r="C329">
        <v>2026</v>
      </c>
      <c r="D329">
        <v>-0.17538251424737811</v>
      </c>
      <c r="E329">
        <v>0.68257376978480955</v>
      </c>
      <c r="F329">
        <v>-0.73444678721499668</v>
      </c>
      <c r="G329">
        <v>0.76361135913042166</v>
      </c>
      <c r="I329">
        <v>0.7971935371972404</v>
      </c>
      <c r="J329">
        <v>1.507952869195458</v>
      </c>
      <c r="M329">
        <f t="shared" si="16"/>
        <v>2.8415022338455547</v>
      </c>
      <c r="N329">
        <f t="shared" si="17"/>
        <v>6</v>
      </c>
    </row>
    <row r="330" spans="1:14" x14ac:dyDescent="0.35">
      <c r="A330" t="str">
        <f t="shared" si="15"/>
        <v>18097330401_2027</v>
      </c>
      <c r="B330">
        <v>18097330401</v>
      </c>
      <c r="C330">
        <v>2027</v>
      </c>
      <c r="D330">
        <v>-0.15819712266169761</v>
      </c>
      <c r="E330">
        <v>0.61330278873851496</v>
      </c>
      <c r="F330">
        <v>-0.72885314503972598</v>
      </c>
      <c r="G330">
        <v>0.62452078631329444</v>
      </c>
      <c r="I330">
        <v>0.80145159045725023</v>
      </c>
      <c r="J330">
        <v>1.494844153489721</v>
      </c>
      <c r="M330">
        <f t="shared" si="16"/>
        <v>2.6470690512973571</v>
      </c>
      <c r="N330">
        <f t="shared" si="17"/>
        <v>6</v>
      </c>
    </row>
    <row r="331" spans="1:14" x14ac:dyDescent="0.35">
      <c r="A331" t="str">
        <f t="shared" si="15"/>
        <v>18097330401_2028</v>
      </c>
      <c r="B331">
        <v>18097330401</v>
      </c>
      <c r="C331">
        <v>2028</v>
      </c>
      <c r="D331">
        <v>-0.17136392720552149</v>
      </c>
      <c r="E331">
        <v>0.55439035755026478</v>
      </c>
      <c r="F331">
        <v>-0.71004717729571032</v>
      </c>
      <c r="G331">
        <v>0.47473437461814411</v>
      </c>
      <c r="I331">
        <v>0.80174599473362895</v>
      </c>
      <c r="J331">
        <v>1.477935567254552</v>
      </c>
      <c r="M331">
        <f t="shared" si="16"/>
        <v>2.4273951896553578</v>
      </c>
      <c r="N331">
        <f t="shared" si="17"/>
        <v>6</v>
      </c>
    </row>
    <row r="332" spans="1:14" x14ac:dyDescent="0.35">
      <c r="A332" t="str">
        <f t="shared" si="15"/>
        <v>18097330500_2024</v>
      </c>
      <c r="B332">
        <v>18097330500</v>
      </c>
      <c r="C332">
        <v>2024</v>
      </c>
      <c r="D332">
        <v>0.2890460861217849</v>
      </c>
      <c r="E332">
        <v>0.13527192608014291</v>
      </c>
      <c r="F332">
        <v>-0.7718346528315887</v>
      </c>
      <c r="G332">
        <v>0.15946707339844921</v>
      </c>
      <c r="I332">
        <v>-0.3071241282333238</v>
      </c>
      <c r="J332">
        <v>-1.082827724134428</v>
      </c>
      <c r="K332">
        <v>-0.44573655257470801</v>
      </c>
      <c r="M332">
        <f t="shared" si="16"/>
        <v>-2.0237379721736715</v>
      </c>
      <c r="N332">
        <f t="shared" si="17"/>
        <v>7</v>
      </c>
    </row>
    <row r="333" spans="1:14" x14ac:dyDescent="0.35">
      <c r="A333" t="str">
        <f t="shared" si="15"/>
        <v>18097330500_2025</v>
      </c>
      <c r="B333">
        <v>18097330500</v>
      </c>
      <c r="C333">
        <v>2025</v>
      </c>
      <c r="D333">
        <v>0.24190636339169169</v>
      </c>
      <c r="E333">
        <v>0.1236423688501571</v>
      </c>
      <c r="F333">
        <v>-0.81302776744137262</v>
      </c>
      <c r="G333">
        <v>0.21238620231789901</v>
      </c>
      <c r="I333">
        <v>-0.17305364810348059</v>
      </c>
      <c r="J333">
        <v>-1.1152786391356</v>
      </c>
      <c r="K333">
        <v>-0.50634476212567758</v>
      </c>
      <c r="M333">
        <f t="shared" si="16"/>
        <v>-2.029769882246383</v>
      </c>
      <c r="N333">
        <f t="shared" si="17"/>
        <v>7</v>
      </c>
    </row>
    <row r="334" spans="1:14" x14ac:dyDescent="0.35">
      <c r="A334" t="str">
        <f t="shared" si="15"/>
        <v>18097330500_2026</v>
      </c>
      <c r="B334">
        <v>18097330500</v>
      </c>
      <c r="C334">
        <v>2026</v>
      </c>
      <c r="D334">
        <v>0.19938275262975741</v>
      </c>
      <c r="E334">
        <v>0.14389665040997041</v>
      </c>
      <c r="F334">
        <v>-0.83404383252250247</v>
      </c>
      <c r="G334">
        <v>0.2263013363868295</v>
      </c>
      <c r="I334">
        <v>-4.639758328573871E-2</v>
      </c>
      <c r="J334">
        <v>-1.1579142530381901</v>
      </c>
      <c r="K334">
        <v>-0.55216529663578073</v>
      </c>
      <c r="M334">
        <f t="shared" si="16"/>
        <v>-2.0209402260556546</v>
      </c>
      <c r="N334">
        <f t="shared" si="17"/>
        <v>7</v>
      </c>
    </row>
    <row r="335" spans="1:14" x14ac:dyDescent="0.35">
      <c r="A335" t="str">
        <f t="shared" si="15"/>
        <v>18097330500_2027</v>
      </c>
      <c r="B335">
        <v>18097330500</v>
      </c>
      <c r="C335">
        <v>2027</v>
      </c>
      <c r="D335">
        <v>0.16097629952891479</v>
      </c>
      <c r="E335">
        <v>0.1500027914979811</v>
      </c>
      <c r="F335">
        <v>-0.8353186782080253</v>
      </c>
      <c r="G335">
        <v>0.25234793978672571</v>
      </c>
      <c r="I335">
        <v>8.0362019147111163E-2</v>
      </c>
      <c r="J335">
        <v>-1.2121595355077941</v>
      </c>
      <c r="K335">
        <v>-0.57229695765714972</v>
      </c>
      <c r="M335">
        <f t="shared" si="16"/>
        <v>-1.9760861214122363</v>
      </c>
      <c r="N335">
        <f t="shared" si="17"/>
        <v>7</v>
      </c>
    </row>
    <row r="336" spans="1:14" x14ac:dyDescent="0.35">
      <c r="A336" t="str">
        <f t="shared" si="15"/>
        <v>18097330500_2028</v>
      </c>
      <c r="B336">
        <v>18097330500</v>
      </c>
      <c r="C336">
        <v>2028</v>
      </c>
      <c r="D336">
        <v>0.11155367819094369</v>
      </c>
      <c r="E336">
        <v>0.16318392246955721</v>
      </c>
      <c r="F336">
        <v>-0.83580356592916261</v>
      </c>
      <c r="G336">
        <v>0.25883917686459379</v>
      </c>
      <c r="I336">
        <v>0.1993454873020177</v>
      </c>
      <c r="J336">
        <v>-1.279551099745559</v>
      </c>
      <c r="K336">
        <v>-0.56959480953749497</v>
      </c>
      <c r="M336">
        <f t="shared" si="16"/>
        <v>-1.9520272103851042</v>
      </c>
      <c r="N336">
        <f t="shared" si="17"/>
        <v>7</v>
      </c>
    </row>
    <row r="337" spans="1:14" x14ac:dyDescent="0.35">
      <c r="A337" t="str">
        <f t="shared" si="15"/>
        <v>18097330600_2024</v>
      </c>
      <c r="B337">
        <v>18097330600</v>
      </c>
      <c r="C337">
        <v>2024</v>
      </c>
      <c r="D337">
        <v>-0.12367194790254719</v>
      </c>
      <c r="E337">
        <v>-0.6425061804711234</v>
      </c>
      <c r="F337">
        <v>1.160345974346904</v>
      </c>
      <c r="G337">
        <v>-0.58914751085060502</v>
      </c>
      <c r="H337">
        <v>0.82606839398397736</v>
      </c>
      <c r="I337">
        <v>-0.66002455808242277</v>
      </c>
      <c r="J337">
        <v>-1.082827724134428</v>
      </c>
      <c r="K337">
        <v>-0.4457365525982997</v>
      </c>
      <c r="M337">
        <f t="shared" si="16"/>
        <v>-1.5575001057085447</v>
      </c>
      <c r="N337">
        <f t="shared" si="17"/>
        <v>8</v>
      </c>
    </row>
    <row r="338" spans="1:14" x14ac:dyDescent="0.35">
      <c r="A338" t="str">
        <f t="shared" si="15"/>
        <v>18097330600_2025</v>
      </c>
      <c r="B338">
        <v>18097330600</v>
      </c>
      <c r="C338">
        <v>2025</v>
      </c>
      <c r="D338">
        <v>-0.15566834432995591</v>
      </c>
      <c r="E338">
        <v>-0.65336328886807393</v>
      </c>
      <c r="F338">
        <v>1.1833656701912529</v>
      </c>
      <c r="G338">
        <v>-0.59487115964095505</v>
      </c>
      <c r="H338">
        <v>0.86915452776021185</v>
      </c>
      <c r="I338">
        <v>-0.74446215981451647</v>
      </c>
      <c r="J338">
        <v>-1.1152786391356</v>
      </c>
      <c r="K338">
        <v>-0.506344762177389</v>
      </c>
      <c r="M338">
        <f t="shared" si="16"/>
        <v>-1.7174681560150256</v>
      </c>
      <c r="N338">
        <f t="shared" si="17"/>
        <v>8</v>
      </c>
    </row>
    <row r="339" spans="1:14" x14ac:dyDescent="0.35">
      <c r="A339" t="str">
        <f t="shared" si="15"/>
        <v>18097330600_2026</v>
      </c>
      <c r="B339">
        <v>18097330600</v>
      </c>
      <c r="C339">
        <v>2026</v>
      </c>
      <c r="D339">
        <v>-0.17842721591792229</v>
      </c>
      <c r="E339">
        <v>-0.66054070551076549</v>
      </c>
      <c r="F339">
        <v>1.218721716435148</v>
      </c>
      <c r="G339">
        <v>-0.59703849295809319</v>
      </c>
      <c r="H339">
        <v>0.90294672118040964</v>
      </c>
      <c r="I339">
        <v>-0.76508881547528373</v>
      </c>
      <c r="J339">
        <v>-1.1579142530381901</v>
      </c>
      <c r="K339">
        <v>-0.55216529670998493</v>
      </c>
      <c r="M339">
        <f t="shared" si="16"/>
        <v>-1.7895063419946822</v>
      </c>
      <c r="N339">
        <f t="shared" si="17"/>
        <v>8</v>
      </c>
    </row>
    <row r="340" spans="1:14" x14ac:dyDescent="0.35">
      <c r="A340" t="str">
        <f t="shared" si="15"/>
        <v>18097330600_2027</v>
      </c>
      <c r="B340">
        <v>18097330600</v>
      </c>
      <c r="C340">
        <v>2027</v>
      </c>
      <c r="D340">
        <v>-0.1959062815823634</v>
      </c>
      <c r="E340">
        <v>-0.66709567648973667</v>
      </c>
      <c r="F340">
        <v>1.207018335746705</v>
      </c>
      <c r="G340">
        <v>-0.59753685954872215</v>
      </c>
      <c r="H340">
        <v>0.92291822363335496</v>
      </c>
      <c r="I340">
        <v>-0.81488094981827097</v>
      </c>
      <c r="J340">
        <v>-1.2121595355077941</v>
      </c>
      <c r="K340">
        <v>-0.57229695774655198</v>
      </c>
      <c r="M340">
        <f t="shared" si="16"/>
        <v>-1.9299397013133792</v>
      </c>
      <c r="N340">
        <f t="shared" si="17"/>
        <v>8</v>
      </c>
    </row>
    <row r="341" spans="1:14" x14ac:dyDescent="0.35">
      <c r="A341" t="str">
        <f t="shared" si="15"/>
        <v>18097330600_2028</v>
      </c>
      <c r="B341">
        <v>18097330600</v>
      </c>
      <c r="C341">
        <v>2028</v>
      </c>
      <c r="D341">
        <v>-0.2191132853066414</v>
      </c>
      <c r="E341">
        <v>-0.66912598106786392</v>
      </c>
      <c r="F341">
        <v>1.219219026747036</v>
      </c>
      <c r="G341">
        <v>-0.59280553754419563</v>
      </c>
      <c r="H341">
        <v>0.93646681610123483</v>
      </c>
      <c r="I341">
        <v>-0.84154299675940025</v>
      </c>
      <c r="J341">
        <v>-1.279551099745559</v>
      </c>
      <c r="K341">
        <v>-0.56959480963372633</v>
      </c>
      <c r="M341">
        <f t="shared" si="16"/>
        <v>-2.0160478672091156</v>
      </c>
      <c r="N341">
        <f t="shared" si="17"/>
        <v>8</v>
      </c>
    </row>
    <row r="342" spans="1:14" x14ac:dyDescent="0.35">
      <c r="A342" t="str">
        <f t="shared" si="15"/>
        <v>18097330701_2024</v>
      </c>
      <c r="B342">
        <v>18097330701</v>
      </c>
      <c r="C342">
        <v>2024</v>
      </c>
      <c r="D342">
        <v>-1.0513745627870861</v>
      </c>
      <c r="F342">
        <v>0.73607976649401574</v>
      </c>
      <c r="H342">
        <v>1.908189431463015E-2</v>
      </c>
      <c r="I342">
        <v>-1.445925830663628</v>
      </c>
      <c r="J342">
        <v>-1.082827724134428</v>
      </c>
      <c r="K342">
        <v>-0.44573655257470801</v>
      </c>
      <c r="M342">
        <f t="shared" si="16"/>
        <v>-3.2707030093512039</v>
      </c>
      <c r="N342">
        <f t="shared" si="17"/>
        <v>6</v>
      </c>
    </row>
    <row r="343" spans="1:14" x14ac:dyDescent="0.35">
      <c r="A343" t="str">
        <f t="shared" si="15"/>
        <v>18097330701_2025</v>
      </c>
      <c r="B343">
        <v>18097330701</v>
      </c>
      <c r="C343">
        <v>2025</v>
      </c>
      <c r="D343">
        <v>-1.0493317584721189</v>
      </c>
      <c r="F343">
        <v>0.6245350725978267</v>
      </c>
      <c r="H343">
        <v>-0.32600364420042288</v>
      </c>
      <c r="I343">
        <v>-1.643863991076921</v>
      </c>
      <c r="J343">
        <v>-1.1152786391356</v>
      </c>
      <c r="K343">
        <v>-0.50634476212567758</v>
      </c>
      <c r="M343">
        <f t="shared" si="16"/>
        <v>-4.0162877224129137</v>
      </c>
      <c r="N343">
        <f t="shared" si="17"/>
        <v>6</v>
      </c>
    </row>
    <row r="344" spans="1:14" x14ac:dyDescent="0.35">
      <c r="A344" t="str">
        <f t="shared" si="15"/>
        <v>18097330701_2026</v>
      </c>
      <c r="B344">
        <v>18097330701</v>
      </c>
      <c r="C344">
        <v>2026</v>
      </c>
      <c r="D344">
        <v>-1.027663795062205</v>
      </c>
      <c r="F344">
        <v>0.50487757585698978</v>
      </c>
      <c r="H344">
        <v>-0.34741485982365361</v>
      </c>
      <c r="I344">
        <v>-1.821834528161266</v>
      </c>
      <c r="J344">
        <v>-1.1579142530381901</v>
      </c>
      <c r="K344">
        <v>-0.55216529663578073</v>
      </c>
      <c r="M344">
        <f t="shared" si="16"/>
        <v>-4.402115156864105</v>
      </c>
      <c r="N344">
        <f t="shared" si="17"/>
        <v>6</v>
      </c>
    </row>
    <row r="345" spans="1:14" x14ac:dyDescent="0.35">
      <c r="A345" t="str">
        <f t="shared" si="15"/>
        <v>18097330701_2027</v>
      </c>
      <c r="B345">
        <v>18097330701</v>
      </c>
      <c r="C345">
        <v>2027</v>
      </c>
      <c r="D345">
        <v>-0.99810241860247284</v>
      </c>
      <c r="F345">
        <v>0.38526676436350582</v>
      </c>
      <c r="H345">
        <v>-0.61511462526279803</v>
      </c>
      <c r="I345">
        <v>-1.99578401753434</v>
      </c>
      <c r="J345">
        <v>-1.2121595355077941</v>
      </c>
      <c r="K345">
        <v>-0.57229695765714972</v>
      </c>
      <c r="M345">
        <f t="shared" si="16"/>
        <v>-5.0081907902010494</v>
      </c>
      <c r="N345">
        <f t="shared" si="17"/>
        <v>6</v>
      </c>
    </row>
    <row r="346" spans="1:14" x14ac:dyDescent="0.35">
      <c r="A346" t="str">
        <f t="shared" si="15"/>
        <v>18097330701_2028</v>
      </c>
      <c r="B346">
        <v>18097330701</v>
      </c>
      <c r="C346">
        <v>2028</v>
      </c>
      <c r="D346">
        <v>-0.96238230988778595</v>
      </c>
      <c r="F346">
        <v>0.29147358744218571</v>
      </c>
      <c r="H346">
        <v>-0.61867397550128189</v>
      </c>
      <c r="I346">
        <v>-1.9601625796222439</v>
      </c>
      <c r="J346">
        <v>-1.279551099745559</v>
      </c>
      <c r="K346">
        <v>-0.56959480953749497</v>
      </c>
      <c r="M346">
        <f t="shared" si="16"/>
        <v>-5.09889118685218</v>
      </c>
      <c r="N346">
        <f t="shared" si="17"/>
        <v>6</v>
      </c>
    </row>
    <row r="347" spans="1:14" x14ac:dyDescent="0.35">
      <c r="A347" t="str">
        <f t="shared" si="15"/>
        <v>18097330702_2024</v>
      </c>
      <c r="B347">
        <v>18097330702</v>
      </c>
      <c r="C347">
        <v>2024</v>
      </c>
      <c r="D347">
        <v>-1.223786153169657</v>
      </c>
      <c r="E347">
        <v>-1.02855100506557</v>
      </c>
      <c r="F347">
        <v>-1.123184138421025</v>
      </c>
      <c r="G347">
        <v>-0.37051873901102489</v>
      </c>
      <c r="I347">
        <v>-0.34273365516129062</v>
      </c>
      <c r="J347">
        <v>-0.35330528037060871</v>
      </c>
      <c r="K347">
        <v>0.43457633922533978</v>
      </c>
      <c r="M347">
        <f t="shared" si="16"/>
        <v>-4.0075026319738365</v>
      </c>
      <c r="N347">
        <f t="shared" si="17"/>
        <v>7</v>
      </c>
    </row>
    <row r="348" spans="1:14" x14ac:dyDescent="0.35">
      <c r="A348" t="str">
        <f t="shared" si="15"/>
        <v>18097330702_2025</v>
      </c>
      <c r="B348">
        <v>18097330702</v>
      </c>
      <c r="C348">
        <v>2025</v>
      </c>
      <c r="D348">
        <v>-1.191454380986974</v>
      </c>
      <c r="E348">
        <v>-0.92214121913782965</v>
      </c>
      <c r="F348">
        <v>-1.1860796278582151</v>
      </c>
      <c r="G348">
        <v>-0.27294404976888492</v>
      </c>
      <c r="I348">
        <v>-0.30358221268150981</v>
      </c>
      <c r="J348">
        <v>-0.34026053792232369</v>
      </c>
      <c r="K348">
        <v>0.33107971696966448</v>
      </c>
      <c r="M348">
        <f t="shared" si="16"/>
        <v>-3.8853823113860728</v>
      </c>
      <c r="N348">
        <f t="shared" si="17"/>
        <v>7</v>
      </c>
    </row>
    <row r="349" spans="1:14" x14ac:dyDescent="0.35">
      <c r="A349" t="str">
        <f t="shared" si="15"/>
        <v>18097330702_2026</v>
      </c>
      <c r="B349">
        <v>18097330702</v>
      </c>
      <c r="C349">
        <v>2026</v>
      </c>
      <c r="D349">
        <v>-1.1589838213067909</v>
      </c>
      <c r="E349">
        <v>-0.8390644264804813</v>
      </c>
      <c r="F349">
        <v>-1.192597265215396</v>
      </c>
      <c r="G349">
        <v>-0.1826271138665069</v>
      </c>
      <c r="I349">
        <v>-0.27017886688168241</v>
      </c>
      <c r="J349">
        <v>-0.33461744929916809</v>
      </c>
      <c r="K349">
        <v>0.19681236656386361</v>
      </c>
      <c r="M349">
        <f t="shared" si="16"/>
        <v>-3.7812565764861623</v>
      </c>
      <c r="N349">
        <f t="shared" si="17"/>
        <v>7</v>
      </c>
    </row>
    <row r="350" spans="1:14" x14ac:dyDescent="0.35">
      <c r="A350" t="str">
        <f t="shared" si="15"/>
        <v>18097330702_2027</v>
      </c>
      <c r="B350">
        <v>18097330702</v>
      </c>
      <c r="C350">
        <v>2027</v>
      </c>
      <c r="D350">
        <v>-1.105938372782804</v>
      </c>
      <c r="E350">
        <v>-0.74934816908254531</v>
      </c>
      <c r="F350">
        <v>-1.16345727429638</v>
      </c>
      <c r="G350">
        <v>-8.9211019001255318E-2</v>
      </c>
      <c r="I350">
        <v>-0.23400196292081521</v>
      </c>
      <c r="J350">
        <v>-0.33328887349965719</v>
      </c>
      <c r="K350">
        <v>7.9879019768463136E-2</v>
      </c>
      <c r="M350">
        <f t="shared" si="16"/>
        <v>-3.5953666518149938</v>
      </c>
      <c r="N350">
        <f t="shared" si="17"/>
        <v>7</v>
      </c>
    </row>
    <row r="351" spans="1:14" x14ac:dyDescent="0.35">
      <c r="A351" t="str">
        <f t="shared" si="15"/>
        <v>18097330702_2028</v>
      </c>
      <c r="B351">
        <v>18097330702</v>
      </c>
      <c r="C351">
        <v>2028</v>
      </c>
      <c r="D351">
        <v>-1.054113737106166</v>
      </c>
      <c r="E351">
        <v>-0.66455050307745789</v>
      </c>
      <c r="F351">
        <v>-1.133784933782549</v>
      </c>
      <c r="G351">
        <v>-7.8727227098335899E-3</v>
      </c>
      <c r="I351">
        <v>-0.19970384921598719</v>
      </c>
      <c r="J351">
        <v>-0.33539467828868252</v>
      </c>
      <c r="K351">
        <v>-2.1035725620099071E-2</v>
      </c>
      <c r="M351">
        <f t="shared" si="16"/>
        <v>-3.4164561498007755</v>
      </c>
      <c r="N351">
        <f t="shared" si="17"/>
        <v>7</v>
      </c>
    </row>
    <row r="352" spans="1:14" x14ac:dyDescent="0.35">
      <c r="A352" t="str">
        <f t="shared" si="15"/>
        <v>18097330803_2024</v>
      </c>
      <c r="B352">
        <v>18097330803</v>
      </c>
      <c r="C352">
        <v>2024</v>
      </c>
      <c r="D352">
        <v>-0.86344938795899695</v>
      </c>
      <c r="E352">
        <v>-1.4298925516066121</v>
      </c>
      <c r="F352">
        <v>0.54988570770893908</v>
      </c>
      <c r="G352">
        <v>-1.0591845293148181</v>
      </c>
      <c r="H352">
        <v>-1.6668224334669359</v>
      </c>
      <c r="J352">
        <v>-0.22395993270265341</v>
      </c>
      <c r="K352">
        <v>0.59541816656703717</v>
      </c>
      <c r="M352">
        <f t="shared" si="16"/>
        <v>-4.0980049607740403</v>
      </c>
      <c r="N352">
        <f t="shared" si="17"/>
        <v>7</v>
      </c>
    </row>
    <row r="353" spans="1:14" x14ac:dyDescent="0.35">
      <c r="A353" t="str">
        <f t="shared" si="15"/>
        <v>18097330803_2025</v>
      </c>
      <c r="B353">
        <v>18097330803</v>
      </c>
      <c r="C353">
        <v>2025</v>
      </c>
      <c r="D353">
        <v>-0.81050356415465452</v>
      </c>
      <c r="E353">
        <v>-1.466864538726518</v>
      </c>
      <c r="F353">
        <v>0.40773350846060202</v>
      </c>
      <c r="G353">
        <v>-1.0566986272025369</v>
      </c>
      <c r="H353">
        <v>-1.4874365721067111</v>
      </c>
      <c r="J353">
        <v>-0.20526150608579879</v>
      </c>
      <c r="K353">
        <v>0.48461244897933148</v>
      </c>
      <c r="M353">
        <f t="shared" si="16"/>
        <v>-4.134418850836286</v>
      </c>
      <c r="N353">
        <f t="shared" si="17"/>
        <v>7</v>
      </c>
    </row>
    <row r="354" spans="1:14" x14ac:dyDescent="0.35">
      <c r="A354" t="str">
        <f t="shared" si="15"/>
        <v>18097330803_2026</v>
      </c>
      <c r="B354">
        <v>18097330803</v>
      </c>
      <c r="C354">
        <v>2026</v>
      </c>
      <c r="D354">
        <v>-0.78899504726042358</v>
      </c>
      <c r="E354">
        <v>-1.5056296509371401</v>
      </c>
      <c r="F354">
        <v>0.26801109784393717</v>
      </c>
      <c r="G354">
        <v>-1.0394378584434329</v>
      </c>
      <c r="H354">
        <v>-1.2936431929115499</v>
      </c>
      <c r="J354">
        <v>-0.19258673304361701</v>
      </c>
      <c r="K354">
        <v>0.3345760006592961</v>
      </c>
      <c r="M354">
        <f t="shared" si="16"/>
        <v>-4.2177053840929313</v>
      </c>
      <c r="N354">
        <f t="shared" si="17"/>
        <v>7</v>
      </c>
    </row>
    <row r="355" spans="1:14" x14ac:dyDescent="0.35">
      <c r="A355" t="str">
        <f t="shared" si="15"/>
        <v>18097330803_2027</v>
      </c>
      <c r="B355">
        <v>18097330803</v>
      </c>
      <c r="C355">
        <v>2027</v>
      </c>
      <c r="D355">
        <v>-0.73353845594110645</v>
      </c>
      <c r="E355">
        <v>-1.5354842349414839</v>
      </c>
      <c r="F355">
        <v>0.13953104694573359</v>
      </c>
      <c r="G355">
        <v>-1.0252166784633541</v>
      </c>
      <c r="H355">
        <v>-1.1309964164803139</v>
      </c>
      <c r="J355">
        <v>-0.183108134167114</v>
      </c>
      <c r="K355">
        <v>0.20019037991692459</v>
      </c>
      <c r="M355">
        <f t="shared" si="16"/>
        <v>-4.2686224931307137</v>
      </c>
      <c r="N355">
        <f t="shared" si="17"/>
        <v>7</v>
      </c>
    </row>
    <row r="356" spans="1:14" x14ac:dyDescent="0.35">
      <c r="A356" t="str">
        <f t="shared" si="15"/>
        <v>18097330803_2028</v>
      </c>
      <c r="B356">
        <v>18097330803</v>
      </c>
      <c r="C356">
        <v>2028</v>
      </c>
      <c r="D356">
        <v>-0.69492604739645858</v>
      </c>
      <c r="E356">
        <v>-1.561364806458619</v>
      </c>
      <c r="F356">
        <v>3.8729456490308178E-2</v>
      </c>
      <c r="G356">
        <v>-0.99614348863861757</v>
      </c>
      <c r="H356">
        <v>-0.954744610240706</v>
      </c>
      <c r="J356">
        <v>-0.17562497996575599</v>
      </c>
      <c r="K356">
        <v>8.0432069768273509E-2</v>
      </c>
      <c r="M356">
        <f t="shared" si="16"/>
        <v>-4.2636424064415746</v>
      </c>
      <c r="N356">
        <f t="shared" si="17"/>
        <v>7</v>
      </c>
    </row>
    <row r="357" spans="1:14" x14ac:dyDescent="0.35">
      <c r="A357" t="str">
        <f t="shared" si="15"/>
        <v>18097330804_2024</v>
      </c>
      <c r="B357">
        <v>18097330804</v>
      </c>
      <c r="C357">
        <v>2024</v>
      </c>
      <c r="D357">
        <v>-0.99366327990189296</v>
      </c>
      <c r="E357">
        <v>-1.320120667647869</v>
      </c>
      <c r="F357">
        <v>0.1425368866420329</v>
      </c>
      <c r="G357">
        <v>-0.1141716972587167</v>
      </c>
      <c r="H357">
        <v>-3.7386941485080462E-2</v>
      </c>
      <c r="I357">
        <v>-0.67179135853980221</v>
      </c>
      <c r="J357">
        <v>-0.23042833489169309</v>
      </c>
      <c r="K357">
        <v>0.58734787786533504</v>
      </c>
      <c r="M357">
        <f t="shared" si="16"/>
        <v>-2.6376775152176863</v>
      </c>
      <c r="N357">
        <f t="shared" si="17"/>
        <v>8</v>
      </c>
    </row>
    <row r="358" spans="1:14" x14ac:dyDescent="0.35">
      <c r="A358" t="str">
        <f t="shared" si="15"/>
        <v>18097330804_2025</v>
      </c>
      <c r="B358">
        <v>18097330804</v>
      </c>
      <c r="C358">
        <v>2025</v>
      </c>
      <c r="D358">
        <v>-0.9450785200488272</v>
      </c>
      <c r="E358">
        <v>-1.348413430289584</v>
      </c>
      <c r="F358">
        <v>9.7565546791743119E-2</v>
      </c>
      <c r="G358">
        <v>6.1152768375965338E-2</v>
      </c>
      <c r="H358">
        <v>3.0951988064796001E-3</v>
      </c>
      <c r="I358">
        <v>-0.5105148137188511</v>
      </c>
      <c r="J358">
        <v>-0.21200656134059981</v>
      </c>
      <c r="K358">
        <v>0.47690761384541358</v>
      </c>
      <c r="M358">
        <f t="shared" si="16"/>
        <v>-2.3772921975782602</v>
      </c>
      <c r="N358">
        <f t="shared" si="17"/>
        <v>8</v>
      </c>
    </row>
    <row r="359" spans="1:14" x14ac:dyDescent="0.35">
      <c r="A359" t="str">
        <f t="shared" si="15"/>
        <v>18097330804_2026</v>
      </c>
      <c r="B359">
        <v>18097330804</v>
      </c>
      <c r="C359">
        <v>2026</v>
      </c>
      <c r="D359">
        <v>-0.91888357886853755</v>
      </c>
      <c r="E359">
        <v>-1.3751178952765799</v>
      </c>
      <c r="F359">
        <v>-5.0842447089145572E-2</v>
      </c>
      <c r="G359">
        <v>0.2027548691470154</v>
      </c>
      <c r="H359">
        <v>4.1399340435995038E-2</v>
      </c>
      <c r="I359">
        <v>-0.3494920425424009</v>
      </c>
      <c r="J359">
        <v>-0.1996790150419549</v>
      </c>
      <c r="K359">
        <v>0.32766100842644369</v>
      </c>
      <c r="M359">
        <f t="shared" si="16"/>
        <v>-2.3221997608091649</v>
      </c>
      <c r="N359">
        <f t="shared" si="17"/>
        <v>8</v>
      </c>
    </row>
    <row r="360" spans="1:14" x14ac:dyDescent="0.35">
      <c r="A360" t="str">
        <f t="shared" si="15"/>
        <v>18097330804_2027</v>
      </c>
      <c r="B360">
        <v>18097330804</v>
      </c>
      <c r="C360">
        <v>2027</v>
      </c>
      <c r="D360">
        <v>-0.86243227043438886</v>
      </c>
      <c r="E360">
        <v>-1.3938593921815099</v>
      </c>
      <c r="F360">
        <v>-0.1080269591662294</v>
      </c>
      <c r="G360">
        <v>0.34704297343354218</v>
      </c>
      <c r="H360">
        <v>6.329766363154514E-2</v>
      </c>
      <c r="I360">
        <v>-0.1897556239389053</v>
      </c>
      <c r="J360">
        <v>-0.19060247287697879</v>
      </c>
      <c r="K360">
        <v>0.1941498592137447</v>
      </c>
      <c r="M360">
        <f t="shared" si="16"/>
        <v>-2.1401862223191799</v>
      </c>
      <c r="N360">
        <f t="shared" si="17"/>
        <v>8</v>
      </c>
    </row>
    <row r="361" spans="1:14" x14ac:dyDescent="0.35">
      <c r="A361" t="str">
        <f t="shared" si="15"/>
        <v>18097330804_2028</v>
      </c>
      <c r="B361">
        <v>18097330804</v>
      </c>
      <c r="C361">
        <v>2028</v>
      </c>
      <c r="D361">
        <v>-0.81802224804560897</v>
      </c>
      <c r="E361">
        <v>-1.408751156300674</v>
      </c>
      <c r="F361">
        <v>-0.2016756401222547</v>
      </c>
      <c r="G361">
        <v>0.46689369290899579</v>
      </c>
      <c r="H361">
        <v>9.6454427580799057E-2</v>
      </c>
      <c r="I361">
        <v>-3.664668996104422E-2</v>
      </c>
      <c r="J361">
        <v>-0.18359267082432221</v>
      </c>
      <c r="K361">
        <v>7.5336208525749626E-2</v>
      </c>
      <c r="M361">
        <f t="shared" si="16"/>
        <v>-2.01000407623836</v>
      </c>
      <c r="N361">
        <f t="shared" si="17"/>
        <v>8</v>
      </c>
    </row>
    <row r="362" spans="1:14" x14ac:dyDescent="0.35">
      <c r="A362" t="str">
        <f t="shared" si="15"/>
        <v>18097330805_2024</v>
      </c>
      <c r="B362">
        <v>18097330805</v>
      </c>
      <c r="C362">
        <v>2024</v>
      </c>
      <c r="D362">
        <v>6.1868548739720398E-2</v>
      </c>
      <c r="E362">
        <v>-0.99308300448978681</v>
      </c>
      <c r="F362">
        <v>1.140794277233651</v>
      </c>
      <c r="G362">
        <v>-1.230065009190157</v>
      </c>
      <c r="H362">
        <v>-1.2555486195490031</v>
      </c>
      <c r="I362">
        <v>-1.53910660642449</v>
      </c>
      <c r="J362">
        <v>-1.082827724134428</v>
      </c>
      <c r="K362">
        <v>-0.44573655259870731</v>
      </c>
      <c r="M362">
        <f t="shared" si="16"/>
        <v>-5.3437046904132002</v>
      </c>
      <c r="N362">
        <f t="shared" si="17"/>
        <v>8</v>
      </c>
    </row>
    <row r="363" spans="1:14" x14ac:dyDescent="0.35">
      <c r="A363" t="str">
        <f t="shared" si="15"/>
        <v>18097330805_2025</v>
      </c>
      <c r="B363">
        <v>18097330805</v>
      </c>
      <c r="C363">
        <v>2025</v>
      </c>
      <c r="D363">
        <v>2.3064351199736561E-2</v>
      </c>
      <c r="E363">
        <v>-0.97597496391365979</v>
      </c>
      <c r="F363">
        <v>1.689694387331796</v>
      </c>
      <c r="G363">
        <v>-1.2309311437549291</v>
      </c>
      <c r="H363">
        <v>-1.2118984594941531</v>
      </c>
      <c r="I363">
        <v>-1.605324266137744</v>
      </c>
      <c r="J363">
        <v>-1.1152786391356</v>
      </c>
      <c r="K363">
        <v>-0.50634476217828206</v>
      </c>
      <c r="M363">
        <f t="shared" si="16"/>
        <v>-4.932993496082835</v>
      </c>
      <c r="N363">
        <f t="shared" si="17"/>
        <v>8</v>
      </c>
    </row>
    <row r="364" spans="1:14" x14ac:dyDescent="0.35">
      <c r="A364" t="str">
        <f t="shared" si="15"/>
        <v>18097330805_2026</v>
      </c>
      <c r="B364">
        <v>18097330805</v>
      </c>
      <c r="C364">
        <v>2026</v>
      </c>
      <c r="D364">
        <v>-8.5799072494436492E-3</v>
      </c>
      <c r="E364">
        <v>-0.95062480618339118</v>
      </c>
      <c r="F364">
        <v>1.138807714070071</v>
      </c>
      <c r="G364">
        <v>-1.2042546683320481</v>
      </c>
      <c r="H364">
        <v>-1.384164116865638</v>
      </c>
      <c r="I364">
        <v>-1.6323928665961409</v>
      </c>
      <c r="J364">
        <v>-1.1579142530381901</v>
      </c>
      <c r="K364">
        <v>-0.55216529671124726</v>
      </c>
      <c r="M364">
        <f t="shared" si="16"/>
        <v>-5.7512882009060284</v>
      </c>
      <c r="N364">
        <f t="shared" si="17"/>
        <v>8</v>
      </c>
    </row>
    <row r="365" spans="1:14" x14ac:dyDescent="0.35">
      <c r="A365" t="str">
        <f t="shared" si="15"/>
        <v>18097330805_2027</v>
      </c>
      <c r="B365">
        <v>18097330805</v>
      </c>
      <c r="C365">
        <v>2027</v>
      </c>
      <c r="D365">
        <v>-3.546704044267858E-2</v>
      </c>
      <c r="E365">
        <v>-0.9209072358654502</v>
      </c>
      <c r="F365">
        <v>1.3461951715868219</v>
      </c>
      <c r="G365">
        <v>-1.184918540335089</v>
      </c>
      <c r="H365">
        <v>-1.439896597358306</v>
      </c>
      <c r="I365">
        <v>-1.6424250329255961</v>
      </c>
      <c r="J365">
        <v>-1.2121595355077941</v>
      </c>
      <c r="K365">
        <v>-0.57229695774805622</v>
      </c>
      <c r="M365">
        <f t="shared" si="16"/>
        <v>-5.6618757685961487</v>
      </c>
      <c r="N365">
        <f t="shared" si="17"/>
        <v>8</v>
      </c>
    </row>
    <row r="366" spans="1:14" x14ac:dyDescent="0.35">
      <c r="A366" t="str">
        <f t="shared" si="15"/>
        <v>18097330805_2028</v>
      </c>
      <c r="B366">
        <v>18097330805</v>
      </c>
      <c r="C366">
        <v>2028</v>
      </c>
      <c r="D366">
        <v>-7.045947264090878E-2</v>
      </c>
      <c r="E366">
        <v>-0.88809262774873488</v>
      </c>
      <c r="F366">
        <v>1.0238881231608421</v>
      </c>
      <c r="G366">
        <v>-1.146381374100383</v>
      </c>
      <c r="H366">
        <v>-1.496563486845381</v>
      </c>
      <c r="I366">
        <v>-1.628085513623567</v>
      </c>
      <c r="J366">
        <v>-1.279551099745559</v>
      </c>
      <c r="K366">
        <v>-0.56959480963532627</v>
      </c>
      <c r="M366">
        <f t="shared" si="16"/>
        <v>-6.0548402611790175</v>
      </c>
      <c r="N366">
        <f t="shared" si="17"/>
        <v>8</v>
      </c>
    </row>
    <row r="367" spans="1:14" x14ac:dyDescent="0.35">
      <c r="A367" t="str">
        <f t="shared" si="15"/>
        <v>18097330806_2024</v>
      </c>
      <c r="B367">
        <v>18097330806</v>
      </c>
      <c r="C367">
        <v>2024</v>
      </c>
      <c r="D367">
        <v>-0.4187836201821365</v>
      </c>
      <c r="E367">
        <v>-0.89874107574283768</v>
      </c>
      <c r="F367">
        <v>0.7909255810790029</v>
      </c>
      <c r="G367">
        <v>-0.79453772049195681</v>
      </c>
      <c r="H367">
        <v>0.30759563013248992</v>
      </c>
      <c r="I367">
        <v>-1.468640269044186</v>
      </c>
      <c r="J367">
        <v>-1.082827724134428</v>
      </c>
      <c r="K367">
        <v>-0.44573655257470801</v>
      </c>
      <c r="M367">
        <f t="shared" si="16"/>
        <v>-4.0107457509587601</v>
      </c>
      <c r="N367">
        <f t="shared" si="17"/>
        <v>8</v>
      </c>
    </row>
    <row r="368" spans="1:14" x14ac:dyDescent="0.35">
      <c r="A368" t="str">
        <f t="shared" si="15"/>
        <v>18097330806_2025</v>
      </c>
      <c r="B368">
        <v>18097330806</v>
      </c>
      <c r="C368">
        <v>2025</v>
      </c>
      <c r="D368">
        <v>-0.43995183780192632</v>
      </c>
      <c r="E368">
        <v>-0.8624415067474076</v>
      </c>
      <c r="F368">
        <v>0.66801371873426751</v>
      </c>
      <c r="G368">
        <v>-0.77127012655907545</v>
      </c>
      <c r="H368">
        <v>0.44924139371212451</v>
      </c>
      <c r="I368">
        <v>-1.405984168881746</v>
      </c>
      <c r="J368">
        <v>-1.1152786391356</v>
      </c>
      <c r="K368">
        <v>-0.50634476212567758</v>
      </c>
      <c r="M368">
        <f t="shared" si="16"/>
        <v>-3.9840159288050407</v>
      </c>
      <c r="N368">
        <f t="shared" si="17"/>
        <v>8</v>
      </c>
    </row>
    <row r="369" spans="1:14" x14ac:dyDescent="0.35">
      <c r="A369" t="str">
        <f t="shared" si="15"/>
        <v>18097330806_2026</v>
      </c>
      <c r="B369">
        <v>18097330806</v>
      </c>
      <c r="C369">
        <v>2026</v>
      </c>
      <c r="D369">
        <v>-0.44857805894857461</v>
      </c>
      <c r="E369">
        <v>-0.8258696311781033</v>
      </c>
      <c r="F369">
        <v>0.56940384441065683</v>
      </c>
      <c r="G369">
        <v>-0.74914182800395912</v>
      </c>
      <c r="H369">
        <v>0.58042486998062481</v>
      </c>
      <c r="I369">
        <v>-1.3383614160532991</v>
      </c>
      <c r="J369">
        <v>-1.1579142530381901</v>
      </c>
      <c r="K369">
        <v>-0.55216529663578073</v>
      </c>
      <c r="M369">
        <f t="shared" si="16"/>
        <v>-3.9222017694666254</v>
      </c>
      <c r="N369">
        <f t="shared" si="17"/>
        <v>8</v>
      </c>
    </row>
    <row r="370" spans="1:14" x14ac:dyDescent="0.35">
      <c r="A370" t="str">
        <f t="shared" si="15"/>
        <v>18097330806_2027</v>
      </c>
      <c r="B370">
        <v>18097330806</v>
      </c>
      <c r="C370">
        <v>2027</v>
      </c>
      <c r="D370">
        <v>-0.45109309966589722</v>
      </c>
      <c r="E370">
        <v>-0.78939710253247386</v>
      </c>
      <c r="F370">
        <v>0.45463725580940828</v>
      </c>
      <c r="G370">
        <v>-0.73123492691402425</v>
      </c>
      <c r="H370">
        <v>0.68392333341193079</v>
      </c>
      <c r="I370">
        <v>-1.274816185068941</v>
      </c>
      <c r="J370">
        <v>-1.2121595355077941</v>
      </c>
      <c r="K370">
        <v>-0.57229695765714972</v>
      </c>
      <c r="M370">
        <f t="shared" si="16"/>
        <v>-3.8924372181249414</v>
      </c>
      <c r="N370">
        <f t="shared" si="17"/>
        <v>8</v>
      </c>
    </row>
    <row r="371" spans="1:14" x14ac:dyDescent="0.35">
      <c r="A371" t="str">
        <f t="shared" si="15"/>
        <v>18097330806_2028</v>
      </c>
      <c r="B371">
        <v>18097330806</v>
      </c>
      <c r="C371">
        <v>2028</v>
      </c>
      <c r="D371">
        <v>-0.45555477998993121</v>
      </c>
      <c r="E371">
        <v>-0.75098894371741076</v>
      </c>
      <c r="F371">
        <v>0.36853873153406902</v>
      </c>
      <c r="G371">
        <v>-0.70686285596859566</v>
      </c>
      <c r="H371">
        <v>0.77647198554672825</v>
      </c>
      <c r="I371">
        <v>-1.2061879325079929</v>
      </c>
      <c r="J371">
        <v>-1.279551099745559</v>
      </c>
      <c r="K371">
        <v>-0.56959480953749497</v>
      </c>
      <c r="M371">
        <f t="shared" si="16"/>
        <v>-3.8237297043861878</v>
      </c>
      <c r="N371">
        <f t="shared" si="17"/>
        <v>8</v>
      </c>
    </row>
    <row r="372" spans="1:14" x14ac:dyDescent="0.35">
      <c r="A372" t="str">
        <f t="shared" si="15"/>
        <v>18097330900_2024</v>
      </c>
      <c r="B372">
        <v>18097330900</v>
      </c>
      <c r="C372">
        <v>2024</v>
      </c>
      <c r="D372">
        <v>5.5294276503656148E-2</v>
      </c>
      <c r="E372">
        <v>-0.31736741942290908</v>
      </c>
      <c r="F372">
        <v>0.6382411290029123</v>
      </c>
      <c r="G372">
        <v>-1.075496088350208</v>
      </c>
      <c r="I372">
        <v>-1.7254044117104419</v>
      </c>
      <c r="J372">
        <v>-1.082827724134428</v>
      </c>
      <c r="K372">
        <v>-0.44573655257470801</v>
      </c>
      <c r="M372">
        <f t="shared" si="16"/>
        <v>-3.9532967906861263</v>
      </c>
      <c r="N372">
        <f t="shared" si="17"/>
        <v>7</v>
      </c>
    </row>
    <row r="373" spans="1:14" x14ac:dyDescent="0.35">
      <c r="A373" t="str">
        <f t="shared" si="15"/>
        <v>18097330900_2025</v>
      </c>
      <c r="B373">
        <v>18097330900</v>
      </c>
      <c r="C373">
        <v>2025</v>
      </c>
      <c r="D373">
        <v>1.673130659992781E-2</v>
      </c>
      <c r="E373">
        <v>-0.26712599094390149</v>
      </c>
      <c r="F373">
        <v>0.53830970177854309</v>
      </c>
      <c r="G373">
        <v>-1.097932276195255</v>
      </c>
      <c r="I373">
        <v>-1.7175954417708461</v>
      </c>
      <c r="J373">
        <v>-1.1152786391356</v>
      </c>
      <c r="K373">
        <v>-0.50634476212567758</v>
      </c>
      <c r="M373">
        <f t="shared" si="16"/>
        <v>-4.149236101792809</v>
      </c>
      <c r="N373">
        <f t="shared" si="17"/>
        <v>7</v>
      </c>
    </row>
    <row r="374" spans="1:14" x14ac:dyDescent="0.35">
      <c r="A374" t="str">
        <f t="shared" si="15"/>
        <v>18097330900_2026</v>
      </c>
      <c r="B374">
        <v>18097330900</v>
      </c>
      <c r="C374">
        <v>2026</v>
      </c>
      <c r="D374">
        <v>-1.459811749300843E-2</v>
      </c>
      <c r="E374">
        <v>-0.21832600175834041</v>
      </c>
      <c r="F374">
        <v>0.43204244839350858</v>
      </c>
      <c r="G374">
        <v>-1.1033795731033691</v>
      </c>
      <c r="I374">
        <v>-1.6372236186260909</v>
      </c>
      <c r="J374">
        <v>-1.1579142530381901</v>
      </c>
      <c r="K374">
        <v>-0.55216529663578073</v>
      </c>
      <c r="M374">
        <f t="shared" si="16"/>
        <v>-4.2515644122612706</v>
      </c>
      <c r="N374">
        <f t="shared" si="17"/>
        <v>7</v>
      </c>
    </row>
    <row r="375" spans="1:14" x14ac:dyDescent="0.35">
      <c r="A375" t="str">
        <f t="shared" si="15"/>
        <v>18097330900_2027</v>
      </c>
      <c r="B375">
        <v>18097330900</v>
      </c>
      <c r="C375">
        <v>2027</v>
      </c>
      <c r="D375">
        <v>-4.1151890338174409E-2</v>
      </c>
      <c r="E375">
        <v>-0.1762626475131901</v>
      </c>
      <c r="F375">
        <v>0.32536244430454692</v>
      </c>
      <c r="G375">
        <v>-1.108398873577209</v>
      </c>
      <c r="I375">
        <v>-1.5953113420546741</v>
      </c>
      <c r="J375">
        <v>-1.2121595355077941</v>
      </c>
      <c r="K375">
        <v>-0.57229695765714972</v>
      </c>
      <c r="M375">
        <f t="shared" si="16"/>
        <v>-4.3802188023436441</v>
      </c>
      <c r="N375">
        <f t="shared" si="17"/>
        <v>7</v>
      </c>
    </row>
    <row r="376" spans="1:14" x14ac:dyDescent="0.35">
      <c r="A376" t="str">
        <f t="shared" si="15"/>
        <v>18097330900_2028</v>
      </c>
      <c r="B376">
        <v>18097330900</v>
      </c>
      <c r="C376">
        <v>2028</v>
      </c>
      <c r="D376">
        <v>-7.5726729047248559E-2</v>
      </c>
      <c r="E376">
        <v>-0.1315416587803605</v>
      </c>
      <c r="F376">
        <v>0.2418013943914559</v>
      </c>
      <c r="G376">
        <v>-1.09404246771112</v>
      </c>
      <c r="I376">
        <v>-1.523832947205974</v>
      </c>
      <c r="J376">
        <v>-1.279551099745559</v>
      </c>
      <c r="K376">
        <v>-0.56959480953749497</v>
      </c>
      <c r="M376">
        <f t="shared" si="16"/>
        <v>-4.4324883176363015</v>
      </c>
      <c r="N376">
        <f t="shared" si="17"/>
        <v>7</v>
      </c>
    </row>
    <row r="377" spans="1:14" x14ac:dyDescent="0.35">
      <c r="A377" t="str">
        <f t="shared" si="15"/>
        <v>18097331000_2024</v>
      </c>
      <c r="B377">
        <v>18097331000</v>
      </c>
      <c r="C377">
        <v>2024</v>
      </c>
      <c r="D377">
        <v>-0.39686970207554112</v>
      </c>
      <c r="E377">
        <v>-1.2546357476239369</v>
      </c>
      <c r="F377">
        <v>1.188786375256663</v>
      </c>
      <c r="G377">
        <v>-0.68337848065673845</v>
      </c>
      <c r="H377">
        <v>5.9627497843008637E-2</v>
      </c>
      <c r="I377">
        <v>-2.0560262365449939</v>
      </c>
      <c r="J377">
        <v>-1.094953685057878</v>
      </c>
      <c r="K377">
        <v>-0.44561680733799058</v>
      </c>
      <c r="M377">
        <f t="shared" si="16"/>
        <v>-4.6830667861974078</v>
      </c>
      <c r="N377">
        <f t="shared" si="17"/>
        <v>8</v>
      </c>
    </row>
    <row r="378" spans="1:14" x14ac:dyDescent="0.35">
      <c r="A378" t="str">
        <f t="shared" si="15"/>
        <v>18097331000_2025</v>
      </c>
      <c r="B378">
        <v>18097331000</v>
      </c>
      <c r="C378">
        <v>2025</v>
      </c>
      <c r="D378">
        <v>-0.42058404384710929</v>
      </c>
      <c r="E378">
        <v>-1.269648337419788</v>
      </c>
      <c r="F378">
        <v>1.1371882750935389</v>
      </c>
      <c r="G378">
        <v>-0.70113351299926863</v>
      </c>
      <c r="H378">
        <v>4.8777388768611617E-2</v>
      </c>
      <c r="I378">
        <v>-2.0082764233354689</v>
      </c>
      <c r="J378">
        <v>-1.127219707239701</v>
      </c>
      <c r="K378">
        <v>-0.49902428363364681</v>
      </c>
      <c r="M378">
        <f t="shared" si="16"/>
        <v>-4.8399206446128318</v>
      </c>
      <c r="N378">
        <f t="shared" si="17"/>
        <v>8</v>
      </c>
    </row>
    <row r="379" spans="1:14" x14ac:dyDescent="0.35">
      <c r="A379" t="str">
        <f t="shared" si="15"/>
        <v>18097331000_2026</v>
      </c>
      <c r="B379">
        <v>18097331000</v>
      </c>
      <c r="C379">
        <v>2026</v>
      </c>
      <c r="D379">
        <v>-0.43153514448360558</v>
      </c>
      <c r="E379">
        <v>-1.2643426158591811</v>
      </c>
      <c r="F379">
        <v>1.067732689291202</v>
      </c>
      <c r="G379">
        <v>-0.71020315175170623</v>
      </c>
      <c r="H379">
        <v>6.4896111764816314E-2</v>
      </c>
      <c r="I379">
        <v>-1.9428504690480179</v>
      </c>
      <c r="J379">
        <v>-1.169610691531427</v>
      </c>
      <c r="K379">
        <v>-0.53847845437156538</v>
      </c>
      <c r="M379">
        <f t="shared" si="16"/>
        <v>-4.9243917259894854</v>
      </c>
      <c r="N379">
        <f t="shared" si="17"/>
        <v>8</v>
      </c>
    </row>
    <row r="380" spans="1:14" x14ac:dyDescent="0.35">
      <c r="A380" t="str">
        <f t="shared" si="15"/>
        <v>18097331000_2027</v>
      </c>
      <c r="B380">
        <v>18097331000</v>
      </c>
      <c r="C380">
        <v>2027</v>
      </c>
      <c r="D380">
        <v>-0.43685597976625151</v>
      </c>
      <c r="E380">
        <v>-1.261194779369434</v>
      </c>
      <c r="F380">
        <v>0.98298625139740403</v>
      </c>
      <c r="G380">
        <v>-0.71798025063913729</v>
      </c>
      <c r="H380">
        <v>6.1286187178838381E-2</v>
      </c>
      <c r="I380">
        <v>-1.881926350466943</v>
      </c>
      <c r="J380">
        <v>-1.223524339322078</v>
      </c>
      <c r="K380">
        <v>-0.55383722422733483</v>
      </c>
      <c r="M380">
        <f t="shared" si="16"/>
        <v>-5.0310464852149366</v>
      </c>
      <c r="N380">
        <f t="shared" si="17"/>
        <v>8</v>
      </c>
    </row>
    <row r="381" spans="1:14" x14ac:dyDescent="0.35">
      <c r="A381" t="str">
        <f t="shared" si="15"/>
        <v>18097331000_2028</v>
      </c>
      <c r="B381">
        <v>18097331000</v>
      </c>
      <c r="C381">
        <v>2028</v>
      </c>
      <c r="D381">
        <v>-0.44360451054744998</v>
      </c>
      <c r="E381">
        <v>-1.2523758015927331</v>
      </c>
      <c r="F381">
        <v>0.92644418756041702</v>
      </c>
      <c r="G381">
        <v>-0.71636459187886181</v>
      </c>
      <c r="H381">
        <v>7.3426594008161497E-2</v>
      </c>
      <c r="I381">
        <v>-1.810535952344174</v>
      </c>
      <c r="J381">
        <v>-1.2904611169760909</v>
      </c>
      <c r="K381">
        <v>-0.54838364215936841</v>
      </c>
      <c r="M381">
        <f t="shared" si="16"/>
        <v>-5.0618548339300995</v>
      </c>
      <c r="N381">
        <f t="shared" si="17"/>
        <v>8</v>
      </c>
    </row>
    <row r="382" spans="1:14" x14ac:dyDescent="0.35">
      <c r="A382" t="str">
        <f t="shared" si="15"/>
        <v>18097340101_2024</v>
      </c>
      <c r="B382">
        <v>18097340101</v>
      </c>
      <c r="C382">
        <v>2024</v>
      </c>
      <c r="D382">
        <v>-0.80426152887890345</v>
      </c>
      <c r="E382">
        <v>-0.64056856568617015</v>
      </c>
      <c r="F382">
        <v>-1.129452411765689</v>
      </c>
      <c r="G382">
        <v>-0.25353821998345277</v>
      </c>
      <c r="I382">
        <v>0.58990242674200877</v>
      </c>
      <c r="J382">
        <v>0.66391256513584995</v>
      </c>
      <c r="K382">
        <v>0.80759107229055438</v>
      </c>
      <c r="M382">
        <f t="shared" si="16"/>
        <v>-0.76641466214580189</v>
      </c>
      <c r="N382">
        <f t="shared" si="17"/>
        <v>7</v>
      </c>
    </row>
    <row r="383" spans="1:14" x14ac:dyDescent="0.35">
      <c r="A383" t="str">
        <f t="shared" si="15"/>
        <v>18097340101_2025</v>
      </c>
      <c r="B383">
        <v>18097340101</v>
      </c>
      <c r="C383">
        <v>2025</v>
      </c>
      <c r="D383">
        <v>-0.72281725766144345</v>
      </c>
      <c r="E383">
        <v>-0.69344053323220689</v>
      </c>
      <c r="F383">
        <v>-1.101485702461561</v>
      </c>
      <c r="G383">
        <v>-0.26163127642044692</v>
      </c>
      <c r="I383">
        <v>0.5277619358758765</v>
      </c>
      <c r="J383">
        <v>0.67584986544055325</v>
      </c>
      <c r="K383">
        <v>0.69566610829616771</v>
      </c>
      <c r="M383">
        <f t="shared" si="16"/>
        <v>-0.88009686016306077</v>
      </c>
      <c r="N383">
        <f t="shared" si="17"/>
        <v>7</v>
      </c>
    </row>
    <row r="384" spans="1:14" x14ac:dyDescent="0.35">
      <c r="A384" t="str">
        <f t="shared" si="15"/>
        <v>18097340101_2026</v>
      </c>
      <c r="B384">
        <v>18097340101</v>
      </c>
      <c r="C384">
        <v>2026</v>
      </c>
      <c r="D384">
        <v>-0.66647480524131231</v>
      </c>
      <c r="E384">
        <v>-0.74588444132354992</v>
      </c>
      <c r="F384">
        <v>-1.0582623330693679</v>
      </c>
      <c r="G384">
        <v>-0.39370764550908888</v>
      </c>
      <c r="I384">
        <v>0.45086988009560519</v>
      </c>
      <c r="J384">
        <v>0.68377448548187691</v>
      </c>
      <c r="K384">
        <v>0.68295471238008165</v>
      </c>
      <c r="M384">
        <f t="shared" si="16"/>
        <v>-1.0467301471857549</v>
      </c>
      <c r="N384">
        <f t="shared" si="17"/>
        <v>7</v>
      </c>
    </row>
    <row r="385" spans="1:14" x14ac:dyDescent="0.35">
      <c r="A385" t="str">
        <f t="shared" si="15"/>
        <v>18097340101_2027</v>
      </c>
      <c r="B385">
        <v>18097340101</v>
      </c>
      <c r="C385">
        <v>2027</v>
      </c>
      <c r="D385">
        <v>-0.57984422770214183</v>
      </c>
      <c r="E385">
        <v>-0.79361462718194997</v>
      </c>
      <c r="F385">
        <v>-1.003963882109747</v>
      </c>
      <c r="G385">
        <v>-0.44141042766274718</v>
      </c>
      <c r="I385">
        <v>0.38435028108264369</v>
      </c>
      <c r="J385">
        <v>0.68863344149559569</v>
      </c>
      <c r="K385">
        <v>0.56026583256537266</v>
      </c>
      <c r="M385">
        <f t="shared" si="16"/>
        <v>-1.1855836095129737</v>
      </c>
      <c r="N385">
        <f t="shared" si="17"/>
        <v>7</v>
      </c>
    </row>
    <row r="386" spans="1:14" x14ac:dyDescent="0.35">
      <c r="A386" t="str">
        <f t="shared" si="15"/>
        <v>18097340101_2028</v>
      </c>
      <c r="B386">
        <v>18097340101</v>
      </c>
      <c r="C386">
        <v>2028</v>
      </c>
      <c r="D386">
        <v>-0.51360972464923671</v>
      </c>
      <c r="E386">
        <v>-0.83504087415171024</v>
      </c>
      <c r="F386">
        <v>-0.96209259657481361</v>
      </c>
      <c r="G386">
        <v>-0.51575811324150789</v>
      </c>
      <c r="I386">
        <v>0.31410817417937231</v>
      </c>
      <c r="J386">
        <v>0.69058302412657202</v>
      </c>
      <c r="K386">
        <v>0.4886249570556766</v>
      </c>
      <c r="M386">
        <f t="shared" si="16"/>
        <v>-1.3331851532556471</v>
      </c>
      <c r="N386">
        <f t="shared" si="17"/>
        <v>7</v>
      </c>
    </row>
    <row r="387" spans="1:14" x14ac:dyDescent="0.35">
      <c r="A387" t="str">
        <f t="shared" ref="A387:A450" si="18">TEXT(B387,0)&amp;"_"&amp;TEXT(C387,0)</f>
        <v>18097340102_2024</v>
      </c>
      <c r="B387">
        <v>18097340102</v>
      </c>
      <c r="C387">
        <v>2024</v>
      </c>
      <c r="D387">
        <v>-0.24627663397099789</v>
      </c>
      <c r="E387">
        <v>-0.46903144322234402</v>
      </c>
      <c r="F387">
        <v>1.5727240239489051</v>
      </c>
      <c r="G387">
        <v>-1.0395910387823171</v>
      </c>
      <c r="H387">
        <v>0.43406847565679402</v>
      </c>
      <c r="I387">
        <v>-0.63164443926125269</v>
      </c>
      <c r="J387">
        <v>-1.371587842464026E-2</v>
      </c>
      <c r="M387">
        <f t="shared" ref="M387:M450" si="19">SUM(D387:K387)</f>
        <v>-0.39346693405585281</v>
      </c>
      <c r="N387">
        <f t="shared" ref="N387:N450" si="20">IF(D387=0,0,1)+IF(E387=0,0,1)+IF(F387=0,0,1)+IF(G387=0,0,1)+IF(H387=0,0,1)+IF(I387=0,0,1)++IF(J387=0,0,1)++IF(K387=0,0,1)</f>
        <v>7</v>
      </c>
    </row>
    <row r="388" spans="1:14" x14ac:dyDescent="0.35">
      <c r="A388" t="str">
        <f t="shared" si="18"/>
        <v>18097340102_2025</v>
      </c>
      <c r="B388">
        <v>18097340102</v>
      </c>
      <c r="C388">
        <v>2025</v>
      </c>
      <c r="D388">
        <v>-0.13879394849888191</v>
      </c>
      <c r="E388">
        <v>-0.4451238934933413</v>
      </c>
      <c r="F388">
        <v>1.4264114521595701</v>
      </c>
      <c r="G388">
        <v>-1.008247552005151</v>
      </c>
      <c r="H388">
        <v>0.63085438212397227</v>
      </c>
      <c r="I388">
        <v>-0.60486214174988129</v>
      </c>
      <c r="J388">
        <v>-1.345531768732308E-2</v>
      </c>
      <c r="M388">
        <f t="shared" si="19"/>
        <v>-0.15321701915103622</v>
      </c>
      <c r="N388">
        <f t="shared" si="20"/>
        <v>7</v>
      </c>
    </row>
    <row r="389" spans="1:14" x14ac:dyDescent="0.35">
      <c r="A389" t="str">
        <f t="shared" si="18"/>
        <v>18097340102_2026</v>
      </c>
      <c r="B389">
        <v>18097340102</v>
      </c>
      <c r="C389">
        <v>2026</v>
      </c>
      <c r="D389">
        <v>-0.13235711356275609</v>
      </c>
      <c r="E389">
        <v>-0.41819868938441418</v>
      </c>
      <c r="F389">
        <v>1.2565330558951351</v>
      </c>
      <c r="G389">
        <v>-1.037123118560709</v>
      </c>
      <c r="H389">
        <v>0.80695239816477471</v>
      </c>
      <c r="I389">
        <v>-0.57603587090531072</v>
      </c>
      <c r="J389">
        <v>-2.344989521179687E-2</v>
      </c>
      <c r="M389">
        <f t="shared" si="19"/>
        <v>-0.12367923356507705</v>
      </c>
      <c r="N389">
        <f t="shared" si="20"/>
        <v>7</v>
      </c>
    </row>
    <row r="390" spans="1:14" x14ac:dyDescent="0.35">
      <c r="A390" t="str">
        <f t="shared" si="18"/>
        <v>18097340102_2027</v>
      </c>
      <c r="B390">
        <v>18097340102</v>
      </c>
      <c r="C390">
        <v>2027</v>
      </c>
      <c r="D390">
        <v>-6.4372916818019932E-2</v>
      </c>
      <c r="E390">
        <v>-0.39444520717231202</v>
      </c>
      <c r="F390">
        <v>1.076108721380902</v>
      </c>
      <c r="G390">
        <v>-1.025188957734644</v>
      </c>
      <c r="H390">
        <v>0.95198770292453339</v>
      </c>
      <c r="I390">
        <v>-0.5456368270978208</v>
      </c>
      <c r="J390">
        <v>-4.0810340962359887E-2</v>
      </c>
      <c r="M390">
        <f t="shared" si="19"/>
        <v>-4.2357825479721306E-2</v>
      </c>
      <c r="N390">
        <f t="shared" si="20"/>
        <v>7</v>
      </c>
    </row>
    <row r="391" spans="1:14" x14ac:dyDescent="0.35">
      <c r="A391" t="str">
        <f t="shared" si="18"/>
        <v>18097340102_2028</v>
      </c>
      <c r="B391">
        <v>18097340102</v>
      </c>
      <c r="C391">
        <v>2028</v>
      </c>
      <c r="D391">
        <v>-4.2128469405490247E-2</v>
      </c>
      <c r="E391">
        <v>-0.36732006687282298</v>
      </c>
      <c r="F391">
        <v>0.93562641897882315</v>
      </c>
      <c r="G391">
        <v>-1.0181572023532881</v>
      </c>
      <c r="H391">
        <v>1.07517613674016</v>
      </c>
      <c r="I391">
        <v>-0.51434574288275992</v>
      </c>
      <c r="J391">
        <v>-6.5706283802929685E-2</v>
      </c>
      <c r="M391">
        <f t="shared" si="19"/>
        <v>3.1447904016922018E-3</v>
      </c>
      <c r="N391">
        <f t="shared" si="20"/>
        <v>7</v>
      </c>
    </row>
    <row r="392" spans="1:14" x14ac:dyDescent="0.35">
      <c r="A392" t="str">
        <f t="shared" si="18"/>
        <v>18097340108_2024</v>
      </c>
      <c r="B392">
        <v>18097340108</v>
      </c>
      <c r="C392">
        <v>2024</v>
      </c>
      <c r="D392">
        <v>-1.329723562455559</v>
      </c>
      <c r="E392">
        <v>-0.19485235345438109</v>
      </c>
      <c r="F392">
        <v>0.81725918775522144</v>
      </c>
      <c r="G392">
        <v>-0.64389667404278361</v>
      </c>
      <c r="J392">
        <v>-0.46159709393206633</v>
      </c>
      <c r="M392">
        <f t="shared" si="19"/>
        <v>-1.8128104961295688</v>
      </c>
      <c r="N392">
        <f t="shared" si="20"/>
        <v>5</v>
      </c>
    </row>
    <row r="393" spans="1:14" x14ac:dyDescent="0.35">
      <c r="A393" t="str">
        <f t="shared" si="18"/>
        <v>18097340108_2025</v>
      </c>
      <c r="B393">
        <v>18097340108</v>
      </c>
      <c r="C393">
        <v>2025</v>
      </c>
      <c r="D393">
        <v>-1.315908408325682</v>
      </c>
      <c r="E393">
        <v>-0.11199325470165999</v>
      </c>
      <c r="F393">
        <v>0.64438634830875219</v>
      </c>
      <c r="G393">
        <v>-0.59235772323788072</v>
      </c>
      <c r="J393">
        <v>-0.42139578581208842</v>
      </c>
      <c r="M393">
        <f t="shared" si="19"/>
        <v>-1.797268823768559</v>
      </c>
      <c r="N393">
        <f t="shared" si="20"/>
        <v>5</v>
      </c>
    </row>
    <row r="394" spans="1:14" x14ac:dyDescent="0.35">
      <c r="A394" t="str">
        <f t="shared" si="18"/>
        <v>18097340108_2026</v>
      </c>
      <c r="B394">
        <v>18097340108</v>
      </c>
      <c r="C394">
        <v>2026</v>
      </c>
      <c r="D394">
        <v>-1.301980114194601</v>
      </c>
      <c r="E394">
        <v>-3.2984232886800718E-2</v>
      </c>
      <c r="F394">
        <v>0.47322520066978102</v>
      </c>
      <c r="G394">
        <v>-0.53872921047676925</v>
      </c>
      <c r="J394">
        <v>-0.38077108277246408</v>
      </c>
      <c r="M394">
        <f t="shared" si="19"/>
        <v>-1.7812394396608542</v>
      </c>
      <c r="N394">
        <f t="shared" si="20"/>
        <v>5</v>
      </c>
    </row>
    <row r="395" spans="1:14" x14ac:dyDescent="0.35">
      <c r="A395" t="str">
        <f t="shared" si="18"/>
        <v>18097340108_2027</v>
      </c>
      <c r="B395">
        <v>18097340108</v>
      </c>
      <c r="C395">
        <v>2027</v>
      </c>
      <c r="D395">
        <v>-1.264094689805495</v>
      </c>
      <c r="E395">
        <v>3.4889426453619143E-2</v>
      </c>
      <c r="F395">
        <v>0.31416156883561203</v>
      </c>
      <c r="G395">
        <v>-0.48627916207421917</v>
      </c>
      <c r="J395">
        <v>-0.33647169241848263</v>
      </c>
      <c r="M395">
        <f t="shared" si="19"/>
        <v>-1.7377945490089655</v>
      </c>
      <c r="N395">
        <f t="shared" si="20"/>
        <v>5</v>
      </c>
    </row>
    <row r="396" spans="1:14" x14ac:dyDescent="0.35">
      <c r="A396" t="str">
        <f t="shared" si="18"/>
        <v>18097340108_2028</v>
      </c>
      <c r="B396">
        <v>18097340108</v>
      </c>
      <c r="C396">
        <v>2028</v>
      </c>
      <c r="D396">
        <v>-1.2212138411837981</v>
      </c>
      <c r="E396">
        <v>0.1038602051458071</v>
      </c>
      <c r="F396">
        <v>0.18956588533918509</v>
      </c>
      <c r="G396">
        <v>-0.43529872709545481</v>
      </c>
      <c r="J396">
        <v>-0.28565417817093341</v>
      </c>
      <c r="M396">
        <f t="shared" si="19"/>
        <v>-1.648740655965194</v>
      </c>
      <c r="N396">
        <f t="shared" si="20"/>
        <v>5</v>
      </c>
    </row>
    <row r="397" spans="1:14" x14ac:dyDescent="0.35">
      <c r="A397" t="str">
        <f t="shared" si="18"/>
        <v>18097340111_2024</v>
      </c>
      <c r="B397">
        <v>18097340111</v>
      </c>
      <c r="C397">
        <v>2024</v>
      </c>
      <c r="D397">
        <v>-1.0975979442837449</v>
      </c>
      <c r="E397">
        <v>-0.36557336475648711</v>
      </c>
      <c r="F397">
        <v>-0.62539920809505678</v>
      </c>
      <c r="G397">
        <v>1.9105045022633771</v>
      </c>
      <c r="I397">
        <v>-0.49653063395020092</v>
      </c>
      <c r="J397">
        <v>9.1337126897326634E-2</v>
      </c>
      <c r="K397">
        <v>8.3359258519903903E-2</v>
      </c>
      <c r="M397">
        <f t="shared" si="19"/>
        <v>-0.49990026340488236</v>
      </c>
      <c r="N397">
        <f t="shared" si="20"/>
        <v>7</v>
      </c>
    </row>
    <row r="398" spans="1:14" x14ac:dyDescent="0.35">
      <c r="A398" t="str">
        <f t="shared" si="18"/>
        <v>18097340111_2025</v>
      </c>
      <c r="B398">
        <v>18097340111</v>
      </c>
      <c r="C398">
        <v>2025</v>
      </c>
      <c r="D398">
        <v>-1.030898078077326</v>
      </c>
      <c r="E398">
        <v>-0.42678018656276617</v>
      </c>
      <c r="F398">
        <v>-0.51867406126491089</v>
      </c>
      <c r="G398">
        <v>1.99467608361154</v>
      </c>
      <c r="I398">
        <v>-0.54300024672083014</v>
      </c>
      <c r="J398">
        <v>9.3468178028216234E-2</v>
      </c>
      <c r="K398">
        <v>0.1006674882935778</v>
      </c>
      <c r="M398">
        <f t="shared" si="19"/>
        <v>-0.33054082269249896</v>
      </c>
      <c r="N398">
        <f t="shared" si="20"/>
        <v>7</v>
      </c>
    </row>
    <row r="399" spans="1:14" x14ac:dyDescent="0.35">
      <c r="A399" t="str">
        <f t="shared" si="18"/>
        <v>18097340111_2026</v>
      </c>
      <c r="B399">
        <v>18097340111</v>
      </c>
      <c r="C399">
        <v>2026</v>
      </c>
      <c r="D399">
        <v>-0.99389707740836175</v>
      </c>
      <c r="E399">
        <v>-0.48237738647408929</v>
      </c>
      <c r="F399">
        <v>-0.41032082399078129</v>
      </c>
      <c r="G399">
        <v>1.99154166782355</v>
      </c>
      <c r="I399">
        <v>-0.58683550172744947</v>
      </c>
      <c r="J399">
        <v>8.5907994337452942E-2</v>
      </c>
      <c r="K399">
        <v>8.8989015401412699E-2</v>
      </c>
      <c r="M399">
        <f t="shared" si="19"/>
        <v>-0.30699211203826599</v>
      </c>
      <c r="N399">
        <f t="shared" si="20"/>
        <v>7</v>
      </c>
    </row>
    <row r="400" spans="1:14" x14ac:dyDescent="0.35">
      <c r="A400" t="str">
        <f t="shared" si="18"/>
        <v>18097340111_2027</v>
      </c>
      <c r="B400">
        <v>18097340111</v>
      </c>
      <c r="C400">
        <v>2027</v>
      </c>
      <c r="D400">
        <v>-0.92386658073992156</v>
      </c>
      <c r="E400">
        <v>-0.53616504177386048</v>
      </c>
      <c r="F400">
        <v>-0.30667571159861612</v>
      </c>
      <c r="G400">
        <v>2.017208936843871</v>
      </c>
      <c r="I400">
        <v>-0.62692290297295761</v>
      </c>
      <c r="J400">
        <v>7.1471721867786636E-2</v>
      </c>
      <c r="K400">
        <v>7.6270876300289073E-2</v>
      </c>
      <c r="M400">
        <f t="shared" si="19"/>
        <v>-0.22867870207340912</v>
      </c>
      <c r="N400">
        <f t="shared" si="20"/>
        <v>7</v>
      </c>
    </row>
    <row r="401" spans="1:14" x14ac:dyDescent="0.35">
      <c r="A401" t="str">
        <f t="shared" si="18"/>
        <v>18097340111_2028</v>
      </c>
      <c r="B401">
        <v>18097340111</v>
      </c>
      <c r="C401">
        <v>2028</v>
      </c>
      <c r="D401">
        <v>-0.86603415687037466</v>
      </c>
      <c r="E401">
        <v>-0.58266099471871513</v>
      </c>
      <c r="F401">
        <v>-0.2082594141409666</v>
      </c>
      <c r="G401">
        <v>1.978939914544084</v>
      </c>
      <c r="I401">
        <v>-0.66276908964223169</v>
      </c>
      <c r="J401">
        <v>5.0065767761931869E-2</v>
      </c>
      <c r="K401">
        <v>5.592863267525356E-2</v>
      </c>
      <c r="M401">
        <f t="shared" si="19"/>
        <v>-0.23478934039101862</v>
      </c>
      <c r="N401">
        <f t="shared" si="20"/>
        <v>7</v>
      </c>
    </row>
    <row r="402" spans="1:14" x14ac:dyDescent="0.35">
      <c r="A402" t="str">
        <f t="shared" si="18"/>
        <v>18097340112_2024</v>
      </c>
      <c r="B402">
        <v>18097340112</v>
      </c>
      <c r="C402">
        <v>2024</v>
      </c>
      <c r="D402">
        <v>6.6600431054907913E-2</v>
      </c>
      <c r="E402">
        <v>-0.168165851985907</v>
      </c>
      <c r="F402">
        <v>0.51561217088687927</v>
      </c>
      <c r="G402">
        <v>-0.53507050933110034</v>
      </c>
      <c r="H402">
        <v>0.19269436143336649</v>
      </c>
      <c r="I402">
        <v>-0.20945992388142509</v>
      </c>
      <c r="J402">
        <v>3.6009312347752877E-2</v>
      </c>
      <c r="M402">
        <f t="shared" si="19"/>
        <v>-0.10178000947552587</v>
      </c>
      <c r="N402">
        <f t="shared" si="20"/>
        <v>7</v>
      </c>
    </row>
    <row r="403" spans="1:14" x14ac:dyDescent="0.35">
      <c r="A403" t="str">
        <f t="shared" si="18"/>
        <v>18097340112_2025</v>
      </c>
      <c r="B403">
        <v>18097340112</v>
      </c>
      <c r="C403">
        <v>2025</v>
      </c>
      <c r="D403">
        <v>0.19491111526130531</v>
      </c>
      <c r="E403">
        <v>-0.2145141465738043</v>
      </c>
      <c r="F403">
        <v>0.4947251476853049</v>
      </c>
      <c r="G403">
        <v>-0.56905694184662148</v>
      </c>
      <c r="H403">
        <v>0.21462856121760629</v>
      </c>
      <c r="I403">
        <v>-0.24477396771450041</v>
      </c>
      <c r="J403">
        <v>3.7169301101950228E-2</v>
      </c>
      <c r="M403">
        <f t="shared" si="19"/>
        <v>-8.6910930868759492E-2</v>
      </c>
      <c r="N403">
        <f t="shared" si="20"/>
        <v>7</v>
      </c>
    </row>
    <row r="404" spans="1:14" x14ac:dyDescent="0.35">
      <c r="A404" t="str">
        <f t="shared" si="18"/>
        <v>18097340112_2026</v>
      </c>
      <c r="B404">
        <v>18097340112</v>
      </c>
      <c r="C404">
        <v>2026</v>
      </c>
      <c r="D404">
        <v>0.19500253695505179</v>
      </c>
      <c r="E404">
        <v>-0.2532097846638322</v>
      </c>
      <c r="F404">
        <v>0.45249884729100931</v>
      </c>
      <c r="G404">
        <v>-0.59643045501137126</v>
      </c>
      <c r="H404">
        <v>0.2387376397023864</v>
      </c>
      <c r="I404">
        <v>-0.28991543839664091</v>
      </c>
      <c r="J404">
        <v>2.8295847892454911E-2</v>
      </c>
      <c r="M404">
        <f t="shared" si="19"/>
        <v>-0.22502080623094198</v>
      </c>
      <c r="N404">
        <f t="shared" si="20"/>
        <v>7</v>
      </c>
    </row>
    <row r="405" spans="1:14" x14ac:dyDescent="0.35">
      <c r="A405" t="str">
        <f t="shared" si="18"/>
        <v>18097340112_2027</v>
      </c>
      <c r="B405">
        <v>18097340112</v>
      </c>
      <c r="C405">
        <v>2027</v>
      </c>
      <c r="D405">
        <v>0.26753783197277581</v>
      </c>
      <c r="E405">
        <v>-0.29331109768948782</v>
      </c>
      <c r="F405">
        <v>0.39926710779255942</v>
      </c>
      <c r="G405">
        <v>-0.61955149727028191</v>
      </c>
      <c r="H405">
        <v>0.24835433796589471</v>
      </c>
      <c r="I405">
        <v>-0.33451782279338033</v>
      </c>
      <c r="J405">
        <v>1.2276940146318969E-2</v>
      </c>
      <c r="M405">
        <f t="shared" si="19"/>
        <v>-0.31994419987560119</v>
      </c>
      <c r="N405">
        <f t="shared" si="20"/>
        <v>7</v>
      </c>
    </row>
    <row r="406" spans="1:14" x14ac:dyDescent="0.35">
      <c r="A406" t="str">
        <f t="shared" si="18"/>
        <v>18097340112_2028</v>
      </c>
      <c r="B406">
        <v>18097340112</v>
      </c>
      <c r="C406">
        <v>2028</v>
      </c>
      <c r="D406">
        <v>0.2811324045829402</v>
      </c>
      <c r="E406">
        <v>-0.3263525012521139</v>
      </c>
      <c r="F406">
        <v>0.36065303592762649</v>
      </c>
      <c r="G406">
        <v>-0.63404259552430198</v>
      </c>
      <c r="H406">
        <v>0.26665823300327912</v>
      </c>
      <c r="I406">
        <v>-0.37975709596102691</v>
      </c>
      <c r="J406">
        <v>-1.102044801548486E-2</v>
      </c>
      <c r="M406">
        <f t="shared" si="19"/>
        <v>-0.44272896723908184</v>
      </c>
      <c r="N406">
        <f t="shared" si="20"/>
        <v>7</v>
      </c>
    </row>
    <row r="407" spans="1:14" x14ac:dyDescent="0.35">
      <c r="A407" t="str">
        <f t="shared" si="18"/>
        <v>18097340113_2024</v>
      </c>
      <c r="B407">
        <v>18097340113</v>
      </c>
      <c r="C407">
        <v>2024</v>
      </c>
      <c r="D407">
        <v>-0.63659740673255993</v>
      </c>
      <c r="E407">
        <v>-1.159354871393768</v>
      </c>
      <c r="F407">
        <v>0.1839241056948612</v>
      </c>
      <c r="G407">
        <v>-0.41725201076909629</v>
      </c>
      <c r="I407">
        <v>4.8457667661142692E-2</v>
      </c>
      <c r="J407">
        <v>0.70157243876862607</v>
      </c>
      <c r="K407">
        <v>1.6326261387854459</v>
      </c>
      <c r="M407">
        <f t="shared" si="19"/>
        <v>0.35337606201465155</v>
      </c>
      <c r="N407">
        <f t="shared" si="20"/>
        <v>7</v>
      </c>
    </row>
    <row r="408" spans="1:14" x14ac:dyDescent="0.35">
      <c r="A408" t="str">
        <f t="shared" si="18"/>
        <v>18097340113_2025</v>
      </c>
      <c r="B408">
        <v>18097340113</v>
      </c>
      <c r="C408">
        <v>2025</v>
      </c>
      <c r="D408">
        <v>-0.52861748205359693</v>
      </c>
      <c r="E408">
        <v>-1.2772091573207649</v>
      </c>
      <c r="F408">
        <v>0.15779646459128541</v>
      </c>
      <c r="G408">
        <v>-0.49036961496002468</v>
      </c>
      <c r="I408">
        <v>-1.547823421599046E-2</v>
      </c>
      <c r="J408">
        <v>0.71518373633803867</v>
      </c>
      <c r="K408">
        <v>1.4841023910744791</v>
      </c>
      <c r="M408">
        <f t="shared" si="19"/>
        <v>4.5408103453426385E-2</v>
      </c>
      <c r="N408">
        <f t="shared" si="20"/>
        <v>7</v>
      </c>
    </row>
    <row r="409" spans="1:14" x14ac:dyDescent="0.35">
      <c r="A409" t="str">
        <f t="shared" si="18"/>
        <v>18097340113_2026</v>
      </c>
      <c r="B409">
        <v>18097340113</v>
      </c>
      <c r="C409">
        <v>2026</v>
      </c>
      <c r="D409">
        <v>-0.47106982146535831</v>
      </c>
      <c r="E409">
        <v>-1.35047077292976</v>
      </c>
      <c r="F409">
        <v>0.12484941135741399</v>
      </c>
      <c r="G409">
        <v>-0.56174554562288659</v>
      </c>
      <c r="I409">
        <v>-0.12937996318197351</v>
      </c>
      <c r="J409">
        <v>0.72425847721833403</v>
      </c>
      <c r="K409">
        <v>1.417372918920031</v>
      </c>
      <c r="M409">
        <f t="shared" si="19"/>
        <v>-0.24618529570419945</v>
      </c>
      <c r="N409">
        <f t="shared" si="20"/>
        <v>7</v>
      </c>
    </row>
    <row r="410" spans="1:14" x14ac:dyDescent="0.35">
      <c r="A410" t="str">
        <f t="shared" si="18"/>
        <v>18097340113_2027</v>
      </c>
      <c r="B410">
        <v>18097340113</v>
      </c>
      <c r="C410">
        <v>2027</v>
      </c>
      <c r="D410">
        <v>-0.37095943942722492</v>
      </c>
      <c r="E410">
        <v>-1.4328344629199179</v>
      </c>
      <c r="F410">
        <v>8.6275922096309271E-2</v>
      </c>
      <c r="G410">
        <v>-0.62517557269147772</v>
      </c>
      <c r="I410">
        <v>-0.21064728948762659</v>
      </c>
      <c r="J410">
        <v>0.73033830303993064</v>
      </c>
      <c r="K410">
        <v>1.216432737557986</v>
      </c>
      <c r="M410">
        <f t="shared" si="19"/>
        <v>-0.60656980183202114</v>
      </c>
      <c r="N410">
        <f t="shared" si="20"/>
        <v>7</v>
      </c>
    </row>
    <row r="411" spans="1:14" x14ac:dyDescent="0.35">
      <c r="A411" t="str">
        <f t="shared" si="18"/>
        <v>18097340113_2028</v>
      </c>
      <c r="B411">
        <v>18097340113</v>
      </c>
      <c r="C411">
        <v>2028</v>
      </c>
      <c r="D411">
        <v>-0.30210251117987719</v>
      </c>
      <c r="E411">
        <v>-1.4987124460586261</v>
      </c>
      <c r="F411">
        <v>5.7656347240385E-2</v>
      </c>
      <c r="G411">
        <v>-0.67469369531426415</v>
      </c>
      <c r="I411">
        <v>-0.30280453867753337</v>
      </c>
      <c r="J411">
        <v>0.73374274384071203</v>
      </c>
      <c r="K411">
        <v>1.0622383689797761</v>
      </c>
      <c r="M411">
        <f t="shared" si="19"/>
        <v>-0.92467573116942758</v>
      </c>
      <c r="N411">
        <f t="shared" si="20"/>
        <v>7</v>
      </c>
    </row>
    <row r="412" spans="1:14" x14ac:dyDescent="0.35">
      <c r="A412" t="str">
        <f t="shared" si="18"/>
        <v>18097340114_2024</v>
      </c>
      <c r="B412">
        <v>18097340114</v>
      </c>
      <c r="C412">
        <v>2024</v>
      </c>
      <c r="D412">
        <v>-0.44747378815256811</v>
      </c>
      <c r="E412">
        <v>0.34139303708477131</v>
      </c>
      <c r="F412">
        <v>-1.106164059054382</v>
      </c>
      <c r="G412">
        <v>0.43113502965373229</v>
      </c>
      <c r="I412">
        <v>9.4456338160193304E-2</v>
      </c>
      <c r="J412">
        <v>0.72154091637555429</v>
      </c>
      <c r="K412">
        <v>1.6832245482928649</v>
      </c>
      <c r="M412">
        <f t="shared" si="19"/>
        <v>1.718112022360166</v>
      </c>
      <c r="N412">
        <f t="shared" si="20"/>
        <v>7</v>
      </c>
    </row>
    <row r="413" spans="1:14" x14ac:dyDescent="0.35">
      <c r="A413" t="str">
        <f t="shared" si="18"/>
        <v>18097340114_2025</v>
      </c>
      <c r="B413">
        <v>18097340114</v>
      </c>
      <c r="C413">
        <v>2025</v>
      </c>
      <c r="D413">
        <v>-0.3259602484515553</v>
      </c>
      <c r="E413">
        <v>0.35324649209220671</v>
      </c>
      <c r="F413">
        <v>-1.0728395115035849</v>
      </c>
      <c r="G413">
        <v>0.18947220623444691</v>
      </c>
      <c r="I413">
        <v>1.6482902277547271E-2</v>
      </c>
      <c r="J413">
        <v>0.73556340018216992</v>
      </c>
      <c r="K413">
        <v>1.5282831140245949</v>
      </c>
      <c r="M413">
        <f t="shared" si="19"/>
        <v>1.4242483548558256</v>
      </c>
      <c r="N413">
        <f t="shared" si="20"/>
        <v>7</v>
      </c>
    </row>
    <row r="414" spans="1:14" x14ac:dyDescent="0.35">
      <c r="A414" t="str">
        <f t="shared" si="18"/>
        <v>18097340114_2026</v>
      </c>
      <c r="B414">
        <v>18097340114</v>
      </c>
      <c r="C414">
        <v>2026</v>
      </c>
      <c r="D414">
        <v>-0.26642872802826612</v>
      </c>
      <c r="E414">
        <v>0.37335537918439149</v>
      </c>
      <c r="F414">
        <v>-1.0094006267628479</v>
      </c>
      <c r="G414">
        <v>0.21456542794208361</v>
      </c>
      <c r="I414">
        <v>-6.6082232296358706E-2</v>
      </c>
      <c r="J414">
        <v>0.74523875362283398</v>
      </c>
      <c r="K414">
        <v>1.461619894844242</v>
      </c>
      <c r="M414">
        <f t="shared" si="19"/>
        <v>1.4528678685060785</v>
      </c>
      <c r="N414">
        <f t="shared" si="20"/>
        <v>7</v>
      </c>
    </row>
    <row r="415" spans="1:14" x14ac:dyDescent="0.35">
      <c r="A415" t="str">
        <f t="shared" si="18"/>
        <v>18097340114_2027</v>
      </c>
      <c r="B415">
        <v>18097340114</v>
      </c>
      <c r="C415">
        <v>2027</v>
      </c>
      <c r="D415">
        <v>-0.1594872029942011</v>
      </c>
      <c r="E415">
        <v>0.38369886681604021</v>
      </c>
      <c r="F415">
        <v>-0.94452330267347595</v>
      </c>
      <c r="G415">
        <v>1.6001386740982341E-2</v>
      </c>
      <c r="I415">
        <v>-0.14152979591578921</v>
      </c>
      <c r="J415">
        <v>0.75206766865234109</v>
      </c>
      <c r="K415">
        <v>1.253103735404979</v>
      </c>
      <c r="M415">
        <f t="shared" si="19"/>
        <v>1.1593313560308764</v>
      </c>
      <c r="N415">
        <f t="shared" si="20"/>
        <v>7</v>
      </c>
    </row>
    <row r="416" spans="1:14" x14ac:dyDescent="0.35">
      <c r="A416" t="str">
        <f t="shared" si="18"/>
        <v>18097340114_2028</v>
      </c>
      <c r="B416">
        <v>18097340114</v>
      </c>
      <c r="C416">
        <v>2028</v>
      </c>
      <c r="D416">
        <v>-9.1360429669300164E-2</v>
      </c>
      <c r="E416">
        <v>0.39960705997516632</v>
      </c>
      <c r="F416">
        <v>-0.89149903598219937</v>
      </c>
      <c r="G416">
        <v>2.3785780574468261E-2</v>
      </c>
      <c r="I416">
        <v>-0.21535909661055</v>
      </c>
      <c r="J416">
        <v>0.756383747209181</v>
      </c>
      <c r="K416">
        <v>1.095973861252151</v>
      </c>
      <c r="M416">
        <f t="shared" si="19"/>
        <v>1.077531886748917</v>
      </c>
      <c r="N416">
        <f t="shared" si="20"/>
        <v>7</v>
      </c>
    </row>
    <row r="417" spans="1:14" x14ac:dyDescent="0.35">
      <c r="A417" t="str">
        <f t="shared" si="18"/>
        <v>18097340115_2024</v>
      </c>
      <c r="B417">
        <v>18097340115</v>
      </c>
      <c r="C417">
        <v>2024</v>
      </c>
      <c r="D417">
        <v>0.31292078067617413</v>
      </c>
      <c r="F417">
        <v>0.23760225124200329</v>
      </c>
      <c r="G417">
        <v>-0.26094002811685008</v>
      </c>
      <c r="I417">
        <v>-0.48244189793065217</v>
      </c>
      <c r="J417">
        <v>-2.375262849140828E-2</v>
      </c>
      <c r="M417">
        <f t="shared" si="19"/>
        <v>-0.2166115226207331</v>
      </c>
      <c r="N417">
        <f t="shared" si="20"/>
        <v>5</v>
      </c>
    </row>
    <row r="418" spans="1:14" x14ac:dyDescent="0.35">
      <c r="A418" t="str">
        <f t="shared" si="18"/>
        <v>18097340115_2025</v>
      </c>
      <c r="B418">
        <v>18097340115</v>
      </c>
      <c r="C418">
        <v>2025</v>
      </c>
      <c r="D418">
        <v>0.45116637894959538</v>
      </c>
      <c r="F418">
        <v>0.18416802187221931</v>
      </c>
      <c r="G418">
        <v>-0.1670161986621245</v>
      </c>
      <c r="I418">
        <v>-0.34652593389441072</v>
      </c>
      <c r="J418">
        <v>-2.3644742442537649E-2</v>
      </c>
      <c r="M418">
        <f t="shared" si="19"/>
        <v>9.814752582274186E-2</v>
      </c>
      <c r="N418">
        <f t="shared" si="20"/>
        <v>5</v>
      </c>
    </row>
    <row r="419" spans="1:14" x14ac:dyDescent="0.35">
      <c r="A419" t="str">
        <f t="shared" si="18"/>
        <v>18097340115_2026</v>
      </c>
      <c r="B419">
        <v>18097340115</v>
      </c>
      <c r="C419">
        <v>2026</v>
      </c>
      <c r="D419">
        <v>0.43969316883315801</v>
      </c>
      <c r="F419">
        <v>-3.3146067985267078E-2</v>
      </c>
      <c r="G419">
        <v>-8.3971250601207026E-2</v>
      </c>
      <c r="I419">
        <v>-0.13434588588354171</v>
      </c>
      <c r="J419">
        <v>-3.3895060674069707E-2</v>
      </c>
      <c r="M419">
        <f t="shared" si="19"/>
        <v>0.15433490368907249</v>
      </c>
      <c r="N419">
        <f t="shared" si="20"/>
        <v>5</v>
      </c>
    </row>
    <row r="420" spans="1:14" x14ac:dyDescent="0.35">
      <c r="A420" t="str">
        <f t="shared" si="18"/>
        <v>18097340115_2027</v>
      </c>
      <c r="B420">
        <v>18097340115</v>
      </c>
      <c r="C420">
        <v>2027</v>
      </c>
      <c r="D420">
        <v>0.5091619162260359</v>
      </c>
      <c r="F420">
        <v>-0.1078032244820237</v>
      </c>
      <c r="G420">
        <v>3.23819287333218E-3</v>
      </c>
      <c r="I420">
        <v>9.0347979531754299E-3</v>
      </c>
      <c r="J420">
        <v>-5.1563390318049712E-2</v>
      </c>
      <c r="M420">
        <f t="shared" si="19"/>
        <v>0.36206829225247006</v>
      </c>
      <c r="N420">
        <f t="shared" si="20"/>
        <v>5</v>
      </c>
    </row>
    <row r="421" spans="1:14" x14ac:dyDescent="0.35">
      <c r="A421" t="str">
        <f t="shared" si="18"/>
        <v>18097340115_2028</v>
      </c>
      <c r="B421">
        <v>18097340115</v>
      </c>
      <c r="C421">
        <v>2028</v>
      </c>
      <c r="D421">
        <v>0.51025676590525282</v>
      </c>
      <c r="F421">
        <v>-0.23418610095008729</v>
      </c>
      <c r="G421">
        <v>7.5990090210386968E-2</v>
      </c>
      <c r="I421">
        <v>0.1971400859563838</v>
      </c>
      <c r="J421">
        <v>-7.6825705620296572E-2</v>
      </c>
      <c r="M421">
        <f t="shared" si="19"/>
        <v>0.47237513550163968</v>
      </c>
      <c r="N421">
        <f t="shared" si="20"/>
        <v>5</v>
      </c>
    </row>
    <row r="422" spans="1:14" x14ac:dyDescent="0.35">
      <c r="A422" t="str">
        <f t="shared" si="18"/>
        <v>18097340201_2024</v>
      </c>
      <c r="B422">
        <v>18097340201</v>
      </c>
      <c r="C422">
        <v>2024</v>
      </c>
      <c r="D422">
        <v>-1.408193006331286</v>
      </c>
      <c r="E422">
        <v>-1.301464828737759</v>
      </c>
      <c r="F422">
        <v>-0.49973857763170698</v>
      </c>
      <c r="G422">
        <v>4.7827936806484929E-2</v>
      </c>
      <c r="H422">
        <v>0.86222311977364519</v>
      </c>
      <c r="I422">
        <v>-1.5419718322953571</v>
      </c>
      <c r="J422">
        <v>-0.46159709393206633</v>
      </c>
      <c r="M422">
        <f t="shared" si="19"/>
        <v>-4.3029142823480448</v>
      </c>
      <c r="N422">
        <f t="shared" si="20"/>
        <v>7</v>
      </c>
    </row>
    <row r="423" spans="1:14" x14ac:dyDescent="0.35">
      <c r="A423" t="str">
        <f t="shared" si="18"/>
        <v>18097340201_2025</v>
      </c>
      <c r="B423">
        <v>18097340201</v>
      </c>
      <c r="C423">
        <v>2025</v>
      </c>
      <c r="D423">
        <v>-1.3917685946511951</v>
      </c>
      <c r="E423">
        <v>-1.3264740848885921</v>
      </c>
      <c r="F423">
        <v>-0.47407625085599819</v>
      </c>
      <c r="G423">
        <v>5.0644918996620103E-2</v>
      </c>
      <c r="H423">
        <v>0.8168624448052989</v>
      </c>
      <c r="I423">
        <v>-1.5955398340042271</v>
      </c>
      <c r="J423">
        <v>-0.42139578581208842</v>
      </c>
      <c r="M423">
        <f t="shared" si="19"/>
        <v>-4.3417471864101822</v>
      </c>
      <c r="N423">
        <f t="shared" si="20"/>
        <v>7</v>
      </c>
    </row>
    <row r="424" spans="1:14" x14ac:dyDescent="0.35">
      <c r="A424" t="str">
        <f t="shared" si="18"/>
        <v>18097340201_2026</v>
      </c>
      <c r="B424">
        <v>18097340201</v>
      </c>
      <c r="C424">
        <v>2026</v>
      </c>
      <c r="D424">
        <v>-1.370431418858296</v>
      </c>
      <c r="E424">
        <v>-1.3508794095644201</v>
      </c>
      <c r="F424">
        <v>-0.46047197906797699</v>
      </c>
      <c r="G424">
        <v>6.3363428755940421E-2</v>
      </c>
      <c r="H424">
        <v>0.77812673277966016</v>
      </c>
      <c r="I424">
        <v>-1.627618895061524</v>
      </c>
      <c r="J424">
        <v>-0.38077108277246408</v>
      </c>
      <c r="M424">
        <f t="shared" si="19"/>
        <v>-4.348682623789081</v>
      </c>
      <c r="N424">
        <f t="shared" si="20"/>
        <v>7</v>
      </c>
    </row>
    <row r="425" spans="1:14" x14ac:dyDescent="0.35">
      <c r="A425" t="str">
        <f t="shared" si="18"/>
        <v>18097340201_2027</v>
      </c>
      <c r="B425">
        <v>18097340201</v>
      </c>
      <c r="C425">
        <v>2027</v>
      </c>
      <c r="D425">
        <v>-1.3275636118116181</v>
      </c>
      <c r="E425">
        <v>-1.367775221107425</v>
      </c>
      <c r="F425">
        <v>-0.43804374452987249</v>
      </c>
      <c r="G425">
        <v>7.0274421224092887E-2</v>
      </c>
      <c r="H425">
        <v>0.73126204523214222</v>
      </c>
      <c r="I425">
        <v>-1.65830694477758</v>
      </c>
      <c r="J425">
        <v>-0.33647169241848263</v>
      </c>
      <c r="M425">
        <f t="shared" si="19"/>
        <v>-4.3266247481887437</v>
      </c>
      <c r="N425">
        <f t="shared" si="20"/>
        <v>7</v>
      </c>
    </row>
    <row r="426" spans="1:14" x14ac:dyDescent="0.35">
      <c r="A426" t="str">
        <f t="shared" si="18"/>
        <v>18097340201_2028</v>
      </c>
      <c r="B426">
        <v>18097340201</v>
      </c>
      <c r="C426">
        <v>2028</v>
      </c>
      <c r="D426">
        <v>-1.2778754842655859</v>
      </c>
      <c r="E426">
        <v>-1.38089072826755</v>
      </c>
      <c r="F426">
        <v>-0.4234072482781559</v>
      </c>
      <c r="G426">
        <v>7.0439333633415341E-2</v>
      </c>
      <c r="H426">
        <v>0.69066948534480332</v>
      </c>
      <c r="I426">
        <v>-1.6764053332073461</v>
      </c>
      <c r="J426">
        <v>-0.28565417817093341</v>
      </c>
      <c r="M426">
        <f t="shared" si="19"/>
        <v>-4.2831241532113529</v>
      </c>
      <c r="N426">
        <f t="shared" si="20"/>
        <v>7</v>
      </c>
    </row>
    <row r="427" spans="1:14" x14ac:dyDescent="0.35">
      <c r="A427" t="str">
        <f t="shared" si="18"/>
        <v>18097340202_2024</v>
      </c>
      <c r="B427">
        <v>18097340202</v>
      </c>
      <c r="C427">
        <v>2024</v>
      </c>
      <c r="D427">
        <v>-0.88569138998408214</v>
      </c>
      <c r="E427">
        <v>-0.30613635514235621</v>
      </c>
      <c r="F427">
        <v>-0.13594534680742859</v>
      </c>
      <c r="G427">
        <v>-0.27394297350270158</v>
      </c>
      <c r="H427">
        <v>0.76083422056746997</v>
      </c>
      <c r="I427">
        <v>-0.42856216687930632</v>
      </c>
      <c r="J427">
        <v>-0.46159709393206633</v>
      </c>
      <c r="M427">
        <f t="shared" si="19"/>
        <v>-1.7310411056804711</v>
      </c>
      <c r="N427">
        <f t="shared" si="20"/>
        <v>7</v>
      </c>
    </row>
    <row r="428" spans="1:14" x14ac:dyDescent="0.35">
      <c r="A428" t="str">
        <f t="shared" si="18"/>
        <v>18097340202_2025</v>
      </c>
      <c r="B428">
        <v>18097340202</v>
      </c>
      <c r="C428">
        <v>2025</v>
      </c>
      <c r="D428">
        <v>-0.88664014888484322</v>
      </c>
      <c r="E428">
        <v>-0.29242213151336899</v>
      </c>
      <c r="F428">
        <v>-0.33309346466898709</v>
      </c>
      <c r="G428">
        <v>-0.20332695974977211</v>
      </c>
      <c r="H428">
        <v>0.92481840778657942</v>
      </c>
      <c r="I428">
        <v>-0.40364534323545309</v>
      </c>
      <c r="J428">
        <v>-0.42139578581208842</v>
      </c>
      <c r="M428">
        <f t="shared" si="19"/>
        <v>-1.6157054260779338</v>
      </c>
      <c r="N428">
        <f t="shared" si="20"/>
        <v>7</v>
      </c>
    </row>
    <row r="429" spans="1:14" x14ac:dyDescent="0.35">
      <c r="A429" t="str">
        <f t="shared" si="18"/>
        <v>18097340202_2026</v>
      </c>
      <c r="B429">
        <v>18097340202</v>
      </c>
      <c r="C429">
        <v>2026</v>
      </c>
      <c r="D429">
        <v>-0.91463492835450999</v>
      </c>
      <c r="E429">
        <v>-0.27434737918173713</v>
      </c>
      <c r="F429">
        <v>-0.3746699481951587</v>
      </c>
      <c r="G429">
        <v>-0.16300798279920711</v>
      </c>
      <c r="H429">
        <v>0.84755313349786254</v>
      </c>
      <c r="I429">
        <v>-0.38398914469282519</v>
      </c>
      <c r="J429">
        <v>-0.38077108277246408</v>
      </c>
      <c r="M429">
        <f t="shared" si="19"/>
        <v>-1.6438673324980395</v>
      </c>
      <c r="N429">
        <f t="shared" si="20"/>
        <v>7</v>
      </c>
    </row>
    <row r="430" spans="1:14" x14ac:dyDescent="0.35">
      <c r="A430" t="str">
        <f t="shared" si="18"/>
        <v>18097340202_2027</v>
      </c>
      <c r="B430">
        <v>18097340202</v>
      </c>
      <c r="C430">
        <v>2027</v>
      </c>
      <c r="D430">
        <v>-0.90494219777957885</v>
      </c>
      <c r="E430">
        <v>-0.26030202158202292</v>
      </c>
      <c r="F430">
        <v>-0.45194612581340449</v>
      </c>
      <c r="G430">
        <v>-0.12598705735660931</v>
      </c>
      <c r="H430">
        <v>0.92724795388770476</v>
      </c>
      <c r="I430">
        <v>-0.36122326782758529</v>
      </c>
      <c r="J430">
        <v>-0.33647169241848263</v>
      </c>
      <c r="M430">
        <f t="shared" si="19"/>
        <v>-1.5136244088899788</v>
      </c>
      <c r="N430">
        <f t="shared" si="20"/>
        <v>7</v>
      </c>
    </row>
    <row r="431" spans="1:14" x14ac:dyDescent="0.35">
      <c r="A431" t="str">
        <f t="shared" si="18"/>
        <v>18097340202_2028</v>
      </c>
      <c r="B431">
        <v>18097340202</v>
      </c>
      <c r="C431">
        <v>2028</v>
      </c>
      <c r="D431">
        <v>-0.90058074598948734</v>
      </c>
      <c r="E431">
        <v>-0.2421041315352776</v>
      </c>
      <c r="F431">
        <v>-0.49384537704331227</v>
      </c>
      <c r="G431">
        <v>-0.10117952412575271</v>
      </c>
      <c r="H431">
        <v>0.88146087358945113</v>
      </c>
      <c r="I431">
        <v>-0.33886530218497501</v>
      </c>
      <c r="J431">
        <v>-0.28565417817093341</v>
      </c>
      <c r="M431">
        <f t="shared" si="19"/>
        <v>-1.4807683854602871</v>
      </c>
      <c r="N431">
        <f t="shared" si="20"/>
        <v>7</v>
      </c>
    </row>
    <row r="432" spans="1:14" x14ac:dyDescent="0.35">
      <c r="A432" t="str">
        <f t="shared" si="18"/>
        <v>18097340301_2024</v>
      </c>
      <c r="B432">
        <v>18097340301</v>
      </c>
      <c r="C432">
        <v>2024</v>
      </c>
      <c r="D432">
        <v>-1.4217445416214041</v>
      </c>
      <c r="E432">
        <v>-1.2209233733450979</v>
      </c>
      <c r="F432">
        <v>1.0560656032025779</v>
      </c>
      <c r="H432">
        <v>-0.45632447118698533</v>
      </c>
      <c r="I432">
        <v>-1.175917733582754</v>
      </c>
      <c r="J432">
        <v>-0.46159709393206633</v>
      </c>
      <c r="M432">
        <f t="shared" si="19"/>
        <v>-3.68044161046573</v>
      </c>
      <c r="N432">
        <f t="shared" si="20"/>
        <v>6</v>
      </c>
    </row>
    <row r="433" spans="1:14" x14ac:dyDescent="0.35">
      <c r="A433" t="str">
        <f t="shared" si="18"/>
        <v>18097340301_2025</v>
      </c>
      <c r="B433">
        <v>18097340301</v>
      </c>
      <c r="C433">
        <v>2025</v>
      </c>
      <c r="D433">
        <v>-1.404869744555886</v>
      </c>
      <c r="E433">
        <v>-1.2303104250327981</v>
      </c>
      <c r="F433">
        <v>0.92668942563343337</v>
      </c>
      <c r="H433">
        <v>-0.38271857947311833</v>
      </c>
      <c r="I433">
        <v>-1.094958406170158</v>
      </c>
      <c r="J433">
        <v>-0.42139578581208842</v>
      </c>
      <c r="M433">
        <f t="shared" si="19"/>
        <v>-3.6075635154106154</v>
      </c>
      <c r="N433">
        <f t="shared" si="20"/>
        <v>6</v>
      </c>
    </row>
    <row r="434" spans="1:14" x14ac:dyDescent="0.35">
      <c r="A434" t="str">
        <f t="shared" si="18"/>
        <v>18097340301_2026</v>
      </c>
      <c r="B434">
        <v>18097340301</v>
      </c>
      <c r="C434">
        <v>2026</v>
      </c>
      <c r="D434">
        <v>-1.382253396619449</v>
      </c>
      <c r="E434">
        <v>-1.2480092159263081</v>
      </c>
      <c r="F434">
        <v>0.77115173825225014</v>
      </c>
      <c r="H434">
        <v>-0.71352308305020595</v>
      </c>
      <c r="I434">
        <v>-1.0081384484922791</v>
      </c>
      <c r="J434">
        <v>-0.38077108277246408</v>
      </c>
      <c r="M434">
        <f t="shared" si="19"/>
        <v>-3.9615434886084566</v>
      </c>
      <c r="N434">
        <f t="shared" si="20"/>
        <v>6</v>
      </c>
    </row>
    <row r="435" spans="1:14" x14ac:dyDescent="0.35">
      <c r="A435" t="str">
        <f t="shared" si="18"/>
        <v>18097340301_2027</v>
      </c>
      <c r="B435">
        <v>18097340301</v>
      </c>
      <c r="C435">
        <v>2027</v>
      </c>
      <c r="D435">
        <v>-1.3385253685653611</v>
      </c>
      <c r="E435">
        <v>-1.254307826790251</v>
      </c>
      <c r="F435">
        <v>0.6168941461585411</v>
      </c>
      <c r="H435">
        <v>-0.65401318843130085</v>
      </c>
      <c r="I435">
        <v>-0.92333310758097797</v>
      </c>
      <c r="J435">
        <v>-0.33647169241848263</v>
      </c>
      <c r="M435">
        <f t="shared" si="19"/>
        <v>-3.8897570376278323</v>
      </c>
      <c r="N435">
        <f t="shared" si="20"/>
        <v>6</v>
      </c>
    </row>
    <row r="436" spans="1:14" x14ac:dyDescent="0.35">
      <c r="A436" t="str">
        <f t="shared" si="18"/>
        <v>18097340301_2028</v>
      </c>
      <c r="B436">
        <v>18097340301</v>
      </c>
      <c r="C436">
        <v>2028</v>
      </c>
      <c r="D436">
        <v>-1.287661811757175</v>
      </c>
      <c r="E436">
        <v>-1.2602197760452589</v>
      </c>
      <c r="F436">
        <v>0.4957865848457092</v>
      </c>
      <c r="H436">
        <v>-0.88851754899663016</v>
      </c>
      <c r="I436">
        <v>-0.83664625912902857</v>
      </c>
      <c r="J436">
        <v>-0.28565417817093341</v>
      </c>
      <c r="M436">
        <f t="shared" si="19"/>
        <v>-4.0629129892533165</v>
      </c>
      <c r="N436">
        <f t="shared" si="20"/>
        <v>6</v>
      </c>
    </row>
    <row r="437" spans="1:14" x14ac:dyDescent="0.35">
      <c r="A437" t="str">
        <f t="shared" si="18"/>
        <v>18097340302_2024</v>
      </c>
      <c r="B437">
        <v>18097340302</v>
      </c>
      <c r="C437">
        <v>2024</v>
      </c>
      <c r="D437">
        <v>-1.1998860567060099</v>
      </c>
      <c r="F437">
        <v>0.36971963637909228</v>
      </c>
      <c r="G437">
        <v>-2.3070457445058379E-4</v>
      </c>
      <c r="H437">
        <v>1.1094846377922369</v>
      </c>
      <c r="J437">
        <v>-0.46159709393206633</v>
      </c>
      <c r="M437">
        <f t="shared" si="19"/>
        <v>-0.18250958104119769</v>
      </c>
      <c r="N437">
        <f t="shared" si="20"/>
        <v>5</v>
      </c>
    </row>
    <row r="438" spans="1:14" x14ac:dyDescent="0.35">
      <c r="A438" t="str">
        <f t="shared" si="18"/>
        <v>18097340302_2025</v>
      </c>
      <c r="B438">
        <v>18097340302</v>
      </c>
      <c r="C438">
        <v>2025</v>
      </c>
      <c r="D438">
        <v>-1.1903880294539011</v>
      </c>
      <c r="F438">
        <v>0.35356105350451578</v>
      </c>
      <c r="G438">
        <v>0.29997719674212558</v>
      </c>
      <c r="H438">
        <v>0.93973822499456761</v>
      </c>
      <c r="J438">
        <v>-0.42139578581208842</v>
      </c>
      <c r="M438">
        <f t="shared" si="19"/>
        <v>-1.850734002478055E-2</v>
      </c>
      <c r="N438">
        <f t="shared" si="20"/>
        <v>5</v>
      </c>
    </row>
    <row r="439" spans="1:14" x14ac:dyDescent="0.35">
      <c r="A439" t="str">
        <f t="shared" si="18"/>
        <v>18097340302_2026</v>
      </c>
      <c r="B439">
        <v>18097340302</v>
      </c>
      <c r="C439">
        <v>2026</v>
      </c>
      <c r="D439">
        <v>-1.1887183650303801</v>
      </c>
      <c r="F439">
        <v>0.21374214531577351</v>
      </c>
      <c r="G439">
        <v>0.57817998400450321</v>
      </c>
      <c r="H439">
        <v>1.0177372528749951</v>
      </c>
      <c r="J439">
        <v>-0.38077108277246408</v>
      </c>
      <c r="M439">
        <f t="shared" si="19"/>
        <v>0.24016993439242762</v>
      </c>
      <c r="N439">
        <f t="shared" si="20"/>
        <v>5</v>
      </c>
    </row>
    <row r="440" spans="1:14" x14ac:dyDescent="0.35">
      <c r="A440" t="str">
        <f t="shared" si="18"/>
        <v>18097340302_2027</v>
      </c>
      <c r="B440">
        <v>18097340302</v>
      </c>
      <c r="C440">
        <v>2027</v>
      </c>
      <c r="D440">
        <v>-1.15907670891482</v>
      </c>
      <c r="F440">
        <v>0.12719293877651161</v>
      </c>
      <c r="G440">
        <v>0.90675394432612044</v>
      </c>
      <c r="H440">
        <v>0.8591661716117468</v>
      </c>
      <c r="J440">
        <v>-0.33647169241848263</v>
      </c>
      <c r="M440">
        <f t="shared" si="19"/>
        <v>0.39756465338107627</v>
      </c>
      <c r="N440">
        <f t="shared" si="20"/>
        <v>5</v>
      </c>
    </row>
    <row r="441" spans="1:14" x14ac:dyDescent="0.35">
      <c r="A441" t="str">
        <f t="shared" si="18"/>
        <v>18097340302_2028</v>
      </c>
      <c r="B441">
        <v>18097340302</v>
      </c>
      <c r="C441">
        <v>2028</v>
      </c>
      <c r="D441">
        <v>-1.1274591969958949</v>
      </c>
      <c r="F441">
        <v>4.3427817443445788E-2</v>
      </c>
      <c r="G441">
        <v>1.199529760286481</v>
      </c>
      <c r="H441">
        <v>0.91570306148318759</v>
      </c>
      <c r="J441">
        <v>-0.28565417817093341</v>
      </c>
      <c r="M441">
        <f t="shared" si="19"/>
        <v>0.74554726404628591</v>
      </c>
      <c r="N441">
        <f t="shared" si="20"/>
        <v>5</v>
      </c>
    </row>
    <row r="442" spans="1:14" x14ac:dyDescent="0.35">
      <c r="A442" t="str">
        <f t="shared" si="18"/>
        <v>18097340400_2024</v>
      </c>
      <c r="B442">
        <v>18097340400</v>
      </c>
      <c r="C442">
        <v>2024</v>
      </c>
      <c r="D442">
        <v>0.11026253288039101</v>
      </c>
      <c r="E442">
        <v>-1.309789224748565</v>
      </c>
      <c r="F442">
        <v>0.11155460765840761</v>
      </c>
      <c r="G442">
        <v>-0.71988500313578685</v>
      </c>
      <c r="H442">
        <v>0.4506151395996808</v>
      </c>
      <c r="I442">
        <v>-1.377355352295303</v>
      </c>
      <c r="J442">
        <v>-1.533694541976935</v>
      </c>
      <c r="K442">
        <v>-0.80640029357806942</v>
      </c>
      <c r="M442">
        <f t="shared" si="19"/>
        <v>-5.0746921355961803</v>
      </c>
      <c r="N442">
        <f t="shared" si="20"/>
        <v>8</v>
      </c>
    </row>
    <row r="443" spans="1:14" x14ac:dyDescent="0.35">
      <c r="A443" t="str">
        <f t="shared" si="18"/>
        <v>18097340400_2025</v>
      </c>
      <c r="B443">
        <v>18097340400</v>
      </c>
      <c r="C443">
        <v>2025</v>
      </c>
      <c r="D443">
        <v>5.1038340055159129E-2</v>
      </c>
      <c r="E443">
        <v>-1.3006858128907479</v>
      </c>
      <c r="F443">
        <v>0.40871078693495588</v>
      </c>
      <c r="G443">
        <v>-0.73182765296632857</v>
      </c>
      <c r="H443">
        <v>0.49370566096713703</v>
      </c>
      <c r="I443">
        <v>-1.3848351820258411</v>
      </c>
      <c r="J443">
        <v>-1.527829911310939</v>
      </c>
      <c r="K443">
        <v>-0.77708990726927052</v>
      </c>
      <c r="M443">
        <f t="shared" si="19"/>
        <v>-4.7688136785058752</v>
      </c>
      <c r="N443">
        <f t="shared" si="20"/>
        <v>8</v>
      </c>
    </row>
    <row r="444" spans="1:14" x14ac:dyDescent="0.35">
      <c r="A444" t="str">
        <f t="shared" si="18"/>
        <v>18097340400_2026</v>
      </c>
      <c r="B444">
        <v>18097340400</v>
      </c>
      <c r="C444">
        <v>2026</v>
      </c>
      <c r="D444">
        <v>-4.3378328000932997E-2</v>
      </c>
      <c r="E444">
        <v>-1.2924732928963609</v>
      </c>
      <c r="F444">
        <v>6.7712412924598397E-2</v>
      </c>
      <c r="G444">
        <v>-0.7246123379761028</v>
      </c>
      <c r="H444">
        <v>0.54514948020144394</v>
      </c>
      <c r="I444">
        <v>-1.3804170962616751</v>
      </c>
      <c r="J444">
        <v>-1.52115414160391</v>
      </c>
      <c r="K444">
        <v>-0.72990095763377905</v>
      </c>
      <c r="M444">
        <f t="shared" si="19"/>
        <v>-5.0790742612467188</v>
      </c>
      <c r="N444">
        <f t="shared" si="20"/>
        <v>8</v>
      </c>
    </row>
    <row r="445" spans="1:14" x14ac:dyDescent="0.35">
      <c r="A445" t="str">
        <f t="shared" si="18"/>
        <v>18097340400_2027</v>
      </c>
      <c r="B445">
        <v>18097340400</v>
      </c>
      <c r="C445">
        <v>2027</v>
      </c>
      <c r="D445">
        <v>-9.9654016342485843E-2</v>
      </c>
      <c r="E445">
        <v>-1.2788774548241231</v>
      </c>
      <c r="F445">
        <v>0.26251910918757021</v>
      </c>
      <c r="G445">
        <v>-0.72063847286451654</v>
      </c>
      <c r="H445">
        <v>0.576437400875077</v>
      </c>
      <c r="I445">
        <v>-1.3765411400041789</v>
      </c>
      <c r="J445">
        <v>-1.5109486137252051</v>
      </c>
      <c r="K445">
        <v>-0.66978517269072468</v>
      </c>
      <c r="M445">
        <f t="shared" si="19"/>
        <v>-4.8174883603885874</v>
      </c>
      <c r="N445">
        <f t="shared" si="20"/>
        <v>8</v>
      </c>
    </row>
    <row r="446" spans="1:14" x14ac:dyDescent="0.35">
      <c r="A446" t="str">
        <f t="shared" si="18"/>
        <v>18097340400_2028</v>
      </c>
      <c r="B446">
        <v>18097340400</v>
      </c>
      <c r="C446">
        <v>2028</v>
      </c>
      <c r="D446">
        <v>-0.17161857783329629</v>
      </c>
      <c r="E446">
        <v>-1.263007415210015</v>
      </c>
      <c r="F446">
        <v>-1.6723520916534451E-2</v>
      </c>
      <c r="G446">
        <v>-0.70782351245282926</v>
      </c>
      <c r="H446">
        <v>0.60797887301053144</v>
      </c>
      <c r="I446">
        <v>-1.3640821308556099</v>
      </c>
      <c r="J446">
        <v>-1.4935309449294389</v>
      </c>
      <c r="K446">
        <v>-0.60172016148396412</v>
      </c>
      <c r="M446">
        <f t="shared" si="19"/>
        <v>-5.0105273906711574</v>
      </c>
      <c r="N446">
        <f t="shared" si="20"/>
        <v>8</v>
      </c>
    </row>
    <row r="447" spans="1:14" x14ac:dyDescent="0.35">
      <c r="A447" t="str">
        <f t="shared" si="18"/>
        <v>18097340500_2024</v>
      </c>
      <c r="B447">
        <v>18097340500</v>
      </c>
      <c r="C447">
        <v>2024</v>
      </c>
      <c r="D447">
        <v>0.9185709959695616</v>
      </c>
      <c r="E447">
        <v>-0.75849635310639396</v>
      </c>
      <c r="F447">
        <v>1.4224342714275089</v>
      </c>
      <c r="G447">
        <v>-0.86257762018476325</v>
      </c>
      <c r="H447">
        <v>0.73211597840139664</v>
      </c>
      <c r="I447">
        <v>-0.49852072218670818</v>
      </c>
      <c r="J447">
        <v>-1.5716386708465679</v>
      </c>
      <c r="K447">
        <v>-0.83369200615994576</v>
      </c>
      <c r="M447">
        <f t="shared" si="19"/>
        <v>-1.4518041266859121</v>
      </c>
      <c r="N447">
        <f t="shared" si="20"/>
        <v>8</v>
      </c>
    </row>
    <row r="448" spans="1:14" x14ac:dyDescent="0.35">
      <c r="A448" t="str">
        <f t="shared" si="18"/>
        <v>18097340500_2025</v>
      </c>
      <c r="B448">
        <v>18097340500</v>
      </c>
      <c r="C448">
        <v>2025</v>
      </c>
      <c r="D448">
        <v>0.82120724217698815</v>
      </c>
      <c r="E448">
        <v>-0.68135736303656325</v>
      </c>
      <c r="F448">
        <v>1.301852862973357</v>
      </c>
      <c r="G448">
        <v>-0.87789935843793498</v>
      </c>
      <c r="H448">
        <v>0.8011150310208307</v>
      </c>
      <c r="I448">
        <v>-0.2979666611296623</v>
      </c>
      <c r="J448">
        <v>-1.5660159792332851</v>
      </c>
      <c r="K448">
        <v>-0.82131735623767799</v>
      </c>
      <c r="M448">
        <f t="shared" si="19"/>
        <v>-1.3203815819039479</v>
      </c>
      <c r="N448">
        <f t="shared" si="20"/>
        <v>8</v>
      </c>
    </row>
    <row r="449" spans="1:14" x14ac:dyDescent="0.35">
      <c r="A449" t="str">
        <f t="shared" si="18"/>
        <v>18097340500_2026</v>
      </c>
      <c r="B449">
        <v>18097340500</v>
      </c>
      <c r="C449">
        <v>2026</v>
      </c>
      <c r="D449">
        <v>0.66279130335850112</v>
      </c>
      <c r="E449">
        <v>-0.7169909854737524</v>
      </c>
      <c r="F449">
        <v>1.2437618410779689</v>
      </c>
      <c r="G449">
        <v>-0.88054941764970518</v>
      </c>
      <c r="H449">
        <v>0.87162414507622299</v>
      </c>
      <c r="I449">
        <v>-0.14907462442272171</v>
      </c>
      <c r="J449">
        <v>-1.5591932778562849</v>
      </c>
      <c r="K449">
        <v>-0.78733899126696261</v>
      </c>
      <c r="M449">
        <f t="shared" si="19"/>
        <v>-1.3149700071567336</v>
      </c>
      <c r="N449">
        <f t="shared" si="20"/>
        <v>8</v>
      </c>
    </row>
    <row r="450" spans="1:14" x14ac:dyDescent="0.35">
      <c r="A450" t="str">
        <f t="shared" si="18"/>
        <v>18097340500_2027</v>
      </c>
      <c r="B450">
        <v>18097340500</v>
      </c>
      <c r="C450">
        <v>2027</v>
      </c>
      <c r="D450">
        <v>0.55387628993428217</v>
      </c>
      <c r="E450">
        <v>-0.68597834904414434</v>
      </c>
      <c r="F450">
        <v>1.1273305193488981</v>
      </c>
      <c r="G450">
        <v>-0.88368509771400139</v>
      </c>
      <c r="H450">
        <v>0.92059823182625244</v>
      </c>
      <c r="I450">
        <v>-2.5186482069423879E-2</v>
      </c>
      <c r="J450">
        <v>-1.548310591253423</v>
      </c>
      <c r="K450">
        <v>-0.73647639131512366</v>
      </c>
      <c r="M450">
        <f t="shared" si="19"/>
        <v>-1.2778318702866835</v>
      </c>
      <c r="N450">
        <f t="shared" si="20"/>
        <v>8</v>
      </c>
    </row>
    <row r="451" spans="1:14" x14ac:dyDescent="0.35">
      <c r="A451" t="str">
        <f t="shared" ref="A451:A514" si="21">TEXT(B451,0)&amp;"_"&amp;TEXT(C451,0)</f>
        <v>18097340500_2028</v>
      </c>
      <c r="B451">
        <v>18097340500</v>
      </c>
      <c r="C451">
        <v>2028</v>
      </c>
      <c r="D451">
        <v>0.4162979937248823</v>
      </c>
      <c r="E451">
        <v>-0.6893091356889719</v>
      </c>
      <c r="F451">
        <v>1.052295336749911</v>
      </c>
      <c r="G451">
        <v>-0.87340726534063051</v>
      </c>
      <c r="H451">
        <v>0.96066908991619704</v>
      </c>
      <c r="I451">
        <v>7.897237429824179E-2</v>
      </c>
      <c r="J451">
        <v>-1.5294603638738991</v>
      </c>
      <c r="K451">
        <v>-0.6727868977742214</v>
      </c>
      <c r="M451">
        <f t="shared" ref="M451:M514" si="22">SUM(D451:K451)</f>
        <v>-1.2567288679884907</v>
      </c>
      <c r="N451">
        <f t="shared" ref="N451:N514" si="23">IF(D451=0,0,1)+IF(E451=0,0,1)+IF(F451=0,0,1)+IF(G451=0,0,1)+IF(H451=0,0,1)+IF(I451=0,0,1)++IF(J451=0,0,1)++IF(K451=0,0,1)</f>
        <v>8</v>
      </c>
    </row>
    <row r="452" spans="1:14" x14ac:dyDescent="0.35">
      <c r="A452" t="str">
        <f t="shared" si="21"/>
        <v>18097340600_2024</v>
      </c>
      <c r="B452">
        <v>18097340600</v>
      </c>
      <c r="C452">
        <v>2024</v>
      </c>
      <c r="D452">
        <v>1.7972750118432681</v>
      </c>
      <c r="E452">
        <v>-0.3843874517570422</v>
      </c>
      <c r="F452">
        <v>-0.14643147148244481</v>
      </c>
      <c r="G452">
        <v>-0.60167090994914929</v>
      </c>
      <c r="H452">
        <v>-0.47891021388693528</v>
      </c>
      <c r="I452">
        <v>-0.80181549251774464</v>
      </c>
      <c r="J452">
        <v>-1.5716386708465679</v>
      </c>
      <c r="K452">
        <v>-0.83369200615994576</v>
      </c>
      <c r="M452">
        <f t="shared" si="22"/>
        <v>-3.0212712047565615</v>
      </c>
      <c r="N452">
        <f t="shared" si="23"/>
        <v>8</v>
      </c>
    </row>
    <row r="453" spans="1:14" x14ac:dyDescent="0.35">
      <c r="A453" t="str">
        <f t="shared" si="21"/>
        <v>18097340600_2025</v>
      </c>
      <c r="B453">
        <v>18097340600</v>
      </c>
      <c r="C453">
        <v>2025</v>
      </c>
      <c r="D453">
        <v>1.658846501836138</v>
      </c>
      <c r="E453">
        <v>-0.21916781559685611</v>
      </c>
      <c r="F453">
        <v>-0.18077231842111829</v>
      </c>
      <c r="G453">
        <v>-0.59466144923502906</v>
      </c>
      <c r="H453">
        <v>-0.58810094296115123</v>
      </c>
      <c r="I453">
        <v>-0.69988558900266784</v>
      </c>
      <c r="J453">
        <v>-1.5660159792332851</v>
      </c>
      <c r="K453">
        <v>-0.82131735623767799</v>
      </c>
      <c r="M453">
        <f t="shared" si="22"/>
        <v>-3.0110749488516477</v>
      </c>
      <c r="N453">
        <f t="shared" si="23"/>
        <v>8</v>
      </c>
    </row>
    <row r="454" spans="1:14" x14ac:dyDescent="0.35">
      <c r="A454" t="str">
        <f t="shared" si="21"/>
        <v>18097340600_2026</v>
      </c>
      <c r="B454">
        <v>18097340600</v>
      </c>
      <c r="C454">
        <v>2026</v>
      </c>
      <c r="D454">
        <v>1.4304570745387779</v>
      </c>
      <c r="E454">
        <v>-8.7245073744681156E-2</v>
      </c>
      <c r="F454">
        <v>-0.27757535457707749</v>
      </c>
      <c r="G454">
        <v>-0.58404542409730675</v>
      </c>
      <c r="H454">
        <v>-0.60616431789977099</v>
      </c>
      <c r="I454">
        <v>-0.59812335701212738</v>
      </c>
      <c r="J454">
        <v>-1.5591932778562849</v>
      </c>
      <c r="K454">
        <v>-0.78733899126696261</v>
      </c>
      <c r="M454">
        <f t="shared" si="22"/>
        <v>-3.0692287219154339</v>
      </c>
      <c r="N454">
        <f t="shared" si="23"/>
        <v>8</v>
      </c>
    </row>
    <row r="455" spans="1:14" x14ac:dyDescent="0.35">
      <c r="A455" t="str">
        <f t="shared" si="21"/>
        <v>18097340600_2027</v>
      </c>
      <c r="B455">
        <v>18097340600</v>
      </c>
      <c r="C455">
        <v>2027</v>
      </c>
      <c r="D455">
        <v>1.2644337809087991</v>
      </c>
      <c r="E455">
        <v>1.1719692508795419E-2</v>
      </c>
      <c r="F455">
        <v>-0.3326194206709005</v>
      </c>
      <c r="G455">
        <v>-0.57286536927247023</v>
      </c>
      <c r="H455">
        <v>-0.63113904148282607</v>
      </c>
      <c r="I455">
        <v>-0.49742192329038037</v>
      </c>
      <c r="J455">
        <v>-1.548310591253423</v>
      </c>
      <c r="K455">
        <v>-0.73647639131512366</v>
      </c>
      <c r="M455">
        <f t="shared" si="22"/>
        <v>-3.0426792638675293</v>
      </c>
      <c r="N455">
        <f t="shared" si="23"/>
        <v>8</v>
      </c>
    </row>
    <row r="456" spans="1:14" x14ac:dyDescent="0.35">
      <c r="A456" t="str">
        <f t="shared" si="21"/>
        <v>18097340600_2028</v>
      </c>
      <c r="B456">
        <v>18097340600</v>
      </c>
      <c r="C456">
        <v>2028</v>
      </c>
      <c r="D456">
        <v>1.0553713526616371</v>
      </c>
      <c r="E456">
        <v>9.550563086607014E-2</v>
      </c>
      <c r="F456">
        <v>-0.38462374011605999</v>
      </c>
      <c r="G456">
        <v>-0.558265030165494</v>
      </c>
      <c r="H456">
        <v>-0.61681570415210474</v>
      </c>
      <c r="I456">
        <v>-0.39886624934296272</v>
      </c>
      <c r="J456">
        <v>-1.5294603638738991</v>
      </c>
      <c r="K456">
        <v>-0.6727868977742214</v>
      </c>
      <c r="M456">
        <f t="shared" si="22"/>
        <v>-3.009941001897035</v>
      </c>
      <c r="N456">
        <f t="shared" si="23"/>
        <v>8</v>
      </c>
    </row>
    <row r="457" spans="1:14" x14ac:dyDescent="0.35">
      <c r="A457" t="str">
        <f t="shared" si="21"/>
        <v>18097340700_2024</v>
      </c>
      <c r="B457">
        <v>18097340700</v>
      </c>
      <c r="C457">
        <v>2024</v>
      </c>
      <c r="D457">
        <v>0.47204627077790817</v>
      </c>
      <c r="E457">
        <v>-1.3091503205317969</v>
      </c>
      <c r="F457">
        <v>0.47552092849502242</v>
      </c>
      <c r="G457">
        <v>-0.68586317404667441</v>
      </c>
      <c r="H457">
        <v>0.71794731200972339</v>
      </c>
      <c r="J457">
        <v>-1.564623879212472</v>
      </c>
      <c r="K457">
        <v>-0.82986780926976389</v>
      </c>
      <c r="M457">
        <f t="shared" si="22"/>
        <v>-2.7239906717780533</v>
      </c>
      <c r="N457">
        <f t="shared" si="23"/>
        <v>7</v>
      </c>
    </row>
    <row r="458" spans="1:14" x14ac:dyDescent="0.35">
      <c r="A458" t="str">
        <f t="shared" si="21"/>
        <v>18097340700_2025</v>
      </c>
      <c r="B458">
        <v>18097340700</v>
      </c>
      <c r="C458">
        <v>2025</v>
      </c>
      <c r="D458">
        <v>0.39562929420489212</v>
      </c>
      <c r="E458">
        <v>-1.3070499833638689</v>
      </c>
      <c r="F458">
        <v>0.45864386599815471</v>
      </c>
      <c r="G458">
        <v>-0.67392000088178983</v>
      </c>
      <c r="H458">
        <v>0.72027125485599508</v>
      </c>
      <c r="J458">
        <v>-1.55896752119444</v>
      </c>
      <c r="K458">
        <v>-0.81539249265016001</v>
      </c>
      <c r="M458">
        <f t="shared" si="22"/>
        <v>-2.7807855830312169</v>
      </c>
      <c r="N458">
        <f t="shared" si="23"/>
        <v>7</v>
      </c>
    </row>
    <row r="459" spans="1:14" x14ac:dyDescent="0.35">
      <c r="A459" t="str">
        <f t="shared" si="21"/>
        <v>18097340700_2026</v>
      </c>
      <c r="B459">
        <v>18097340700</v>
      </c>
      <c r="C459">
        <v>2026</v>
      </c>
      <c r="D459">
        <v>0.27269200884418821</v>
      </c>
      <c r="E459">
        <v>-1.3065561796628431</v>
      </c>
      <c r="F459">
        <v>0.4254636749111097</v>
      </c>
      <c r="G459">
        <v>-0.66122673216147998</v>
      </c>
      <c r="H459">
        <v>0.74444088240131656</v>
      </c>
      <c r="J459">
        <v>-1.5521872628830899</v>
      </c>
      <c r="K459">
        <v>-0.77964314384235378</v>
      </c>
      <c r="M459">
        <f t="shared" si="22"/>
        <v>-2.8570167523931524</v>
      </c>
      <c r="N459">
        <f t="shared" si="23"/>
        <v>7</v>
      </c>
    </row>
    <row r="460" spans="1:14" x14ac:dyDescent="0.35">
      <c r="A460" t="str">
        <f t="shared" si="21"/>
        <v>18097340700_2027</v>
      </c>
      <c r="B460">
        <v>18097340700</v>
      </c>
      <c r="C460">
        <v>2027</v>
      </c>
      <c r="D460">
        <v>0.19282067687011489</v>
      </c>
      <c r="E460">
        <v>-1.300414512035206</v>
      </c>
      <c r="F460">
        <v>0.38012947640120032</v>
      </c>
      <c r="G460">
        <v>-0.64545194464605993</v>
      </c>
      <c r="H460">
        <v>0.74966213652521718</v>
      </c>
      <c r="J460">
        <v>-1.5414512930204269</v>
      </c>
      <c r="K460">
        <v>-0.7274904319964085</v>
      </c>
      <c r="M460">
        <f t="shared" si="22"/>
        <v>-2.8921958919015691</v>
      </c>
      <c r="N460">
        <f t="shared" si="23"/>
        <v>7</v>
      </c>
    </row>
    <row r="461" spans="1:14" x14ac:dyDescent="0.35">
      <c r="A461" t="str">
        <f t="shared" si="21"/>
        <v>18097340700_2028</v>
      </c>
      <c r="B461">
        <v>18097340700</v>
      </c>
      <c r="C461">
        <v>2028</v>
      </c>
      <c r="D461">
        <v>9.1537099175237086E-2</v>
      </c>
      <c r="E461">
        <v>-1.2916874064996999</v>
      </c>
      <c r="F461">
        <v>0.3482327829327439</v>
      </c>
      <c r="G461">
        <v>-0.62707942089002733</v>
      </c>
      <c r="H461">
        <v>0.75515867478282017</v>
      </c>
      <c r="J461">
        <v>-1.5228960810310139</v>
      </c>
      <c r="K461">
        <v>-0.66316875982200263</v>
      </c>
      <c r="M461">
        <f t="shared" si="22"/>
        <v>-2.9099031113519427</v>
      </c>
      <c r="N461">
        <f t="shared" si="23"/>
        <v>7</v>
      </c>
    </row>
    <row r="462" spans="1:14" x14ac:dyDescent="0.35">
      <c r="A462" t="str">
        <f t="shared" si="21"/>
        <v>18097340800_2024</v>
      </c>
      <c r="B462">
        <v>18097340800</v>
      </c>
      <c r="C462">
        <v>2024</v>
      </c>
      <c r="D462">
        <v>-1.491390064229221</v>
      </c>
      <c r="E462">
        <v>-1.547269047407991E-2</v>
      </c>
      <c r="F462">
        <v>-1.129770605094836</v>
      </c>
      <c r="G462">
        <v>0.14149487405191349</v>
      </c>
      <c r="H462">
        <v>0.83899819959201505</v>
      </c>
      <c r="I462">
        <v>0.96788933520753762</v>
      </c>
      <c r="J462">
        <v>-0.46159709393206633</v>
      </c>
      <c r="M462">
        <f t="shared" si="22"/>
        <v>-1.1498480448787372</v>
      </c>
      <c r="N462">
        <f t="shared" si="23"/>
        <v>7</v>
      </c>
    </row>
    <row r="463" spans="1:14" x14ac:dyDescent="0.35">
      <c r="A463" t="str">
        <f t="shared" si="21"/>
        <v>18097340800_2025</v>
      </c>
      <c r="B463">
        <v>18097340800</v>
      </c>
      <c r="C463">
        <v>2025</v>
      </c>
      <c r="D463">
        <v>-1.4721993940315981</v>
      </c>
      <c r="E463">
        <v>-2.6562417291344009E-2</v>
      </c>
      <c r="F463">
        <v>-1.1267442619849579</v>
      </c>
      <c r="G463">
        <v>0.14594355699591291</v>
      </c>
      <c r="H463">
        <v>0.83476921254414183</v>
      </c>
      <c r="I463">
        <v>0.93569788784016084</v>
      </c>
      <c r="J463">
        <v>-0.42139578581208842</v>
      </c>
      <c r="M463">
        <f t="shared" si="22"/>
        <v>-1.1304912017397726</v>
      </c>
      <c r="N463">
        <f t="shared" si="23"/>
        <v>7</v>
      </c>
    </row>
    <row r="464" spans="1:14" x14ac:dyDescent="0.35">
      <c r="A464" t="str">
        <f t="shared" si="21"/>
        <v>18097340800_2026</v>
      </c>
      <c r="B464">
        <v>18097340800</v>
      </c>
      <c r="C464">
        <v>2026</v>
      </c>
      <c r="D464">
        <v>-1.443007267367663</v>
      </c>
      <c r="E464">
        <v>-4.7723900400204302E-3</v>
      </c>
      <c r="F464">
        <v>-1.1019509410139521</v>
      </c>
      <c r="G464">
        <v>0.1349231392497921</v>
      </c>
      <c r="H464">
        <v>0.83263028505633163</v>
      </c>
      <c r="I464">
        <v>0.88593595477806197</v>
      </c>
      <c r="J464">
        <v>-0.38077108277246408</v>
      </c>
      <c r="M464">
        <f t="shared" si="22"/>
        <v>-1.0770123021099138</v>
      </c>
      <c r="N464">
        <f t="shared" si="23"/>
        <v>7</v>
      </c>
    </row>
    <row r="465" spans="1:14" x14ac:dyDescent="0.35">
      <c r="A465" t="str">
        <f t="shared" si="21"/>
        <v>18097340800_2027</v>
      </c>
      <c r="B465">
        <v>18097340800</v>
      </c>
      <c r="C465">
        <v>2027</v>
      </c>
      <c r="D465">
        <v>-1.3948571048014109</v>
      </c>
      <c r="E465">
        <v>1.9538891048611401E-3</v>
      </c>
      <c r="F465">
        <v>-1.059972704381049</v>
      </c>
      <c r="G465">
        <v>0.13255237560687161</v>
      </c>
      <c r="H465">
        <v>0.81861648019325695</v>
      </c>
      <c r="I465">
        <v>0.84561571927716983</v>
      </c>
      <c r="J465">
        <v>-0.33647169241848263</v>
      </c>
      <c r="M465">
        <f t="shared" si="22"/>
        <v>-0.99256303741878316</v>
      </c>
      <c r="N465">
        <f t="shared" si="23"/>
        <v>7</v>
      </c>
    </row>
    <row r="466" spans="1:14" x14ac:dyDescent="0.35">
      <c r="A466" t="str">
        <f t="shared" si="21"/>
        <v>18097340800_2028</v>
      </c>
      <c r="B466">
        <v>18097340800</v>
      </c>
      <c r="C466">
        <v>2028</v>
      </c>
      <c r="D466">
        <v>-1.3379517340726219</v>
      </c>
      <c r="E466">
        <v>1.65646742773468E-2</v>
      </c>
      <c r="F466">
        <v>-1.0270341367361919</v>
      </c>
      <c r="G466">
        <v>0.1164214034181708</v>
      </c>
      <c r="H466">
        <v>0.80500146524332883</v>
      </c>
      <c r="I466">
        <v>0.7976462992007356</v>
      </c>
      <c r="J466">
        <v>-0.28565417817093341</v>
      </c>
      <c r="M466">
        <f t="shared" si="22"/>
        <v>-0.91500620684016498</v>
      </c>
      <c r="N466">
        <f t="shared" si="23"/>
        <v>7</v>
      </c>
    </row>
    <row r="467" spans="1:14" x14ac:dyDescent="0.35">
      <c r="A467" t="str">
        <f t="shared" si="21"/>
        <v>18097340901_2024</v>
      </c>
      <c r="B467">
        <v>18097340901</v>
      </c>
      <c r="C467">
        <v>2024</v>
      </c>
      <c r="D467">
        <v>-0.85440098921957686</v>
      </c>
      <c r="F467">
        <v>-1.31303856918913</v>
      </c>
      <c r="G467">
        <v>0.90728296386882601</v>
      </c>
      <c r="H467">
        <v>1.2371489185217399</v>
      </c>
      <c r="I467">
        <v>-0.42137272227414641</v>
      </c>
      <c r="J467">
        <v>-2.375262849140828E-2</v>
      </c>
      <c r="M467">
        <f t="shared" si="22"/>
        <v>-0.46813302678369551</v>
      </c>
      <c r="N467">
        <f t="shared" si="23"/>
        <v>6</v>
      </c>
    </row>
    <row r="468" spans="1:14" x14ac:dyDescent="0.35">
      <c r="A468" t="str">
        <f t="shared" si="21"/>
        <v>18097340901_2025</v>
      </c>
      <c r="B468">
        <v>18097340901</v>
      </c>
      <c r="C468">
        <v>2025</v>
      </c>
      <c r="D468">
        <v>-0.77708292914851518</v>
      </c>
      <c r="F468">
        <v>-1.2625595958433851</v>
      </c>
      <c r="G468">
        <v>0.68617461681660319</v>
      </c>
      <c r="H468">
        <v>1.1415443326054799</v>
      </c>
      <c r="I468">
        <v>-0.4984500806090435</v>
      </c>
      <c r="J468">
        <v>-2.3644742442537649E-2</v>
      </c>
      <c r="M468">
        <f t="shared" si="22"/>
        <v>-0.73401839862139839</v>
      </c>
      <c r="N468">
        <f t="shared" si="23"/>
        <v>6</v>
      </c>
    </row>
    <row r="469" spans="1:14" x14ac:dyDescent="0.35">
      <c r="A469" t="str">
        <f t="shared" si="21"/>
        <v>18097340901_2026</v>
      </c>
      <c r="B469">
        <v>18097340901</v>
      </c>
      <c r="C469">
        <v>2026</v>
      </c>
      <c r="D469">
        <v>-0.7505881691851588</v>
      </c>
      <c r="F469">
        <v>-1.185371301601692</v>
      </c>
      <c r="G469">
        <v>0.83737125876233809</v>
      </c>
      <c r="H469">
        <v>1.0472085524190049</v>
      </c>
      <c r="I469">
        <v>-0.55316657987632012</v>
      </c>
      <c r="J469">
        <v>-3.3895060674069707E-2</v>
      </c>
      <c r="M469">
        <f t="shared" si="22"/>
        <v>-0.63844130015589762</v>
      </c>
      <c r="N469">
        <f t="shared" si="23"/>
        <v>6</v>
      </c>
    </row>
    <row r="470" spans="1:14" x14ac:dyDescent="0.35">
      <c r="A470" t="str">
        <f t="shared" si="21"/>
        <v>18097340901_2027</v>
      </c>
      <c r="B470">
        <v>18097340901</v>
      </c>
      <c r="C470">
        <v>2027</v>
      </c>
      <c r="D470">
        <v>-0.68269612601405194</v>
      </c>
      <c r="F470">
        <v>-1.1027369484653169</v>
      </c>
      <c r="G470">
        <v>0.64461787962000294</v>
      </c>
      <c r="H470">
        <v>0.95309521529435437</v>
      </c>
      <c r="I470">
        <v>-0.61334694981911608</v>
      </c>
      <c r="J470">
        <v>-5.1563390318049712E-2</v>
      </c>
      <c r="M470">
        <f t="shared" si="22"/>
        <v>-0.85263031970217729</v>
      </c>
      <c r="N470">
        <f t="shared" si="23"/>
        <v>6</v>
      </c>
    </row>
    <row r="471" spans="1:14" x14ac:dyDescent="0.35">
      <c r="A471" t="str">
        <f t="shared" si="21"/>
        <v>18097340901_2028</v>
      </c>
      <c r="B471">
        <v>18097340901</v>
      </c>
      <c r="C471">
        <v>2028</v>
      </c>
      <c r="D471">
        <v>-0.63643987559440107</v>
      </c>
      <c r="F471">
        <v>-1.0359901202231401</v>
      </c>
      <c r="G471">
        <v>0.7401249365214374</v>
      </c>
      <c r="H471">
        <v>0.86608343496113471</v>
      </c>
      <c r="I471">
        <v>-0.6638984141149249</v>
      </c>
      <c r="J471">
        <v>-7.6825705620296572E-2</v>
      </c>
      <c r="M471">
        <f t="shared" si="22"/>
        <v>-0.80694574407019037</v>
      </c>
      <c r="N471">
        <f t="shared" si="23"/>
        <v>6</v>
      </c>
    </row>
    <row r="472" spans="1:14" x14ac:dyDescent="0.35">
      <c r="A472" t="str">
        <f t="shared" si="21"/>
        <v>18097340903_2024</v>
      </c>
      <c r="B472">
        <v>18097340903</v>
      </c>
      <c r="C472">
        <v>2024</v>
      </c>
      <c r="D472">
        <v>-1.479099991928271</v>
      </c>
      <c r="E472">
        <v>0.17199544895504179</v>
      </c>
      <c r="F472">
        <v>1.7702092334999879</v>
      </c>
      <c r="G472">
        <v>-0.76019174374474707</v>
      </c>
      <c r="J472">
        <v>-0.46159709393206633</v>
      </c>
      <c r="M472">
        <f t="shared" si="22"/>
        <v>-0.75868414715005472</v>
      </c>
      <c r="N472">
        <f t="shared" si="23"/>
        <v>5</v>
      </c>
    </row>
    <row r="473" spans="1:14" x14ac:dyDescent="0.35">
      <c r="A473" t="str">
        <f t="shared" si="21"/>
        <v>18097340903_2025</v>
      </c>
      <c r="B473">
        <v>18097340903</v>
      </c>
      <c r="C473">
        <v>2025</v>
      </c>
      <c r="D473">
        <v>-1.4603181194696651</v>
      </c>
      <c r="E473">
        <v>0.12212718808532209</v>
      </c>
      <c r="F473">
        <v>2.283346460001904</v>
      </c>
      <c r="G473">
        <v>-0.83157396869417555</v>
      </c>
      <c r="J473">
        <v>-0.42139578581208842</v>
      </c>
      <c r="M473">
        <f t="shared" si="22"/>
        <v>-0.30781422588870294</v>
      </c>
      <c r="N473">
        <f t="shared" si="23"/>
        <v>5</v>
      </c>
    </row>
    <row r="474" spans="1:14" x14ac:dyDescent="0.35">
      <c r="A474" t="str">
        <f t="shared" si="21"/>
        <v>18097340903_2026</v>
      </c>
      <c r="B474">
        <v>18097340903</v>
      </c>
      <c r="C474">
        <v>2026</v>
      </c>
      <c r="D474">
        <v>-1.4322865710167361</v>
      </c>
      <c r="E474">
        <v>8.934085814159555E-2</v>
      </c>
      <c r="F474">
        <v>2.7885103201971009</v>
      </c>
      <c r="G474">
        <v>-0.90216149255182621</v>
      </c>
      <c r="J474">
        <v>-0.38077108277246408</v>
      </c>
      <c r="M474">
        <f t="shared" si="22"/>
        <v>0.16263203199767007</v>
      </c>
      <c r="N474">
        <f t="shared" si="23"/>
        <v>5</v>
      </c>
    </row>
    <row r="475" spans="1:14" x14ac:dyDescent="0.35">
      <c r="A475" t="str">
        <f t="shared" si="21"/>
        <v>18097340903_2027</v>
      </c>
      <c r="B475">
        <v>18097340903</v>
      </c>
      <c r="C475">
        <v>2027</v>
      </c>
      <c r="D475">
        <v>-1.3849168880766991</v>
      </c>
      <c r="E475">
        <v>5.0932686831007809E-2</v>
      </c>
      <c r="F475">
        <v>3.268460291855384</v>
      </c>
      <c r="G475">
        <v>-0.94769194342544105</v>
      </c>
      <c r="J475">
        <v>-0.33647169241848263</v>
      </c>
      <c r="M475">
        <f t="shared" si="22"/>
        <v>0.65031245476576904</v>
      </c>
      <c r="N475">
        <f t="shared" si="23"/>
        <v>5</v>
      </c>
    </row>
    <row r="476" spans="1:14" x14ac:dyDescent="0.35">
      <c r="A476" t="str">
        <f t="shared" si="21"/>
        <v>18097340903_2028</v>
      </c>
      <c r="B476">
        <v>18097340903</v>
      </c>
      <c r="C476">
        <v>2028</v>
      </c>
      <c r="D476">
        <v>-1.329077787118466</v>
      </c>
      <c r="E476">
        <v>2.02685549012489E-2</v>
      </c>
      <c r="F476">
        <v>3.7836437258703062</v>
      </c>
      <c r="G476">
        <v>-0.98157057529969038</v>
      </c>
      <c r="J476">
        <v>-0.28565417817093341</v>
      </c>
      <c r="M476">
        <f t="shared" si="22"/>
        <v>1.2076097401824653</v>
      </c>
      <c r="N476">
        <f t="shared" si="23"/>
        <v>5</v>
      </c>
    </row>
    <row r="477" spans="1:14" x14ac:dyDescent="0.35">
      <c r="A477" t="str">
        <f t="shared" si="21"/>
        <v>18097340904_2024</v>
      </c>
      <c r="B477">
        <v>18097340904</v>
      </c>
      <c r="C477">
        <v>2024</v>
      </c>
      <c r="D477">
        <v>-0.97582140401252038</v>
      </c>
      <c r="E477">
        <v>8.5908538362722525E-2</v>
      </c>
      <c r="F477">
        <v>0.44666835687144429</v>
      </c>
      <c r="G477">
        <v>-0.47504200720122802</v>
      </c>
      <c r="H477">
        <v>0.52594526441801892</v>
      </c>
      <c r="I477">
        <v>-0.17417765725384399</v>
      </c>
      <c r="J477">
        <v>-0.46159709393206633</v>
      </c>
      <c r="M477">
        <f t="shared" si="22"/>
        <v>-1.0281160027474732</v>
      </c>
      <c r="N477">
        <f t="shared" si="23"/>
        <v>7</v>
      </c>
    </row>
    <row r="478" spans="1:14" x14ac:dyDescent="0.35">
      <c r="A478" t="str">
        <f t="shared" si="21"/>
        <v>18097340904_2025</v>
      </c>
      <c r="B478">
        <v>18097340904</v>
      </c>
      <c r="C478">
        <v>2025</v>
      </c>
      <c r="D478">
        <v>-0.9737733800501468</v>
      </c>
      <c r="E478">
        <v>3.3306030515466593E-2</v>
      </c>
      <c r="F478">
        <v>0.74639340996996184</v>
      </c>
      <c r="G478">
        <v>-0.51891790584596909</v>
      </c>
      <c r="H478">
        <v>0.42209942769289299</v>
      </c>
      <c r="I478">
        <v>-0.29336638787291441</v>
      </c>
      <c r="J478">
        <v>-0.42139578581208842</v>
      </c>
      <c r="M478">
        <f t="shared" si="22"/>
        <v>-1.0056545914027974</v>
      </c>
      <c r="N478">
        <f t="shared" si="23"/>
        <v>7</v>
      </c>
    </row>
    <row r="479" spans="1:14" x14ac:dyDescent="0.35">
      <c r="A479" t="str">
        <f t="shared" si="21"/>
        <v>18097340904_2026</v>
      </c>
      <c r="B479">
        <v>18097340904</v>
      </c>
      <c r="C479">
        <v>2026</v>
      </c>
      <c r="D479">
        <v>-0.99325857762106018</v>
      </c>
      <c r="E479">
        <v>-9.8144389800387793E-3</v>
      </c>
      <c r="F479">
        <v>0.74129715534523388</v>
      </c>
      <c r="G479">
        <v>-0.51620419379669358</v>
      </c>
      <c r="H479">
        <v>0.34089241403859821</v>
      </c>
      <c r="I479">
        <v>-0.35580901860160469</v>
      </c>
      <c r="J479">
        <v>-0.38077108277246408</v>
      </c>
      <c r="M479">
        <f t="shared" si="22"/>
        <v>-1.1736677423880293</v>
      </c>
      <c r="N479">
        <f t="shared" si="23"/>
        <v>7</v>
      </c>
    </row>
    <row r="480" spans="1:14" x14ac:dyDescent="0.35">
      <c r="A480" t="str">
        <f t="shared" si="21"/>
        <v>18097340904_2027</v>
      </c>
      <c r="B480">
        <v>18097340904</v>
      </c>
      <c r="C480">
        <v>2027</v>
      </c>
      <c r="D480">
        <v>-0.97784327317700404</v>
      </c>
      <c r="E480">
        <v>-5.6218567295234279E-2</v>
      </c>
      <c r="F480">
        <v>0.99369914979830598</v>
      </c>
      <c r="G480">
        <v>-0.5502049271866758</v>
      </c>
      <c r="H480">
        <v>0.25329253264868612</v>
      </c>
      <c r="I480">
        <v>-0.44684271728933223</v>
      </c>
      <c r="J480">
        <v>-0.33647169241848263</v>
      </c>
      <c r="M480">
        <f t="shared" si="22"/>
        <v>-1.120589494919737</v>
      </c>
      <c r="N480">
        <f t="shared" si="23"/>
        <v>7</v>
      </c>
    </row>
    <row r="481" spans="1:14" x14ac:dyDescent="0.35">
      <c r="A481" t="str">
        <f t="shared" si="21"/>
        <v>18097340904_2028</v>
      </c>
      <c r="B481">
        <v>18097340904</v>
      </c>
      <c r="C481">
        <v>2028</v>
      </c>
      <c r="D481">
        <v>-0.96566312268008525</v>
      </c>
      <c r="E481">
        <v>-9.4768822407894679E-2</v>
      </c>
      <c r="F481">
        <v>0.975392881466705</v>
      </c>
      <c r="G481">
        <v>-0.54153729715203325</v>
      </c>
      <c r="H481">
        <v>0.18733008307130181</v>
      </c>
      <c r="I481">
        <v>-0.51283454990474875</v>
      </c>
      <c r="J481">
        <v>-0.28565417817093341</v>
      </c>
      <c r="M481">
        <f t="shared" si="22"/>
        <v>-1.2377350057776886</v>
      </c>
      <c r="N481">
        <f t="shared" si="23"/>
        <v>7</v>
      </c>
    </row>
    <row r="482" spans="1:14" x14ac:dyDescent="0.35">
      <c r="A482" t="str">
        <f t="shared" si="21"/>
        <v>18097341000_2024</v>
      </c>
      <c r="B482">
        <v>18097341000</v>
      </c>
      <c r="C482">
        <v>2024</v>
      </c>
      <c r="D482">
        <v>-1.406372622915387</v>
      </c>
      <c r="E482">
        <v>0.58092388337579925</v>
      </c>
      <c r="F482">
        <v>-1.2677370561633721</v>
      </c>
      <c r="G482">
        <v>0.37293780428004453</v>
      </c>
      <c r="H482">
        <v>0.74669940854652994</v>
      </c>
      <c r="I482">
        <v>1.7479730763195109</v>
      </c>
      <c r="J482">
        <v>-0.51316349680978823</v>
      </c>
      <c r="M482">
        <f t="shared" si="22"/>
        <v>0.26126099663333768</v>
      </c>
      <c r="N482">
        <f t="shared" si="23"/>
        <v>7</v>
      </c>
    </row>
    <row r="483" spans="1:14" x14ac:dyDescent="0.35">
      <c r="A483" t="str">
        <f t="shared" si="21"/>
        <v>18097341000_2025</v>
      </c>
      <c r="B483">
        <v>18097341000</v>
      </c>
      <c r="C483">
        <v>2025</v>
      </c>
      <c r="D483">
        <v>-1.3903494796626681</v>
      </c>
      <c r="E483">
        <v>0.578931982873227</v>
      </c>
      <c r="F483">
        <v>-1.2645965285509231</v>
      </c>
      <c r="G483">
        <v>0.29986973199217032</v>
      </c>
      <c r="H483">
        <v>0.87506659099885375</v>
      </c>
      <c r="I483">
        <v>1.7533064254073869</v>
      </c>
      <c r="J483">
        <v>-0.47518240889614272</v>
      </c>
      <c r="M483">
        <f t="shared" si="22"/>
        <v>0.37704631416190404</v>
      </c>
      <c r="N483">
        <f t="shared" si="23"/>
        <v>7</v>
      </c>
    </row>
    <row r="484" spans="1:14" x14ac:dyDescent="0.35">
      <c r="A484" t="str">
        <f t="shared" si="21"/>
        <v>18097341000_2026</v>
      </c>
      <c r="B484">
        <v>18097341000</v>
      </c>
      <c r="C484">
        <v>2026</v>
      </c>
      <c r="D484">
        <v>-1.368597340004112</v>
      </c>
      <c r="E484">
        <v>0.58777706774430083</v>
      </c>
      <c r="F484">
        <v>-1.216378124658321</v>
      </c>
      <c r="G484">
        <v>0.20881141898776701</v>
      </c>
      <c r="H484">
        <v>0.59992104351821185</v>
      </c>
      <c r="I484">
        <v>1.7267696401742241</v>
      </c>
      <c r="J484">
        <v>-0.43698340129250479</v>
      </c>
      <c r="M484">
        <f t="shared" si="22"/>
        <v>0.10132030446956597</v>
      </c>
      <c r="N484">
        <f t="shared" si="23"/>
        <v>7</v>
      </c>
    </row>
    <row r="485" spans="1:14" x14ac:dyDescent="0.35">
      <c r="A485" t="str">
        <f t="shared" si="21"/>
        <v>18097341000_2027</v>
      </c>
      <c r="B485">
        <v>18097341000</v>
      </c>
      <c r="C485">
        <v>2027</v>
      </c>
      <c r="D485">
        <v>-1.3257418186348719</v>
      </c>
      <c r="E485">
        <v>0.58562026624472585</v>
      </c>
      <c r="F485">
        <v>-1.1450196147452549</v>
      </c>
      <c r="G485">
        <v>0.13576165995547659</v>
      </c>
      <c r="H485">
        <v>0.56809963651069217</v>
      </c>
      <c r="I485">
        <v>1.7106033325076619</v>
      </c>
      <c r="J485">
        <v>-0.39542189702057817</v>
      </c>
      <c r="M485">
        <f t="shared" si="22"/>
        <v>0.13390156481785154</v>
      </c>
      <c r="N485">
        <f t="shared" si="23"/>
        <v>7</v>
      </c>
    </row>
    <row r="486" spans="1:14" x14ac:dyDescent="0.35">
      <c r="A486" t="str">
        <f t="shared" si="21"/>
        <v>18097341000_2028</v>
      </c>
      <c r="B486">
        <v>18097341000</v>
      </c>
      <c r="C486">
        <v>2028</v>
      </c>
      <c r="D486">
        <v>-1.27598645522721</v>
      </c>
      <c r="E486">
        <v>0.59010143361030465</v>
      </c>
      <c r="F486">
        <v>-1.085707092189226</v>
      </c>
      <c r="G486">
        <v>5.6515504490673753E-2</v>
      </c>
      <c r="H486">
        <v>0.69772710681525918</v>
      </c>
      <c r="I486">
        <v>1.678297394694366</v>
      </c>
      <c r="J486">
        <v>-0.34771873107313439</v>
      </c>
      <c r="M486">
        <f t="shared" si="22"/>
        <v>0.31322916112103344</v>
      </c>
      <c r="N486">
        <f t="shared" si="23"/>
        <v>7</v>
      </c>
    </row>
    <row r="487" spans="1:14" x14ac:dyDescent="0.35">
      <c r="A487" t="str">
        <f t="shared" si="21"/>
        <v>18097341100_2024</v>
      </c>
      <c r="B487">
        <v>18097341100</v>
      </c>
      <c r="C487">
        <v>2024</v>
      </c>
      <c r="D487">
        <v>-0.42204900247704791</v>
      </c>
      <c r="E487">
        <v>-1.1103565294377169</v>
      </c>
      <c r="F487">
        <v>6.2769621032005146E-2</v>
      </c>
      <c r="G487">
        <v>-0.86062506787529447</v>
      </c>
      <c r="H487">
        <v>-0.6801219644508818</v>
      </c>
      <c r="I487">
        <v>-0.5767991428647814</v>
      </c>
      <c r="J487">
        <v>-1.5716386708465679</v>
      </c>
      <c r="K487">
        <v>-0.83369200615994576</v>
      </c>
      <c r="M487">
        <f t="shared" si="22"/>
        <v>-5.9925127630802306</v>
      </c>
      <c r="N487">
        <f t="shared" si="23"/>
        <v>8</v>
      </c>
    </row>
    <row r="488" spans="1:14" x14ac:dyDescent="0.35">
      <c r="A488" t="str">
        <f t="shared" si="21"/>
        <v>18097341100_2025</v>
      </c>
      <c r="B488">
        <v>18097341100</v>
      </c>
      <c r="C488">
        <v>2025</v>
      </c>
      <c r="D488">
        <v>-0.45676023682329769</v>
      </c>
      <c r="E488">
        <v>-1.0933385800529269</v>
      </c>
      <c r="F488">
        <v>2.4935219691664002E-3</v>
      </c>
      <c r="G488">
        <v>-0.84354491561984246</v>
      </c>
      <c r="H488">
        <v>-0.24258283227736371</v>
      </c>
      <c r="I488">
        <v>-0.57961871456454184</v>
      </c>
      <c r="J488">
        <v>-1.5660159792332851</v>
      </c>
      <c r="K488">
        <v>-0.82131735623767799</v>
      </c>
      <c r="M488">
        <f t="shared" si="22"/>
        <v>-5.6006850928397691</v>
      </c>
      <c r="N488">
        <f t="shared" si="23"/>
        <v>8</v>
      </c>
    </row>
    <row r="489" spans="1:14" x14ac:dyDescent="0.35">
      <c r="A489" t="str">
        <f t="shared" si="21"/>
        <v>18097341100_2026</v>
      </c>
      <c r="B489">
        <v>18097341100</v>
      </c>
      <c r="C489">
        <v>2026</v>
      </c>
      <c r="D489">
        <v>-0.50841854928077179</v>
      </c>
      <c r="E489">
        <v>-1.076541232829868</v>
      </c>
      <c r="F489">
        <v>-5.7595486725884208E-2</v>
      </c>
      <c r="G489">
        <v>-0.81464400556077532</v>
      </c>
      <c r="H489">
        <v>-0.44224853289611232</v>
      </c>
      <c r="I489">
        <v>-0.58190641468063975</v>
      </c>
      <c r="J489">
        <v>-1.5591932778562849</v>
      </c>
      <c r="K489">
        <v>-0.78733899126696261</v>
      </c>
      <c r="M489">
        <f t="shared" si="22"/>
        <v>-5.8278864910972992</v>
      </c>
      <c r="N489">
        <f t="shared" si="23"/>
        <v>8</v>
      </c>
    </row>
    <row r="490" spans="1:14" x14ac:dyDescent="0.35">
      <c r="A490" t="str">
        <f t="shared" si="21"/>
        <v>18097341100_2027</v>
      </c>
      <c r="B490">
        <v>18097341100</v>
      </c>
      <c r="C490">
        <v>2027</v>
      </c>
      <c r="D490">
        <v>-0.53020403879473432</v>
      </c>
      <c r="E490">
        <v>-1.0566767847991729</v>
      </c>
      <c r="F490">
        <v>-0.1138578788171996</v>
      </c>
      <c r="G490">
        <v>-0.78895952034813421</v>
      </c>
      <c r="H490">
        <v>-0.19538873094524831</v>
      </c>
      <c r="I490">
        <v>-0.58155371597288308</v>
      </c>
      <c r="J490">
        <v>-1.548310591253423</v>
      </c>
      <c r="K490">
        <v>-0.73647639131512366</v>
      </c>
      <c r="M490">
        <f t="shared" si="22"/>
        <v>-5.5514276522459198</v>
      </c>
      <c r="N490">
        <f t="shared" si="23"/>
        <v>8</v>
      </c>
    </row>
    <row r="491" spans="1:14" x14ac:dyDescent="0.35">
      <c r="A491" t="str">
        <f t="shared" si="21"/>
        <v>18097341100_2028</v>
      </c>
      <c r="B491">
        <v>18097341100</v>
      </c>
      <c r="C491">
        <v>2028</v>
      </c>
      <c r="D491">
        <v>-0.55872015309742762</v>
      </c>
      <c r="E491">
        <v>-1.034466170248354</v>
      </c>
      <c r="F491">
        <v>-0.15821558404583949</v>
      </c>
      <c r="G491">
        <v>-0.75543295809290212</v>
      </c>
      <c r="H491">
        <v>-0.26607078913557342</v>
      </c>
      <c r="I491">
        <v>-0.57890576722570208</v>
      </c>
      <c r="J491">
        <v>-1.5294603638738991</v>
      </c>
      <c r="K491">
        <v>-0.6727868977742214</v>
      </c>
      <c r="M491">
        <f t="shared" si="22"/>
        <v>-5.5540586834939196</v>
      </c>
      <c r="N491">
        <f t="shared" si="23"/>
        <v>8</v>
      </c>
    </row>
    <row r="492" spans="1:14" x14ac:dyDescent="0.35">
      <c r="A492" t="str">
        <f t="shared" si="21"/>
        <v>18097341200_2024</v>
      </c>
      <c r="B492">
        <v>18097341200</v>
      </c>
      <c r="C492">
        <v>2024</v>
      </c>
      <c r="D492">
        <v>-0.18710830321274699</v>
      </c>
      <c r="E492">
        <v>-0.8287632003942963</v>
      </c>
      <c r="F492">
        <v>0.65961996847300874</v>
      </c>
      <c r="G492">
        <v>-0.70956605353078961</v>
      </c>
      <c r="H492">
        <v>-1.553747932518331</v>
      </c>
      <c r="I492">
        <v>-1.9226645330427361</v>
      </c>
      <c r="J492">
        <v>-1.5716386708465679</v>
      </c>
      <c r="K492">
        <v>-0.83369200615994576</v>
      </c>
      <c r="M492">
        <f t="shared" si="22"/>
        <v>-6.9475607312324046</v>
      </c>
      <c r="N492">
        <f t="shared" si="23"/>
        <v>8</v>
      </c>
    </row>
    <row r="493" spans="1:14" x14ac:dyDescent="0.35">
      <c r="A493" t="str">
        <f t="shared" si="21"/>
        <v>18097341200_2025</v>
      </c>
      <c r="B493">
        <v>18097341200</v>
      </c>
      <c r="C493">
        <v>2025</v>
      </c>
      <c r="D493">
        <v>-0.23279910961073111</v>
      </c>
      <c r="E493">
        <v>-0.7688680515176104</v>
      </c>
      <c r="F493">
        <v>0.63616312619356441</v>
      </c>
      <c r="G493">
        <v>-0.64926262765553178</v>
      </c>
      <c r="H493">
        <v>-1.4105156735320661</v>
      </c>
      <c r="I493">
        <v>-1.8958005337052251</v>
      </c>
      <c r="J493">
        <v>-1.5660159792332851</v>
      </c>
      <c r="K493">
        <v>-0.82131735623767799</v>
      </c>
      <c r="M493">
        <f t="shared" si="22"/>
        <v>-6.7084162052985628</v>
      </c>
      <c r="N493">
        <f t="shared" si="23"/>
        <v>8</v>
      </c>
    </row>
    <row r="494" spans="1:14" x14ac:dyDescent="0.35">
      <c r="A494" t="str">
        <f t="shared" si="21"/>
        <v>18097341200_2026</v>
      </c>
      <c r="B494">
        <v>18097341200</v>
      </c>
      <c r="C494">
        <v>2026</v>
      </c>
      <c r="D494">
        <v>-0.3031662373959797</v>
      </c>
      <c r="E494">
        <v>-0.71878177197979598</v>
      </c>
      <c r="F494">
        <v>0.58815002022376162</v>
      </c>
      <c r="G494">
        <v>-0.57927284247873256</v>
      </c>
      <c r="H494">
        <v>-1.2327125125411611</v>
      </c>
      <c r="I494">
        <v>-1.851408462878078</v>
      </c>
      <c r="J494">
        <v>-1.5591932778562849</v>
      </c>
      <c r="K494">
        <v>-0.78733899126696261</v>
      </c>
      <c r="M494">
        <f t="shared" si="22"/>
        <v>-6.4437240761732344</v>
      </c>
      <c r="N494">
        <f t="shared" si="23"/>
        <v>8</v>
      </c>
    </row>
    <row r="495" spans="1:14" x14ac:dyDescent="0.35">
      <c r="A495" t="str">
        <f t="shared" si="21"/>
        <v>18097341200_2027</v>
      </c>
      <c r="B495">
        <v>18097341200</v>
      </c>
      <c r="C495">
        <v>2027</v>
      </c>
      <c r="D495">
        <v>-0.34022084533057362</v>
      </c>
      <c r="E495">
        <v>-0.66741888556793205</v>
      </c>
      <c r="F495">
        <v>0.52676265789064824</v>
      </c>
      <c r="G495">
        <v>-0.50999696510920678</v>
      </c>
      <c r="H495">
        <v>-1.098634058561289</v>
      </c>
      <c r="I495">
        <v>-1.8106452866196601</v>
      </c>
      <c r="J495">
        <v>-1.548310591253423</v>
      </c>
      <c r="K495">
        <v>-0.73647639131512366</v>
      </c>
      <c r="M495">
        <f t="shared" si="22"/>
        <v>-6.1849403658665603</v>
      </c>
      <c r="N495">
        <f t="shared" si="23"/>
        <v>8</v>
      </c>
    </row>
    <row r="496" spans="1:14" x14ac:dyDescent="0.35">
      <c r="A496" t="str">
        <f t="shared" si="21"/>
        <v>18097341200_2028</v>
      </c>
      <c r="B496">
        <v>18097341200</v>
      </c>
      <c r="C496">
        <v>2028</v>
      </c>
      <c r="D496">
        <v>-0.38784974346388551</v>
      </c>
      <c r="E496">
        <v>-0.61564866660898798</v>
      </c>
      <c r="F496">
        <v>0.48230120505814889</v>
      </c>
      <c r="G496">
        <v>-0.44181263425293682</v>
      </c>
      <c r="H496">
        <v>-0.94069424931571677</v>
      </c>
      <c r="I496">
        <v>-1.7592033896092769</v>
      </c>
      <c r="J496">
        <v>-1.5294603638738991</v>
      </c>
      <c r="K496">
        <v>-0.6727868977742214</v>
      </c>
      <c r="M496">
        <f t="shared" si="22"/>
        <v>-5.8651547398407757</v>
      </c>
      <c r="N496">
        <f t="shared" si="23"/>
        <v>8</v>
      </c>
    </row>
    <row r="497" spans="1:14" x14ac:dyDescent="0.35">
      <c r="A497" t="str">
        <f t="shared" si="21"/>
        <v>18097341600_2024</v>
      </c>
      <c r="B497">
        <v>18097341600</v>
      </c>
      <c r="C497">
        <v>2024</v>
      </c>
      <c r="D497">
        <v>-0.26807646515772798</v>
      </c>
      <c r="E497">
        <v>-1.1096230456700791</v>
      </c>
      <c r="F497">
        <v>0.72615863253092849</v>
      </c>
      <c r="G497">
        <v>-1.461151887705455</v>
      </c>
      <c r="H497">
        <v>5.12802965462653E-2</v>
      </c>
      <c r="I497">
        <v>-1.4998547939838249</v>
      </c>
      <c r="J497">
        <v>-1.5716386708465679</v>
      </c>
      <c r="K497">
        <v>-0.83369200615994576</v>
      </c>
      <c r="M497">
        <f t="shared" si="22"/>
        <v>-5.9665979404464071</v>
      </c>
      <c r="N497">
        <f t="shared" si="23"/>
        <v>8</v>
      </c>
    </row>
    <row r="498" spans="1:14" x14ac:dyDescent="0.35">
      <c r="A498" t="str">
        <f t="shared" si="21"/>
        <v>18097341600_2025</v>
      </c>
      <c r="B498">
        <v>18097341600</v>
      </c>
      <c r="C498">
        <v>2025</v>
      </c>
      <c r="D498">
        <v>-0.30998330700803872</v>
      </c>
      <c r="E498">
        <v>-1.0399511537853841</v>
      </c>
      <c r="F498">
        <v>0.67309736995292457</v>
      </c>
      <c r="G498">
        <v>-1.4883343513242691</v>
      </c>
      <c r="H498">
        <v>0.18301382384637499</v>
      </c>
      <c r="I498">
        <v>-1.443787241318663</v>
      </c>
      <c r="J498">
        <v>-1.5660159792332851</v>
      </c>
      <c r="K498">
        <v>-0.82131735623767799</v>
      </c>
      <c r="M498">
        <f t="shared" si="22"/>
        <v>-5.8132781951080181</v>
      </c>
      <c r="N498">
        <f t="shared" si="23"/>
        <v>8</v>
      </c>
    </row>
    <row r="499" spans="1:14" x14ac:dyDescent="0.35">
      <c r="A499" t="str">
        <f t="shared" si="21"/>
        <v>18097341600_2026</v>
      </c>
      <c r="B499">
        <v>18097341600</v>
      </c>
      <c r="C499">
        <v>2026</v>
      </c>
      <c r="D499">
        <v>-0.37390270964744499</v>
      </c>
      <c r="E499">
        <v>-0.98697225116806597</v>
      </c>
      <c r="F499">
        <v>0.647755905882339</v>
      </c>
      <c r="G499">
        <v>-1.463387169748906</v>
      </c>
      <c r="H499">
        <v>0.32550919741339029</v>
      </c>
      <c r="I499">
        <v>-1.3738357148391589</v>
      </c>
      <c r="J499">
        <v>-1.5591932778562849</v>
      </c>
      <c r="K499">
        <v>-0.78733899126696261</v>
      </c>
      <c r="M499">
        <f t="shared" si="22"/>
        <v>-5.5713650112310944</v>
      </c>
      <c r="N499">
        <f t="shared" si="23"/>
        <v>8</v>
      </c>
    </row>
    <row r="500" spans="1:14" x14ac:dyDescent="0.35">
      <c r="A500" t="str">
        <f t="shared" si="21"/>
        <v>18097341600_2027</v>
      </c>
      <c r="B500">
        <v>18097341600</v>
      </c>
      <c r="C500">
        <v>2027</v>
      </c>
      <c r="D500">
        <v>-0.40569504217691182</v>
      </c>
      <c r="E500">
        <v>-0.94311152167155798</v>
      </c>
      <c r="F500">
        <v>0.59222413065020563</v>
      </c>
      <c r="G500">
        <v>-1.451267752776211</v>
      </c>
      <c r="H500">
        <v>0.43590455940613132</v>
      </c>
      <c r="I500">
        <v>-1.3072762302831931</v>
      </c>
      <c r="J500">
        <v>-1.548310591253423</v>
      </c>
      <c r="K500">
        <v>-0.73647639131512366</v>
      </c>
      <c r="M500">
        <f t="shared" si="22"/>
        <v>-5.3640088394200838</v>
      </c>
      <c r="N500">
        <f t="shared" si="23"/>
        <v>8</v>
      </c>
    </row>
    <row r="501" spans="1:14" x14ac:dyDescent="0.35">
      <c r="A501" t="str">
        <f t="shared" si="21"/>
        <v>18097341600_2028</v>
      </c>
      <c r="B501">
        <v>18097341600</v>
      </c>
      <c r="C501">
        <v>2028</v>
      </c>
      <c r="D501">
        <v>-0.44673702169703811</v>
      </c>
      <c r="E501">
        <v>-0.90445311252146043</v>
      </c>
      <c r="F501">
        <v>0.55687480571102521</v>
      </c>
      <c r="G501">
        <v>-1.409758376063263</v>
      </c>
      <c r="H501">
        <v>0.54011219501482954</v>
      </c>
      <c r="I501">
        <v>-1.2349216274545041</v>
      </c>
      <c r="J501">
        <v>-1.5294603638738991</v>
      </c>
      <c r="K501">
        <v>-0.6727868977742214</v>
      </c>
      <c r="M501">
        <f t="shared" si="22"/>
        <v>-5.1011303986585315</v>
      </c>
      <c r="N501">
        <f t="shared" si="23"/>
        <v>8</v>
      </c>
    </row>
    <row r="502" spans="1:14" x14ac:dyDescent="0.35">
      <c r="A502" t="str">
        <f t="shared" si="21"/>
        <v>18097341701_2024</v>
      </c>
      <c r="B502">
        <v>18097341701</v>
      </c>
      <c r="C502">
        <v>2024</v>
      </c>
      <c r="D502">
        <v>0.19384024481085771</v>
      </c>
      <c r="F502">
        <v>-0.61500188191696137</v>
      </c>
      <c r="G502">
        <v>-0.71003853010466644</v>
      </c>
      <c r="H502">
        <v>-1.6410891650233801</v>
      </c>
      <c r="I502">
        <v>-0.4679070855897291</v>
      </c>
      <c r="J502">
        <v>-1.5716386708465679</v>
      </c>
      <c r="K502">
        <v>-0.83369200615994576</v>
      </c>
      <c r="M502">
        <f t="shared" si="22"/>
        <v>-5.6455270948303928</v>
      </c>
      <c r="N502">
        <f t="shared" si="23"/>
        <v>7</v>
      </c>
    </row>
    <row r="503" spans="1:14" x14ac:dyDescent="0.35">
      <c r="A503" t="str">
        <f t="shared" si="21"/>
        <v>18097341701_2025</v>
      </c>
      <c r="B503">
        <v>18097341701</v>
      </c>
      <c r="C503">
        <v>2025</v>
      </c>
      <c r="D503">
        <v>0.1303462193241644</v>
      </c>
      <c r="F503">
        <v>-0.82395585316754627</v>
      </c>
      <c r="G503">
        <v>-0.39499760594766298</v>
      </c>
      <c r="H503">
        <v>-1.3276596444834741</v>
      </c>
      <c r="I503">
        <v>-0.77563233183514879</v>
      </c>
      <c r="J503">
        <v>-1.5660159792332851</v>
      </c>
      <c r="K503">
        <v>-0.82131735623767799</v>
      </c>
      <c r="M503">
        <f t="shared" si="22"/>
        <v>-5.5792325515806303</v>
      </c>
      <c r="N503">
        <f t="shared" si="23"/>
        <v>7</v>
      </c>
    </row>
    <row r="504" spans="1:14" x14ac:dyDescent="0.35">
      <c r="A504" t="str">
        <f t="shared" si="21"/>
        <v>18097341701_2026</v>
      </c>
      <c r="B504">
        <v>18097341701</v>
      </c>
      <c r="C504">
        <v>2026</v>
      </c>
      <c r="D504">
        <v>2.9643063559589251E-2</v>
      </c>
      <c r="F504">
        <v>-0.93982163278992559</v>
      </c>
      <c r="G504">
        <v>-0.30171191266391412</v>
      </c>
      <c r="H504">
        <v>-1.580954984207509</v>
      </c>
      <c r="I504">
        <v>-0.4287885253166821</v>
      </c>
      <c r="J504">
        <v>-1.5591932778562849</v>
      </c>
      <c r="K504">
        <v>-0.78733899126696261</v>
      </c>
      <c r="M504">
        <f t="shared" si="22"/>
        <v>-5.5681662605416893</v>
      </c>
      <c r="N504">
        <f t="shared" si="23"/>
        <v>7</v>
      </c>
    </row>
    <row r="505" spans="1:14" x14ac:dyDescent="0.35">
      <c r="A505" t="str">
        <f t="shared" si="21"/>
        <v>18097341701_2027</v>
      </c>
      <c r="B505">
        <v>18097341701</v>
      </c>
      <c r="C505">
        <v>2027</v>
      </c>
      <c r="D505">
        <v>-3.2170108243962929E-2</v>
      </c>
      <c r="F505">
        <v>-0.99170863266280362</v>
      </c>
      <c r="G505">
        <v>5.0770114432770318E-2</v>
      </c>
      <c r="H505">
        <v>-1.3978276755469421</v>
      </c>
      <c r="I505">
        <v>-0.7080345606555476</v>
      </c>
      <c r="J505">
        <v>-1.548310591253423</v>
      </c>
      <c r="K505">
        <v>-0.73647639131512366</v>
      </c>
      <c r="M505">
        <f t="shared" si="22"/>
        <v>-5.3637578452450327</v>
      </c>
      <c r="N505">
        <f t="shared" si="23"/>
        <v>7</v>
      </c>
    </row>
    <row r="506" spans="1:14" x14ac:dyDescent="0.35">
      <c r="A506" t="str">
        <f t="shared" si="21"/>
        <v>18097341701_2028</v>
      </c>
      <c r="B506">
        <v>18097341701</v>
      </c>
      <c r="C506">
        <v>2028</v>
      </c>
      <c r="D506">
        <v>-0.11078992022922959</v>
      </c>
      <c r="F506">
        <v>-1.014548248992089</v>
      </c>
      <c r="G506">
        <v>0.14497456111938381</v>
      </c>
      <c r="H506">
        <v>-1.499692110620285</v>
      </c>
      <c r="I506">
        <v>-0.38540619926476949</v>
      </c>
      <c r="J506">
        <v>-1.5294603638738991</v>
      </c>
      <c r="K506">
        <v>-0.6727868977742214</v>
      </c>
      <c r="M506">
        <f t="shared" si="22"/>
        <v>-5.0677091796351101</v>
      </c>
      <c r="N506">
        <f t="shared" si="23"/>
        <v>7</v>
      </c>
    </row>
    <row r="507" spans="1:14" x14ac:dyDescent="0.35">
      <c r="A507" t="str">
        <f t="shared" si="21"/>
        <v>18097341702_2024</v>
      </c>
      <c r="B507">
        <v>18097341702</v>
      </c>
      <c r="C507">
        <v>2024</v>
      </c>
      <c r="D507">
        <v>-0.94803752921503204</v>
      </c>
      <c r="E507">
        <v>-1.1619865233545159</v>
      </c>
      <c r="F507">
        <v>-0.40330066300323492</v>
      </c>
      <c r="I507">
        <v>0.34834556844508141</v>
      </c>
      <c r="J507">
        <v>-1.1007160159479761</v>
      </c>
      <c r="K507">
        <v>-6.4596387638892167E-2</v>
      </c>
      <c r="M507">
        <f t="shared" si="22"/>
        <v>-3.3302915507145694</v>
      </c>
      <c r="N507">
        <f t="shared" si="23"/>
        <v>6</v>
      </c>
    </row>
    <row r="508" spans="1:14" x14ac:dyDescent="0.35">
      <c r="A508" t="str">
        <f t="shared" si="21"/>
        <v>18097341702_2025</v>
      </c>
      <c r="B508">
        <v>18097341702</v>
      </c>
      <c r="C508">
        <v>2025</v>
      </c>
      <c r="D508">
        <v>-0.95853410596393085</v>
      </c>
      <c r="E508">
        <v>-1.2218190820098269</v>
      </c>
      <c r="F508">
        <v>-0.55753327054845481</v>
      </c>
      <c r="I508">
        <v>0.1508127739955745</v>
      </c>
      <c r="J508">
        <v>-1.0901837456755601</v>
      </c>
      <c r="K508">
        <v>0.45745284462745378</v>
      </c>
      <c r="M508">
        <f t="shared" si="22"/>
        <v>-3.2198045855747446</v>
      </c>
      <c r="N508">
        <f t="shared" si="23"/>
        <v>6</v>
      </c>
    </row>
    <row r="509" spans="1:14" x14ac:dyDescent="0.35">
      <c r="A509" t="str">
        <f t="shared" si="21"/>
        <v>18097341702_2026</v>
      </c>
      <c r="B509">
        <v>18097341702</v>
      </c>
      <c r="C509">
        <v>2026</v>
      </c>
      <c r="D509">
        <v>-0.96521618812180643</v>
      </c>
      <c r="E509">
        <v>-1.3076413056810641</v>
      </c>
      <c r="F509">
        <v>-0.62702873545710136</v>
      </c>
      <c r="I509">
        <v>4.9776210896733597E-3</v>
      </c>
      <c r="J509">
        <v>-1.0834839187960801</v>
      </c>
      <c r="K509">
        <v>0.95582044569401603</v>
      </c>
      <c r="M509">
        <f t="shared" si="22"/>
        <v>-3.0225720812723633</v>
      </c>
      <c r="N509">
        <f t="shared" si="23"/>
        <v>6</v>
      </c>
    </row>
    <row r="510" spans="1:14" x14ac:dyDescent="0.35">
      <c r="A510" t="str">
        <f t="shared" si="21"/>
        <v>18097341702_2027</v>
      </c>
      <c r="B510">
        <v>18097341702</v>
      </c>
      <c r="C510">
        <v>2027</v>
      </c>
      <c r="D510">
        <v>-0.9524274789828876</v>
      </c>
      <c r="E510">
        <v>-1.361125568787928</v>
      </c>
      <c r="F510">
        <v>-0.68182199167464974</v>
      </c>
      <c r="I510">
        <v>-0.16409702338832691</v>
      </c>
      <c r="J510">
        <v>-1.077704686420764</v>
      </c>
      <c r="K510">
        <v>1.4210245331487461</v>
      </c>
      <c r="M510">
        <f t="shared" si="22"/>
        <v>-2.8161522161058099</v>
      </c>
      <c r="N510">
        <f t="shared" si="23"/>
        <v>6</v>
      </c>
    </row>
    <row r="511" spans="1:14" x14ac:dyDescent="0.35">
      <c r="A511" t="str">
        <f t="shared" si="21"/>
        <v>18097341702_2028</v>
      </c>
      <c r="B511">
        <v>18097341702</v>
      </c>
      <c r="C511">
        <v>2028</v>
      </c>
      <c r="D511">
        <v>-0.93665334688163082</v>
      </c>
      <c r="E511">
        <v>-1.425900139680736</v>
      </c>
      <c r="F511">
        <v>-0.71872440293019302</v>
      </c>
      <c r="I511">
        <v>-0.3084755945334664</v>
      </c>
      <c r="J511">
        <v>-1.0707173039161391</v>
      </c>
      <c r="K511">
        <v>1.80009122718197</v>
      </c>
      <c r="M511">
        <f t="shared" si="22"/>
        <v>-2.6603795607601954</v>
      </c>
      <c r="N511">
        <f t="shared" si="23"/>
        <v>6</v>
      </c>
    </row>
    <row r="512" spans="1:14" x14ac:dyDescent="0.35">
      <c r="A512" t="str">
        <f t="shared" si="21"/>
        <v>18097341902_2024</v>
      </c>
      <c r="B512">
        <v>18097341902</v>
      </c>
      <c r="C512">
        <v>2024</v>
      </c>
      <c r="D512">
        <v>-0.51752305974985047</v>
      </c>
      <c r="E512">
        <v>-0.71726606230996526</v>
      </c>
      <c r="F512">
        <v>-0.50757353678671591</v>
      </c>
      <c r="G512">
        <v>-9.5641491444231758E-2</v>
      </c>
      <c r="I512">
        <v>1.0647670218853599E-3</v>
      </c>
      <c r="J512">
        <v>-0.28487089920807701</v>
      </c>
      <c r="M512">
        <f t="shared" si="22"/>
        <v>-2.1218102824769551</v>
      </c>
      <c r="N512">
        <f t="shared" si="23"/>
        <v>6</v>
      </c>
    </row>
    <row r="513" spans="1:14" x14ac:dyDescent="0.35">
      <c r="A513" t="str">
        <f t="shared" si="21"/>
        <v>18097341902_2025</v>
      </c>
      <c r="B513">
        <v>18097341902</v>
      </c>
      <c r="C513">
        <v>2025</v>
      </c>
      <c r="D513">
        <v>-0.47510457527170741</v>
      </c>
      <c r="E513">
        <v>-0.80277189939060944</v>
      </c>
      <c r="F513">
        <v>-0.36530712043784369</v>
      </c>
      <c r="G513">
        <v>-0.16409400888923631</v>
      </c>
      <c r="I513">
        <v>-0.10513418419053901</v>
      </c>
      <c r="J513">
        <v>-0.28984326302247593</v>
      </c>
      <c r="M513">
        <f t="shared" si="22"/>
        <v>-2.2022550512024117</v>
      </c>
      <c r="N513">
        <f t="shared" si="23"/>
        <v>6</v>
      </c>
    </row>
    <row r="514" spans="1:14" x14ac:dyDescent="0.35">
      <c r="A514" t="str">
        <f t="shared" si="21"/>
        <v>18097341902_2026</v>
      </c>
      <c r="B514">
        <v>18097341902</v>
      </c>
      <c r="C514">
        <v>2026</v>
      </c>
      <c r="D514">
        <v>-0.47283900999393502</v>
      </c>
      <c r="E514">
        <v>-0.83867050168658752</v>
      </c>
      <c r="F514">
        <v>-0.24124961173010409</v>
      </c>
      <c r="G514">
        <v>-0.2351228636034482</v>
      </c>
      <c r="I514">
        <v>-0.2009635636441664</v>
      </c>
      <c r="J514">
        <v>-0.30600286961616502</v>
      </c>
      <c r="M514">
        <f t="shared" si="22"/>
        <v>-2.2948484202744064</v>
      </c>
      <c r="N514">
        <f t="shared" si="23"/>
        <v>6</v>
      </c>
    </row>
    <row r="515" spans="1:14" x14ac:dyDescent="0.35">
      <c r="A515" t="str">
        <f t="shared" ref="A515:A578" si="24">TEXT(B515,0)&amp;"_"&amp;TEXT(C515,0)</f>
        <v>18097341902_2027</v>
      </c>
      <c r="B515">
        <v>18097341902</v>
      </c>
      <c r="C515">
        <v>2027</v>
      </c>
      <c r="D515">
        <v>-0.43553484988675728</v>
      </c>
      <c r="E515">
        <v>-0.89354870998851998</v>
      </c>
      <c r="F515">
        <v>-0.1292254401290891</v>
      </c>
      <c r="G515">
        <v>-0.29379723085352172</v>
      </c>
      <c r="I515">
        <v>-0.2966449851087366</v>
      </c>
      <c r="J515">
        <v>-0.33063819744483669</v>
      </c>
      <c r="M515">
        <f t="shared" ref="M515:M578" si="25">SUM(D515:K515)</f>
        <v>-2.3793894134114613</v>
      </c>
      <c r="N515">
        <f t="shared" ref="N515:N578" si="26">IF(D515=0,0,1)+IF(E515=0,0,1)+IF(F515=0,0,1)+IF(G515=0,0,1)+IF(H515=0,0,1)+IF(I515=0,0,1)++IF(J515=0,0,1)++IF(K515=0,0,1)</f>
        <v>6</v>
      </c>
    </row>
    <row r="516" spans="1:14" x14ac:dyDescent="0.35">
      <c r="A516" t="str">
        <f t="shared" si="24"/>
        <v>18097341902_2028</v>
      </c>
      <c r="B516">
        <v>18097341902</v>
      </c>
      <c r="C516">
        <v>2028</v>
      </c>
      <c r="D516">
        <v>-0.4210191670641581</v>
      </c>
      <c r="E516">
        <v>-0.92983998889178876</v>
      </c>
      <c r="F516">
        <v>-2.0546341136712089E-2</v>
      </c>
      <c r="G516">
        <v>-0.34820530350585888</v>
      </c>
      <c r="I516">
        <v>-0.38491538680484833</v>
      </c>
      <c r="J516">
        <v>-0.36411126899422802</v>
      </c>
      <c r="M516">
        <f t="shared" si="25"/>
        <v>-2.4686374563975946</v>
      </c>
      <c r="N516">
        <f t="shared" si="26"/>
        <v>6</v>
      </c>
    </row>
    <row r="517" spans="1:14" x14ac:dyDescent="0.35">
      <c r="A517" t="str">
        <f t="shared" si="24"/>
        <v>18097341903_2024</v>
      </c>
      <c r="B517">
        <v>18097341903</v>
      </c>
      <c r="C517">
        <v>2024</v>
      </c>
      <c r="D517">
        <v>-0.91791192945134281</v>
      </c>
      <c r="E517">
        <v>-0.6191145344711948</v>
      </c>
      <c r="F517">
        <v>0.60752711602184373</v>
      </c>
      <c r="G517">
        <v>-0.81806794301624541</v>
      </c>
      <c r="H517">
        <v>-1.4198681362735821</v>
      </c>
      <c r="I517">
        <v>-1.241071925793241</v>
      </c>
      <c r="J517">
        <v>-0.49608423557643738</v>
      </c>
      <c r="M517">
        <f t="shared" si="25"/>
        <v>-4.9045915885601996</v>
      </c>
      <c r="N517">
        <f t="shared" si="26"/>
        <v>7</v>
      </c>
    </row>
    <row r="518" spans="1:14" x14ac:dyDescent="0.35">
      <c r="A518" t="str">
        <f t="shared" si="24"/>
        <v>18097341903_2025</v>
      </c>
      <c r="B518">
        <v>18097341903</v>
      </c>
      <c r="C518">
        <v>2025</v>
      </c>
      <c r="D518">
        <v>-0.92083852066858995</v>
      </c>
      <c r="E518">
        <v>-0.5933276308030182</v>
      </c>
      <c r="F518">
        <v>0.43807864549692249</v>
      </c>
      <c r="G518">
        <v>-0.77889841468924592</v>
      </c>
      <c r="H518">
        <v>-1.700235643705404</v>
      </c>
      <c r="I518">
        <v>-1.2601033294040229</v>
      </c>
      <c r="J518">
        <v>-0.45834265060762841</v>
      </c>
      <c r="M518">
        <f t="shared" si="25"/>
        <v>-5.2736675443809871</v>
      </c>
      <c r="N518">
        <f t="shared" si="26"/>
        <v>7</v>
      </c>
    </row>
    <row r="519" spans="1:14" x14ac:dyDescent="0.35">
      <c r="A519" t="str">
        <f t="shared" si="24"/>
        <v>18097341903_2026</v>
      </c>
      <c r="B519">
        <v>18097341903</v>
      </c>
      <c r="C519">
        <v>2026</v>
      </c>
      <c r="D519">
        <v>-0.94188129723763758</v>
      </c>
      <c r="E519">
        <v>-0.58304920883519573</v>
      </c>
      <c r="F519">
        <v>0.31908556135583949</v>
      </c>
      <c r="G519">
        <v>-0.78374358724902504</v>
      </c>
      <c r="H519">
        <v>-1.833861285144504</v>
      </c>
      <c r="I519">
        <v>-1.271696421782446</v>
      </c>
      <c r="J519">
        <v>-0.42089312488221581</v>
      </c>
      <c r="M519">
        <f t="shared" si="25"/>
        <v>-5.5160393637751852</v>
      </c>
      <c r="N519">
        <f t="shared" si="26"/>
        <v>7</v>
      </c>
    </row>
    <row r="520" spans="1:14" x14ac:dyDescent="0.35">
      <c r="A520" t="str">
        <f t="shared" si="24"/>
        <v>18097341903_2027</v>
      </c>
      <c r="B520">
        <v>18097341903</v>
      </c>
      <c r="C520">
        <v>2027</v>
      </c>
      <c r="D520">
        <v>-0.92987954663756778</v>
      </c>
      <c r="E520">
        <v>-0.56376483961599866</v>
      </c>
      <c r="F520">
        <v>0.18298939206860579</v>
      </c>
      <c r="G520">
        <v>-0.74738455215004795</v>
      </c>
      <c r="H520">
        <v>-1.97233283542587</v>
      </c>
      <c r="I520">
        <v>-1.2840473855893071</v>
      </c>
      <c r="J520">
        <v>-0.38039843481005409</v>
      </c>
      <c r="M520">
        <f t="shared" si="25"/>
        <v>-5.6948182021602403</v>
      </c>
      <c r="N520">
        <f t="shared" si="26"/>
        <v>7</v>
      </c>
    </row>
    <row r="521" spans="1:14" x14ac:dyDescent="0.35">
      <c r="A521" t="str">
        <f t="shared" si="24"/>
        <v>18097341903_2028</v>
      </c>
      <c r="B521">
        <v>18097341903</v>
      </c>
      <c r="C521">
        <v>2028</v>
      </c>
      <c r="D521">
        <v>-0.92130339451403864</v>
      </c>
      <c r="E521">
        <v>-0.54673240331238204</v>
      </c>
      <c r="F521">
        <v>8.7965455700626263E-2</v>
      </c>
      <c r="G521">
        <v>-0.73778888395557241</v>
      </c>
      <c r="H521">
        <v>-2.030197821011031</v>
      </c>
      <c r="I521">
        <v>-1.2883677763079371</v>
      </c>
      <c r="J521">
        <v>-0.33411367543686721</v>
      </c>
      <c r="M521">
        <f t="shared" si="25"/>
        <v>-5.7705384988372028</v>
      </c>
      <c r="N521">
        <f t="shared" si="26"/>
        <v>7</v>
      </c>
    </row>
    <row r="522" spans="1:14" x14ac:dyDescent="0.35">
      <c r="A522" t="str">
        <f t="shared" si="24"/>
        <v>18097341904_2024</v>
      </c>
      <c r="B522">
        <v>18097341904</v>
      </c>
      <c r="C522">
        <v>2024</v>
      </c>
      <c r="D522">
        <v>-1.452312656877222</v>
      </c>
      <c r="E522">
        <v>-0.1431920156276299</v>
      </c>
      <c r="F522">
        <v>0.32596501395090599</v>
      </c>
      <c r="G522">
        <v>0.8771684528319813</v>
      </c>
      <c r="H522">
        <v>0.71842768629444098</v>
      </c>
      <c r="I522">
        <v>-1.0275105154051201</v>
      </c>
      <c r="J522">
        <v>-0.46159709393206633</v>
      </c>
      <c r="M522">
        <f t="shared" si="25"/>
        <v>-1.1630511287647098</v>
      </c>
      <c r="N522">
        <f t="shared" si="26"/>
        <v>7</v>
      </c>
    </row>
    <row r="523" spans="1:14" x14ac:dyDescent="0.35">
      <c r="A523" t="str">
        <f t="shared" si="24"/>
        <v>18097341904_2025</v>
      </c>
      <c r="B523">
        <v>18097341904</v>
      </c>
      <c r="C523">
        <v>2025</v>
      </c>
      <c r="D523">
        <v>-1.434421291254224</v>
      </c>
      <c r="E523">
        <v>-0.1462246671340732</v>
      </c>
      <c r="F523">
        <v>0.22515325877378289</v>
      </c>
      <c r="G523">
        <v>1.5519198572683861</v>
      </c>
      <c r="H523">
        <v>0.58914575822225657</v>
      </c>
      <c r="I523">
        <v>-0.98122977969256842</v>
      </c>
      <c r="J523">
        <v>-0.42139578581208842</v>
      </c>
      <c r="M523">
        <f t="shared" si="25"/>
        <v>-0.61705264962852846</v>
      </c>
      <c r="N523">
        <f t="shared" si="26"/>
        <v>7</v>
      </c>
    </row>
    <row r="524" spans="1:14" x14ac:dyDescent="0.35">
      <c r="A524" t="str">
        <f t="shared" si="24"/>
        <v>18097341904_2026</v>
      </c>
      <c r="B524">
        <v>18097341904</v>
      </c>
      <c r="C524">
        <v>2026</v>
      </c>
      <c r="D524">
        <v>-1.4089186109713181</v>
      </c>
      <c r="E524">
        <v>-0.1262933206408676</v>
      </c>
      <c r="F524">
        <v>0.13174582154000131</v>
      </c>
      <c r="G524">
        <v>2.1585910991608102</v>
      </c>
      <c r="H524">
        <v>0.515946346883569</v>
      </c>
      <c r="I524">
        <v>-0.89693883368076743</v>
      </c>
      <c r="J524">
        <v>-0.38077108277246408</v>
      </c>
      <c r="M524">
        <f t="shared" si="25"/>
        <v>-6.6385804810367155E-3</v>
      </c>
      <c r="N524">
        <f t="shared" si="26"/>
        <v>7</v>
      </c>
    </row>
    <row r="525" spans="1:14" x14ac:dyDescent="0.35">
      <c r="A525" t="str">
        <f t="shared" si="24"/>
        <v>18097341904_2027</v>
      </c>
      <c r="B525">
        <v>18097341904</v>
      </c>
      <c r="C525">
        <v>2027</v>
      </c>
      <c r="D525">
        <v>-1.363249555195172</v>
      </c>
      <c r="E525">
        <v>-0.11579020987701159</v>
      </c>
      <c r="F525">
        <v>4.2749254313830677E-2</v>
      </c>
      <c r="G525">
        <v>2.7770261068893451</v>
      </c>
      <c r="H525">
        <v>0.45819812113608571</v>
      </c>
      <c r="I525">
        <v>-0.82996865255561791</v>
      </c>
      <c r="J525">
        <v>-0.33647169241848263</v>
      </c>
      <c r="M525">
        <f t="shared" si="25"/>
        <v>0.63249337229297731</v>
      </c>
      <c r="N525">
        <f t="shared" si="26"/>
        <v>7</v>
      </c>
    </row>
    <row r="526" spans="1:14" x14ac:dyDescent="0.35">
      <c r="A526" t="str">
        <f t="shared" si="24"/>
        <v>18097341904_2028</v>
      </c>
      <c r="B526">
        <v>18097341904</v>
      </c>
      <c r="C526">
        <v>2028</v>
      </c>
      <c r="D526">
        <v>-1.3097341018180511</v>
      </c>
      <c r="E526">
        <v>-9.9692878480995353E-2</v>
      </c>
      <c r="F526">
        <v>-2.7235191782501719E-2</v>
      </c>
      <c r="G526">
        <v>3.2833978536493138</v>
      </c>
      <c r="H526">
        <v>0.42749679340429358</v>
      </c>
      <c r="I526">
        <v>-0.75364132393562</v>
      </c>
      <c r="J526">
        <v>-0.28565417817093341</v>
      </c>
      <c r="M526">
        <f t="shared" si="25"/>
        <v>1.2349369728655055</v>
      </c>
      <c r="N526">
        <f t="shared" si="26"/>
        <v>7</v>
      </c>
    </row>
    <row r="527" spans="1:14" x14ac:dyDescent="0.35">
      <c r="A527" t="str">
        <f t="shared" si="24"/>
        <v>18097342000_2024</v>
      </c>
      <c r="B527">
        <v>18097342000</v>
      </c>
      <c r="C527">
        <v>2024</v>
      </c>
      <c r="D527">
        <v>-0.30726702661192967</v>
      </c>
      <c r="E527">
        <v>-1.1036083938146299</v>
      </c>
      <c r="F527">
        <v>-1.103784280907576</v>
      </c>
      <c r="G527">
        <v>4.18378431542524E-3</v>
      </c>
      <c r="H527">
        <v>0.7441345166376353</v>
      </c>
      <c r="I527">
        <v>-0.35830819943745129</v>
      </c>
      <c r="J527">
        <v>0.37880716827221123</v>
      </c>
      <c r="M527">
        <f t="shared" si="25"/>
        <v>-1.745842431546315</v>
      </c>
      <c r="N527">
        <f t="shared" si="26"/>
        <v>7</v>
      </c>
    </row>
    <row r="528" spans="1:14" x14ac:dyDescent="0.35">
      <c r="A528" t="str">
        <f t="shared" si="24"/>
        <v>18097342000_2025</v>
      </c>
      <c r="B528">
        <v>18097342000</v>
      </c>
      <c r="C528">
        <v>2025</v>
      </c>
      <c r="D528">
        <v>-0.40220851629237858</v>
      </c>
      <c r="E528">
        <v>-1.194216143419615</v>
      </c>
      <c r="F528">
        <v>-1.0855028796071251</v>
      </c>
      <c r="G528">
        <v>-7.6229142203140893E-2</v>
      </c>
      <c r="H528">
        <v>0.66076392128649353</v>
      </c>
      <c r="I528">
        <v>-0.34853005478901999</v>
      </c>
      <c r="J528">
        <v>0.38103769437020252</v>
      </c>
      <c r="M528">
        <f t="shared" si="25"/>
        <v>-2.0648851206545835</v>
      </c>
      <c r="N528">
        <f t="shared" si="26"/>
        <v>7</v>
      </c>
    </row>
    <row r="529" spans="1:14" x14ac:dyDescent="0.35">
      <c r="A529" t="str">
        <f t="shared" si="24"/>
        <v>18097342000_2026</v>
      </c>
      <c r="B529">
        <v>18097342000</v>
      </c>
      <c r="C529">
        <v>2026</v>
      </c>
      <c r="D529">
        <v>-0.35833194842613919</v>
      </c>
      <c r="E529">
        <v>-1.279753699014093</v>
      </c>
      <c r="F529">
        <v>-1.0542175654000201</v>
      </c>
      <c r="G529">
        <v>-0.16005482110027019</v>
      </c>
      <c r="H529">
        <v>0.60102956566461863</v>
      </c>
      <c r="I529">
        <v>-0.31863570527837348</v>
      </c>
      <c r="J529">
        <v>0.38056829117611551</v>
      </c>
      <c r="M529">
        <f t="shared" si="25"/>
        <v>-2.1893958823781614</v>
      </c>
      <c r="N529">
        <f t="shared" si="26"/>
        <v>7</v>
      </c>
    </row>
    <row r="530" spans="1:14" x14ac:dyDescent="0.35">
      <c r="A530" t="str">
        <f t="shared" si="24"/>
        <v>18097342000_2027</v>
      </c>
      <c r="B530">
        <v>18097342000</v>
      </c>
      <c r="C530">
        <v>2027</v>
      </c>
      <c r="D530">
        <v>-0.39313498675370168</v>
      </c>
      <c r="E530">
        <v>-1.3554109429009831</v>
      </c>
      <c r="F530">
        <v>-1.0100494863273799</v>
      </c>
      <c r="G530">
        <v>-0.2293083709604698</v>
      </c>
      <c r="H530">
        <v>0.5316386999434054</v>
      </c>
      <c r="I530">
        <v>-0.29363986866156222</v>
      </c>
      <c r="J530">
        <v>0.37614499111965249</v>
      </c>
      <c r="M530">
        <f t="shared" si="25"/>
        <v>-2.3737599645410383</v>
      </c>
      <c r="N530">
        <f t="shared" si="26"/>
        <v>7</v>
      </c>
    </row>
    <row r="531" spans="1:14" x14ac:dyDescent="0.35">
      <c r="A531" t="str">
        <f t="shared" si="24"/>
        <v>18097342000_2028</v>
      </c>
      <c r="B531">
        <v>18097342000</v>
      </c>
      <c r="C531">
        <v>2028</v>
      </c>
      <c r="D531">
        <v>-0.37813982550213521</v>
      </c>
      <c r="E531">
        <v>-1.4240396151279251</v>
      </c>
      <c r="F531">
        <v>-0.97614692905373124</v>
      </c>
      <c r="G531">
        <v>-0.29459749975955402</v>
      </c>
      <c r="H531">
        <v>0.47638164466366067</v>
      </c>
      <c r="I531">
        <v>-0.26719198846863479</v>
      </c>
      <c r="J531">
        <v>0.36705844052550868</v>
      </c>
      <c r="M531">
        <f t="shared" si="25"/>
        <v>-2.4966757727228113</v>
      </c>
      <c r="N531">
        <f t="shared" si="26"/>
        <v>7</v>
      </c>
    </row>
    <row r="532" spans="1:14" x14ac:dyDescent="0.35">
      <c r="A532" t="str">
        <f t="shared" si="24"/>
        <v>18097342101_2024</v>
      </c>
      <c r="B532">
        <v>18097342101</v>
      </c>
      <c r="C532">
        <v>2024</v>
      </c>
      <c r="D532">
        <v>0.31649703734441298</v>
      </c>
      <c r="E532">
        <v>-0.75701203775536285</v>
      </c>
      <c r="F532">
        <v>-0.50740391683209662</v>
      </c>
      <c r="G532">
        <v>-0.1727016341201692</v>
      </c>
      <c r="H532">
        <v>0.73135984813377397</v>
      </c>
      <c r="J532">
        <v>-1.0974762919394461</v>
      </c>
      <c r="M532">
        <f t="shared" si="25"/>
        <v>-1.4867369951688878</v>
      </c>
      <c r="N532">
        <f t="shared" si="26"/>
        <v>6</v>
      </c>
    </row>
    <row r="533" spans="1:14" x14ac:dyDescent="0.35">
      <c r="A533" t="str">
        <f t="shared" si="24"/>
        <v>18097342101_2025</v>
      </c>
      <c r="B533">
        <v>18097342101</v>
      </c>
      <c r="C533">
        <v>2025</v>
      </c>
      <c r="D533">
        <v>0.25188439543320162</v>
      </c>
      <c r="E533">
        <v>-0.73716564053706513</v>
      </c>
      <c r="F533">
        <v>-0.45641633411933569</v>
      </c>
      <c r="G533">
        <v>-0.2191893501916207</v>
      </c>
      <c r="H533">
        <v>0.89653926226264613</v>
      </c>
      <c r="J533">
        <v>-1.111431267307033</v>
      </c>
      <c r="M533">
        <f t="shared" si="25"/>
        <v>-1.3757789344592068</v>
      </c>
      <c r="N533">
        <f t="shared" si="26"/>
        <v>6</v>
      </c>
    </row>
    <row r="534" spans="1:14" x14ac:dyDescent="0.35">
      <c r="A534" t="str">
        <f t="shared" si="24"/>
        <v>18097342101_2026</v>
      </c>
      <c r="B534">
        <v>18097342101</v>
      </c>
      <c r="C534">
        <v>2026</v>
      </c>
      <c r="D534">
        <v>0.1966331696331588</v>
      </c>
      <c r="E534">
        <v>-0.72221795058791194</v>
      </c>
      <c r="F534">
        <v>-0.4060447093793893</v>
      </c>
      <c r="G534">
        <v>-0.26997281672986317</v>
      </c>
      <c r="H534">
        <v>0.66098910967145719</v>
      </c>
      <c r="J534">
        <v>-1.135133758699822</v>
      </c>
      <c r="M534">
        <f t="shared" si="25"/>
        <v>-1.6757469560923703</v>
      </c>
      <c r="N534">
        <f t="shared" si="26"/>
        <v>6</v>
      </c>
    </row>
    <row r="535" spans="1:14" x14ac:dyDescent="0.35">
      <c r="A535" t="str">
        <f t="shared" si="24"/>
        <v>18097342101_2027</v>
      </c>
      <c r="B535">
        <v>18097342101</v>
      </c>
      <c r="C535">
        <v>2027</v>
      </c>
      <c r="D535">
        <v>0.13638176358745269</v>
      </c>
      <c r="E535">
        <v>-0.70570057994763769</v>
      </c>
      <c r="F535">
        <v>-0.359364708187971</v>
      </c>
      <c r="G535">
        <v>-0.31109846696826993</v>
      </c>
      <c r="H535">
        <v>0.74535656255982263</v>
      </c>
      <c r="J535">
        <v>-1.1670892881242221</v>
      </c>
      <c r="M535">
        <f t="shared" si="25"/>
        <v>-1.6615147170808253</v>
      </c>
      <c r="N535">
        <f t="shared" si="26"/>
        <v>6</v>
      </c>
    </row>
    <row r="536" spans="1:14" x14ac:dyDescent="0.35">
      <c r="A536" t="str">
        <f t="shared" si="24"/>
        <v>18097342101_2028</v>
      </c>
      <c r="B536">
        <v>18097342101</v>
      </c>
      <c r="C536">
        <v>2028</v>
      </c>
      <c r="D536">
        <v>7.8248520249057832E-2</v>
      </c>
      <c r="E536">
        <v>-0.68633708861988807</v>
      </c>
      <c r="F536">
        <v>-0.31755270719996193</v>
      </c>
      <c r="G536">
        <v>-0.34999878391655931</v>
      </c>
      <c r="H536">
        <v>0.5801659055753543</v>
      </c>
      <c r="J536">
        <v>-1.207112503991455</v>
      </c>
      <c r="M536">
        <f t="shared" si="25"/>
        <v>-1.902586657903452</v>
      </c>
      <c r="N536">
        <f t="shared" si="26"/>
        <v>6</v>
      </c>
    </row>
    <row r="537" spans="1:14" x14ac:dyDescent="0.35">
      <c r="A537" t="str">
        <f t="shared" si="24"/>
        <v>18097342200_2024</v>
      </c>
      <c r="B537">
        <v>18097342200</v>
      </c>
      <c r="C537">
        <v>2024</v>
      </c>
      <c r="D537">
        <v>0.44566822520013338</v>
      </c>
      <c r="E537">
        <v>-0.81902349412772379</v>
      </c>
      <c r="F537">
        <v>0.2700896166318536</v>
      </c>
      <c r="G537">
        <v>-0.1686394107876496</v>
      </c>
      <c r="H537">
        <v>0.4184876833329666</v>
      </c>
      <c r="I537">
        <v>-0.7253690976160716</v>
      </c>
      <c r="J537">
        <v>-1.1395805795560821</v>
      </c>
      <c r="M537">
        <f t="shared" si="25"/>
        <v>-1.7183670569225735</v>
      </c>
      <c r="N537">
        <f t="shared" si="26"/>
        <v>7</v>
      </c>
    </row>
    <row r="538" spans="1:14" x14ac:dyDescent="0.35">
      <c r="A538" t="str">
        <f t="shared" si="24"/>
        <v>18097342200_2025</v>
      </c>
      <c r="B538">
        <v>18097342200</v>
      </c>
      <c r="C538">
        <v>2025</v>
      </c>
      <c r="D538">
        <v>0.37570714137024092</v>
      </c>
      <c r="E538">
        <v>-0.78797494254733247</v>
      </c>
      <c r="F538">
        <v>0.38291539229148341</v>
      </c>
      <c r="G538">
        <v>-0.27289293317961377</v>
      </c>
      <c r="H538">
        <v>0.2304765308597525</v>
      </c>
      <c r="I538">
        <v>-0.82540771587196782</v>
      </c>
      <c r="J538">
        <v>-1.153925071011537</v>
      </c>
      <c r="M538">
        <f t="shared" si="25"/>
        <v>-2.051101598088974</v>
      </c>
      <c r="N538">
        <f t="shared" si="26"/>
        <v>7</v>
      </c>
    </row>
    <row r="539" spans="1:14" x14ac:dyDescent="0.35">
      <c r="A539" t="str">
        <f t="shared" si="24"/>
        <v>18097342200_2026</v>
      </c>
      <c r="B539">
        <v>18097342200</v>
      </c>
      <c r="C539">
        <v>2026</v>
      </c>
      <c r="D539">
        <v>0.31311839809930242</v>
      </c>
      <c r="E539">
        <v>-0.74959255177962869</v>
      </c>
      <c r="F539">
        <v>0.42323308875414972</v>
      </c>
      <c r="G539">
        <v>-4.7558464764750868E-2</v>
      </c>
      <c r="H539">
        <v>0.27074048441246129</v>
      </c>
      <c r="I539">
        <v>-0.91119220235477205</v>
      </c>
      <c r="J539">
        <v>-1.177436549144997</v>
      </c>
      <c r="M539">
        <f t="shared" si="25"/>
        <v>-1.8786877967782352</v>
      </c>
      <c r="N539">
        <f t="shared" si="26"/>
        <v>7</v>
      </c>
    </row>
    <row r="540" spans="1:14" x14ac:dyDescent="0.35">
      <c r="A540" t="str">
        <f t="shared" si="24"/>
        <v>18097342200_2027</v>
      </c>
      <c r="B540">
        <v>18097342200</v>
      </c>
      <c r="C540">
        <v>2027</v>
      </c>
      <c r="D540">
        <v>0.24512350514244299</v>
      </c>
      <c r="E540">
        <v>-0.71019008137493234</v>
      </c>
      <c r="F540">
        <v>0.42517616941390779</v>
      </c>
      <c r="G540">
        <v>-0.1010245800527495</v>
      </c>
      <c r="H540">
        <v>0.1699279016418393</v>
      </c>
      <c r="I540">
        <v>-0.99380887160686537</v>
      </c>
      <c r="J540">
        <v>-1.2090090026693889</v>
      </c>
      <c r="M540">
        <f t="shared" si="25"/>
        <v>-2.173804959505746</v>
      </c>
      <c r="N540">
        <f t="shared" si="26"/>
        <v>7</v>
      </c>
    </row>
    <row r="541" spans="1:14" x14ac:dyDescent="0.35">
      <c r="A541" t="str">
        <f t="shared" si="24"/>
        <v>18097342200_2028</v>
      </c>
      <c r="B541">
        <v>18097342200</v>
      </c>
      <c r="C541">
        <v>2028</v>
      </c>
      <c r="D541">
        <v>0.17815475989622609</v>
      </c>
      <c r="E541">
        <v>-0.66831265606612655</v>
      </c>
      <c r="F541">
        <v>0.42893970454392327</v>
      </c>
      <c r="G541">
        <v>6.5521220102895711E-2</v>
      </c>
      <c r="H541">
        <v>0.16893800290016359</v>
      </c>
      <c r="I541">
        <v>-1.0675380906394449</v>
      </c>
      <c r="J541">
        <v>-1.2483090531159911</v>
      </c>
      <c r="M541">
        <f t="shared" si="25"/>
        <v>-2.142606112378354</v>
      </c>
      <c r="N541">
        <f t="shared" si="26"/>
        <v>7</v>
      </c>
    </row>
    <row r="542" spans="1:14" x14ac:dyDescent="0.35">
      <c r="A542" t="str">
        <f t="shared" si="24"/>
        <v>18097342300_2024</v>
      </c>
      <c r="B542">
        <v>18097342300</v>
      </c>
      <c r="C542">
        <v>2024</v>
      </c>
      <c r="D542">
        <v>1.172628947793902</v>
      </c>
      <c r="E542">
        <v>-1.148779384452369</v>
      </c>
      <c r="F542">
        <v>3.6570148723084367E-2</v>
      </c>
      <c r="G542">
        <v>-0.41488498988037209</v>
      </c>
      <c r="H542">
        <v>1.1861136531740211</v>
      </c>
      <c r="I542">
        <v>0.38685253583571649</v>
      </c>
      <c r="J542">
        <v>-1.1395805795560821</v>
      </c>
      <c r="M542">
        <f t="shared" si="25"/>
        <v>7.8920331637900798E-2</v>
      </c>
      <c r="N542">
        <f t="shared" si="26"/>
        <v>7</v>
      </c>
    </row>
    <row r="543" spans="1:14" x14ac:dyDescent="0.35">
      <c r="A543" t="str">
        <f t="shared" si="24"/>
        <v>18097342300_2025</v>
      </c>
      <c r="B543">
        <v>18097342300</v>
      </c>
      <c r="C543">
        <v>2025</v>
      </c>
      <c r="D543">
        <v>1.070423806197218</v>
      </c>
      <c r="E543">
        <v>-1.136670666807069</v>
      </c>
      <c r="F543">
        <v>5.5880808924694249E-2</v>
      </c>
      <c r="G543">
        <v>-0.36659987055642551</v>
      </c>
      <c r="H543">
        <v>1.1898512960852869</v>
      </c>
      <c r="I543">
        <v>0.35566676411776238</v>
      </c>
      <c r="J543">
        <v>-1.153925071011537</v>
      </c>
      <c r="M543">
        <f t="shared" si="25"/>
        <v>1.4627066949930212E-2</v>
      </c>
      <c r="N543">
        <f t="shared" si="26"/>
        <v>7</v>
      </c>
    </row>
    <row r="544" spans="1:14" x14ac:dyDescent="0.35">
      <c r="A544" t="str">
        <f t="shared" si="24"/>
        <v>18097342300_2026</v>
      </c>
      <c r="B544">
        <v>18097342300</v>
      </c>
      <c r="C544">
        <v>2026</v>
      </c>
      <c r="D544">
        <v>0.96892236673718724</v>
      </c>
      <c r="E544">
        <v>-1.1162582387812241</v>
      </c>
      <c r="F544">
        <v>2.24022005697068E-2</v>
      </c>
      <c r="G544">
        <v>-0.32185806654928778</v>
      </c>
      <c r="H544">
        <v>1.178893265470941</v>
      </c>
      <c r="I544">
        <v>0.32639955973164508</v>
      </c>
      <c r="J544">
        <v>-1.177436549144997</v>
      </c>
      <c r="M544">
        <f t="shared" si="25"/>
        <v>-0.11893546196602878</v>
      </c>
      <c r="N544">
        <f t="shared" si="26"/>
        <v>7</v>
      </c>
    </row>
    <row r="545" spans="1:14" x14ac:dyDescent="0.35">
      <c r="A545" t="str">
        <f t="shared" si="24"/>
        <v>18097342300_2027</v>
      </c>
      <c r="B545">
        <v>18097342300</v>
      </c>
      <c r="C545">
        <v>2027</v>
      </c>
      <c r="D545">
        <v>0.85700381209415422</v>
      </c>
      <c r="E545">
        <v>-1.094623390381247</v>
      </c>
      <c r="F545">
        <v>-2.6584941135960521E-2</v>
      </c>
      <c r="G545">
        <v>-0.27513231380112019</v>
      </c>
      <c r="H545">
        <v>1.1578441496644101</v>
      </c>
      <c r="I545">
        <v>0.30152249721125141</v>
      </c>
      <c r="J545">
        <v>-1.2090090026693889</v>
      </c>
      <c r="M545">
        <f t="shared" si="25"/>
        <v>-0.28897918901790098</v>
      </c>
      <c r="N545">
        <f t="shared" si="26"/>
        <v>7</v>
      </c>
    </row>
    <row r="546" spans="1:14" x14ac:dyDescent="0.35">
      <c r="A546" t="str">
        <f t="shared" si="24"/>
        <v>18097342300_2028</v>
      </c>
      <c r="B546">
        <v>18097342300</v>
      </c>
      <c r="C546">
        <v>2028</v>
      </c>
      <c r="D546">
        <v>0.7413802494817191</v>
      </c>
      <c r="E546">
        <v>-1.0703259053666001</v>
      </c>
      <c r="F546">
        <v>-6.848823502869654E-2</v>
      </c>
      <c r="G546">
        <v>-0.2348978797023579</v>
      </c>
      <c r="H546">
        <v>1.129890619105326</v>
      </c>
      <c r="I546">
        <v>0.27324696660363668</v>
      </c>
      <c r="J546">
        <v>-1.2483090531159911</v>
      </c>
      <c r="M546">
        <f t="shared" si="25"/>
        <v>-0.47750323802296391</v>
      </c>
      <c r="N546">
        <f t="shared" si="26"/>
        <v>7</v>
      </c>
    </row>
    <row r="547" spans="1:14" x14ac:dyDescent="0.35">
      <c r="A547" t="str">
        <f t="shared" si="24"/>
        <v>18097342400_2024</v>
      </c>
      <c r="B547">
        <v>18097342400</v>
      </c>
      <c r="C547">
        <v>2024</v>
      </c>
      <c r="D547">
        <v>-1.0398491691996721</v>
      </c>
      <c r="E547">
        <v>-1.440217373603307</v>
      </c>
      <c r="F547">
        <v>-0.67462356293540193</v>
      </c>
      <c r="G547">
        <v>-0.31930568203844678</v>
      </c>
      <c r="H547">
        <v>-0.27784490558727259</v>
      </c>
      <c r="I547">
        <v>0.64185055090379084</v>
      </c>
      <c r="J547">
        <v>-1.129702380495327</v>
      </c>
      <c r="M547">
        <f t="shared" si="25"/>
        <v>-4.2396925229556368</v>
      </c>
      <c r="N547">
        <f t="shared" si="26"/>
        <v>7</v>
      </c>
    </row>
    <row r="548" spans="1:14" x14ac:dyDescent="0.35">
      <c r="A548" t="str">
        <f t="shared" si="24"/>
        <v>18097342400_2025</v>
      </c>
      <c r="B548">
        <v>18097342400</v>
      </c>
      <c r="C548">
        <v>2025</v>
      </c>
      <c r="D548">
        <v>-1.043362946769161</v>
      </c>
      <c r="E548">
        <v>-1.4411640433739581</v>
      </c>
      <c r="F548">
        <v>-0.73747832034911587</v>
      </c>
      <c r="G548">
        <v>-0.28793688119094679</v>
      </c>
      <c r="H548">
        <v>-0.38648211953958422</v>
      </c>
      <c r="I548">
        <v>0.5641506904788357</v>
      </c>
      <c r="J548">
        <v>-1.1435776614178439</v>
      </c>
      <c r="M548">
        <f t="shared" si="25"/>
        <v>-4.4758512821617744</v>
      </c>
      <c r="N548">
        <f t="shared" si="26"/>
        <v>7</v>
      </c>
    </row>
    <row r="549" spans="1:14" x14ac:dyDescent="0.35">
      <c r="A549" t="str">
        <f t="shared" si="24"/>
        <v>18097342400_2026</v>
      </c>
      <c r="B549">
        <v>18097342400</v>
      </c>
      <c r="C549">
        <v>2026</v>
      </c>
      <c r="D549">
        <v>-1.0263013567614589</v>
      </c>
      <c r="E549">
        <v>-1.4424052452904961</v>
      </c>
      <c r="F549">
        <v>-0.77295780748740572</v>
      </c>
      <c r="G549">
        <v>-0.26213977413040612</v>
      </c>
      <c r="H549">
        <v>-0.44765707769624929</v>
      </c>
      <c r="I549">
        <v>0.47414955429578898</v>
      </c>
      <c r="J549">
        <v>-1.1666212798320621</v>
      </c>
      <c r="M549">
        <f t="shared" si="25"/>
        <v>-4.6439329869022892</v>
      </c>
      <c r="N549">
        <f t="shared" si="26"/>
        <v>7</v>
      </c>
    </row>
    <row r="550" spans="1:14" x14ac:dyDescent="0.35">
      <c r="A550" t="str">
        <f t="shared" si="24"/>
        <v>18097342400_2027</v>
      </c>
      <c r="B550">
        <v>18097342400</v>
      </c>
      <c r="C550">
        <v>2027</v>
      </c>
      <c r="D550">
        <v>-1.004233551788263</v>
      </c>
      <c r="E550">
        <v>-1.436259358559477</v>
      </c>
      <c r="F550">
        <v>-0.78771840060158038</v>
      </c>
      <c r="G550">
        <v>-0.23319698810248959</v>
      </c>
      <c r="H550">
        <v>-0.52344216593470871</v>
      </c>
      <c r="I550">
        <v>0.39353013139079229</v>
      </c>
      <c r="J550">
        <v>-1.197662681950991</v>
      </c>
      <c r="M550">
        <f t="shared" si="25"/>
        <v>-4.7889830155467177</v>
      </c>
      <c r="N550">
        <f t="shared" si="26"/>
        <v>7</v>
      </c>
    </row>
    <row r="551" spans="1:14" x14ac:dyDescent="0.35">
      <c r="A551" t="str">
        <f t="shared" si="24"/>
        <v>18097342400_2028</v>
      </c>
      <c r="B551">
        <v>18097342400</v>
      </c>
      <c r="C551">
        <v>2028</v>
      </c>
      <c r="D551">
        <v>-0.97164013177332198</v>
      </c>
      <c r="E551">
        <v>-1.4276690160677401</v>
      </c>
      <c r="F551">
        <v>-0.79816577285744628</v>
      </c>
      <c r="G551">
        <v>-0.21097796228560459</v>
      </c>
      <c r="H551">
        <v>-0.56197648317497229</v>
      </c>
      <c r="I551">
        <v>0.31041126140619568</v>
      </c>
      <c r="J551">
        <v>-1.236364136844563</v>
      </c>
      <c r="M551">
        <f t="shared" si="25"/>
        <v>-4.8963822415974532</v>
      </c>
      <c r="N551">
        <f t="shared" si="26"/>
        <v>7</v>
      </c>
    </row>
    <row r="552" spans="1:14" x14ac:dyDescent="0.35">
      <c r="A552" t="str">
        <f t="shared" si="24"/>
        <v>18097342500_2024</v>
      </c>
      <c r="B552">
        <v>18097342500</v>
      </c>
      <c r="C552">
        <v>2024</v>
      </c>
      <c r="D552">
        <v>0.24384910082449829</v>
      </c>
      <c r="E552">
        <v>-1.3725888772938479</v>
      </c>
      <c r="F552">
        <v>-1.7596682716740499E-2</v>
      </c>
      <c r="G552">
        <v>-0.65402517591691689</v>
      </c>
      <c r="H552">
        <v>1.0762859124111861</v>
      </c>
      <c r="I552">
        <v>0.25748476786482161</v>
      </c>
      <c r="J552">
        <v>-1.1395805795560821</v>
      </c>
      <c r="M552">
        <f t="shared" si="25"/>
        <v>-1.6061715343830814</v>
      </c>
      <c r="N552">
        <f t="shared" si="26"/>
        <v>7</v>
      </c>
    </row>
    <row r="553" spans="1:14" x14ac:dyDescent="0.35">
      <c r="A553" t="str">
        <f t="shared" si="24"/>
        <v>18097342500_2025</v>
      </c>
      <c r="B553">
        <v>18097342500</v>
      </c>
      <c r="C553">
        <v>2025</v>
      </c>
      <c r="D553">
        <v>0.18283963344904239</v>
      </c>
      <c r="E553">
        <v>-1.3670601336925801</v>
      </c>
      <c r="F553">
        <v>-3.4064400575954147E-2</v>
      </c>
      <c r="G553">
        <v>-0.6511159905122782</v>
      </c>
      <c r="H553">
        <v>1.130083055344077</v>
      </c>
      <c r="I553">
        <v>0.18443251754995671</v>
      </c>
      <c r="J553">
        <v>-1.153925071011537</v>
      </c>
      <c r="M553">
        <f t="shared" si="25"/>
        <v>-1.708810389449273</v>
      </c>
      <c r="N553">
        <f t="shared" si="26"/>
        <v>7</v>
      </c>
    </row>
    <row r="554" spans="1:14" x14ac:dyDescent="0.35">
      <c r="A554" t="str">
        <f t="shared" si="24"/>
        <v>18097342500_2026</v>
      </c>
      <c r="B554">
        <v>18097342500</v>
      </c>
      <c r="C554">
        <v>2026</v>
      </c>
      <c r="D554">
        <v>0.13105384654308719</v>
      </c>
      <c r="E554">
        <v>-1.370576400575805</v>
      </c>
      <c r="F554">
        <v>-5.6280684974845917E-2</v>
      </c>
      <c r="G554">
        <v>-0.65414885880037121</v>
      </c>
      <c r="H554">
        <v>1.172016213341893</v>
      </c>
      <c r="I554">
        <v>0.1614358616336711</v>
      </c>
      <c r="J554">
        <v>-1.177436549144997</v>
      </c>
      <c r="M554">
        <f t="shared" si="25"/>
        <v>-1.7939365719773677</v>
      </c>
      <c r="N554">
        <f t="shared" si="26"/>
        <v>7</v>
      </c>
    </row>
    <row r="555" spans="1:14" x14ac:dyDescent="0.35">
      <c r="A555" t="str">
        <f t="shared" si="24"/>
        <v>18097342500_2027</v>
      </c>
      <c r="B555">
        <v>18097342500</v>
      </c>
      <c r="C555">
        <v>2027</v>
      </c>
      <c r="D555">
        <v>7.5253063652256119E-2</v>
      </c>
      <c r="E555">
        <v>-1.3654954153230401</v>
      </c>
      <c r="F555">
        <v>-8.1107402620252178E-2</v>
      </c>
      <c r="G555">
        <v>-0.66234712263891837</v>
      </c>
      <c r="H555">
        <v>1.1994325167694819</v>
      </c>
      <c r="I555">
        <v>0.122498842464192</v>
      </c>
      <c r="J555">
        <v>-1.2090090026693889</v>
      </c>
      <c r="M555">
        <f t="shared" si="25"/>
        <v>-1.9207745203656694</v>
      </c>
      <c r="N555">
        <f t="shared" si="26"/>
        <v>7</v>
      </c>
    </row>
    <row r="556" spans="1:14" x14ac:dyDescent="0.35">
      <c r="A556" t="str">
        <f t="shared" si="24"/>
        <v>18097342500_2028</v>
      </c>
      <c r="B556">
        <v>18097342500</v>
      </c>
      <c r="C556">
        <v>2028</v>
      </c>
      <c r="D556">
        <v>2.1791887611656052E-2</v>
      </c>
      <c r="E556">
        <v>-1.3583148489117629</v>
      </c>
      <c r="F556">
        <v>-9.9437893816459885E-2</v>
      </c>
      <c r="G556">
        <v>-0.66599461728950582</v>
      </c>
      <c r="H556">
        <v>1.1513900059464439</v>
      </c>
      <c r="I556">
        <v>9.0018880463416578E-2</v>
      </c>
      <c r="J556">
        <v>-1.2483090531159911</v>
      </c>
      <c r="M556">
        <f t="shared" si="25"/>
        <v>-2.1088556391122033</v>
      </c>
      <c r="N556">
        <f t="shared" si="26"/>
        <v>7</v>
      </c>
    </row>
    <row r="557" spans="1:14" x14ac:dyDescent="0.35">
      <c r="A557" t="str">
        <f t="shared" si="24"/>
        <v>18097342600_2024</v>
      </c>
      <c r="B557">
        <v>18097342600</v>
      </c>
      <c r="C557">
        <v>2024</v>
      </c>
      <c r="D557">
        <v>0.38783314547776832</v>
      </c>
      <c r="F557">
        <v>-0.49915737483477668</v>
      </c>
      <c r="G557">
        <v>-0.66087685942023977</v>
      </c>
      <c r="H557">
        <v>-1.4376051770107521</v>
      </c>
      <c r="I557">
        <v>0.27159619159488763</v>
      </c>
      <c r="J557">
        <v>-0.72555303376468128</v>
      </c>
      <c r="K557">
        <v>0.16342691857063621</v>
      </c>
      <c r="M557">
        <f t="shared" si="25"/>
        <v>-2.5003361893871574</v>
      </c>
      <c r="N557">
        <f t="shared" si="26"/>
        <v>7</v>
      </c>
    </row>
    <row r="558" spans="1:14" x14ac:dyDescent="0.35">
      <c r="A558" t="str">
        <f t="shared" si="24"/>
        <v>18097342600_2025</v>
      </c>
      <c r="B558">
        <v>18097342600</v>
      </c>
      <c r="C558">
        <v>2025</v>
      </c>
      <c r="D558">
        <v>0.38825233583494229</v>
      </c>
      <c r="F558">
        <v>-0.56037560480198645</v>
      </c>
      <c r="G558">
        <v>-0.64563610982618436</v>
      </c>
      <c r="H558">
        <v>-1.441811123607283</v>
      </c>
      <c r="I558">
        <v>0.34995708792447888</v>
      </c>
      <c r="J558">
        <v>-0.7139183237278286</v>
      </c>
      <c r="K558">
        <v>0.13707661189839371</v>
      </c>
      <c r="M558">
        <f t="shared" si="25"/>
        <v>-2.4864551263054677</v>
      </c>
      <c r="N558">
        <f t="shared" si="26"/>
        <v>7</v>
      </c>
    </row>
    <row r="559" spans="1:14" x14ac:dyDescent="0.35">
      <c r="A559" t="str">
        <f t="shared" si="24"/>
        <v>18097342600_2026</v>
      </c>
      <c r="B559">
        <v>18097342600</v>
      </c>
      <c r="C559">
        <v>2026</v>
      </c>
      <c r="D559">
        <v>0.32376812412866701</v>
      </c>
      <c r="F559">
        <v>-0.60310538948241166</v>
      </c>
      <c r="G559">
        <v>-0.6371138490368573</v>
      </c>
      <c r="H559">
        <v>-1.35276215350785</v>
      </c>
      <c r="I559">
        <v>0.41554873802923797</v>
      </c>
      <c r="J559">
        <v>-0.70836853990929571</v>
      </c>
      <c r="K559">
        <v>9.3337262634540202E-2</v>
      </c>
      <c r="M559">
        <f t="shared" si="25"/>
        <v>-2.4686958071439693</v>
      </c>
      <c r="N559">
        <f t="shared" si="26"/>
        <v>7</v>
      </c>
    </row>
    <row r="560" spans="1:14" x14ac:dyDescent="0.35">
      <c r="A560" t="str">
        <f t="shared" si="24"/>
        <v>18097342600_2027</v>
      </c>
      <c r="B560">
        <v>18097342600</v>
      </c>
      <c r="C560">
        <v>2027</v>
      </c>
      <c r="D560">
        <v>0.295304228988927</v>
      </c>
      <c r="F560">
        <v>-0.62919096894887716</v>
      </c>
      <c r="G560">
        <v>-0.6316235095906011</v>
      </c>
      <c r="H560">
        <v>-1.3077027933007339</v>
      </c>
      <c r="I560">
        <v>0.48497840181281637</v>
      </c>
      <c r="J560">
        <v>-0.7060474130806812</v>
      </c>
      <c r="K560">
        <v>5.0122220087146091E-2</v>
      </c>
      <c r="M560">
        <f t="shared" si="25"/>
        <v>-2.4441598340320039</v>
      </c>
      <c r="N560">
        <f t="shared" si="26"/>
        <v>7</v>
      </c>
    </row>
    <row r="561" spans="1:14" x14ac:dyDescent="0.35">
      <c r="A561" t="str">
        <f t="shared" si="24"/>
        <v>18097342600_2028</v>
      </c>
      <c r="B561">
        <v>18097342600</v>
      </c>
      <c r="C561">
        <v>2028</v>
      </c>
      <c r="D561">
        <v>0.23710847953291411</v>
      </c>
      <c r="F561">
        <v>-0.64956692114750958</v>
      </c>
      <c r="G561">
        <v>-0.62150223391861348</v>
      </c>
      <c r="H561">
        <v>-1.221370909386513</v>
      </c>
      <c r="I561">
        <v>0.54553220924246482</v>
      </c>
      <c r="J561">
        <v>-0.70569043839360324</v>
      </c>
      <c r="K561">
        <v>8.6157453049128894E-3</v>
      </c>
      <c r="M561">
        <f t="shared" si="25"/>
        <v>-2.4068740687659478</v>
      </c>
      <c r="N561">
        <f t="shared" si="26"/>
        <v>7</v>
      </c>
    </row>
    <row r="562" spans="1:14" x14ac:dyDescent="0.35">
      <c r="A562" t="str">
        <f t="shared" si="24"/>
        <v>18097350100_2024</v>
      </c>
      <c r="B562">
        <v>18097350100</v>
      </c>
      <c r="C562">
        <v>2024</v>
      </c>
      <c r="D562">
        <v>-0.46038293279466419</v>
      </c>
      <c r="E562">
        <v>-0.41332016261038662</v>
      </c>
      <c r="F562">
        <v>-1.0890094163505279</v>
      </c>
      <c r="G562">
        <v>-0.39890123290451668</v>
      </c>
      <c r="H562">
        <v>-0.71300669423453034</v>
      </c>
      <c r="I562">
        <v>-1.0112882351140109</v>
      </c>
      <c r="J562">
        <v>-0.73043488162322245</v>
      </c>
      <c r="K562">
        <v>-0.30243144718142029</v>
      </c>
      <c r="M562">
        <f t="shared" si="25"/>
        <v>-5.1187750028132797</v>
      </c>
      <c r="N562">
        <f t="shared" si="26"/>
        <v>8</v>
      </c>
    </row>
    <row r="563" spans="1:14" x14ac:dyDescent="0.35">
      <c r="A563" t="str">
        <f t="shared" si="24"/>
        <v>18097350100_2025</v>
      </c>
      <c r="B563">
        <v>18097350100</v>
      </c>
      <c r="C563">
        <v>2025</v>
      </c>
      <c r="D563">
        <v>-0.41035572077126858</v>
      </c>
      <c r="E563">
        <v>-0.36926660503376169</v>
      </c>
      <c r="F563">
        <v>-1.117491699021171</v>
      </c>
      <c r="G563">
        <v>-0.3531715130502468</v>
      </c>
      <c r="H563">
        <v>-0.62607733159790058</v>
      </c>
      <c r="I563">
        <v>-0.86794802389460579</v>
      </c>
      <c r="J563">
        <v>-0.77575080685259856</v>
      </c>
      <c r="K563">
        <v>-0.3026261648227021</v>
      </c>
      <c r="M563">
        <f t="shared" si="25"/>
        <v>-4.8226878650442551</v>
      </c>
      <c r="N563">
        <f t="shared" si="26"/>
        <v>8</v>
      </c>
    </row>
    <row r="564" spans="1:14" x14ac:dyDescent="0.35">
      <c r="A564" t="str">
        <f t="shared" si="24"/>
        <v>18097350100_2026</v>
      </c>
      <c r="B564">
        <v>18097350100</v>
      </c>
      <c r="C564">
        <v>2026</v>
      </c>
      <c r="D564">
        <v>-0.45764953786318952</v>
      </c>
      <c r="E564">
        <v>-0.32256456435648151</v>
      </c>
      <c r="F564">
        <v>-1.114418149775942</v>
      </c>
      <c r="G564">
        <v>-0.31545094824089248</v>
      </c>
      <c r="H564">
        <v>-0.51221550262946147</v>
      </c>
      <c r="I564">
        <v>-0.7481665289988072</v>
      </c>
      <c r="J564">
        <v>-0.80759953080489566</v>
      </c>
      <c r="K564">
        <v>-0.3129254901347196</v>
      </c>
      <c r="M564">
        <f t="shared" si="25"/>
        <v>-4.5909902528043895</v>
      </c>
      <c r="N564">
        <f t="shared" si="26"/>
        <v>8</v>
      </c>
    </row>
    <row r="565" spans="1:14" x14ac:dyDescent="0.35">
      <c r="A565" t="str">
        <f t="shared" si="24"/>
        <v>18097350100_2027</v>
      </c>
      <c r="B565">
        <v>18097350100</v>
      </c>
      <c r="C565">
        <v>2027</v>
      </c>
      <c r="D565">
        <v>-0.44483409938923291</v>
      </c>
      <c r="E565">
        <v>-0.28086139691032508</v>
      </c>
      <c r="F565">
        <v>-1.0859375719389599</v>
      </c>
      <c r="G565">
        <v>-0.27672343047074438</v>
      </c>
      <c r="H565">
        <v>-0.44077010343409623</v>
      </c>
      <c r="I565">
        <v>-0.64301348177861406</v>
      </c>
      <c r="J565">
        <v>-0.83598879733534148</v>
      </c>
      <c r="K565">
        <v>-0.31526604176078699</v>
      </c>
      <c r="M565">
        <f t="shared" si="25"/>
        <v>-4.3233949230181015</v>
      </c>
      <c r="N565">
        <f t="shared" si="26"/>
        <v>8</v>
      </c>
    </row>
    <row r="566" spans="1:14" x14ac:dyDescent="0.35">
      <c r="A566" t="str">
        <f t="shared" si="24"/>
        <v>18097350100_2028</v>
      </c>
      <c r="B566">
        <v>18097350100</v>
      </c>
      <c r="C566">
        <v>2028</v>
      </c>
      <c r="D566">
        <v>-0.45949965478015242</v>
      </c>
      <c r="E566">
        <v>-0.2365576710433909</v>
      </c>
      <c r="F566">
        <v>-1.061116773832931</v>
      </c>
      <c r="G566">
        <v>-0.24447473328423061</v>
      </c>
      <c r="H566">
        <v>-0.35549751722141282</v>
      </c>
      <c r="I566">
        <v>-0.54515823700564314</v>
      </c>
      <c r="J566">
        <v>-0.86628512551994674</v>
      </c>
      <c r="K566">
        <v>-0.312362319550194</v>
      </c>
      <c r="M566">
        <f t="shared" si="25"/>
        <v>-4.0809520322379012</v>
      </c>
      <c r="N566">
        <f t="shared" si="26"/>
        <v>8</v>
      </c>
    </row>
    <row r="567" spans="1:14" x14ac:dyDescent="0.35">
      <c r="A567" t="str">
        <f t="shared" si="24"/>
        <v>18097350300_2024</v>
      </c>
      <c r="B567">
        <v>18097350300</v>
      </c>
      <c r="C567">
        <v>2024</v>
      </c>
      <c r="D567">
        <v>0.88975812315740277</v>
      </c>
      <c r="E567">
        <v>-0.56639555633762706</v>
      </c>
      <c r="F567">
        <v>1.603837627597765</v>
      </c>
      <c r="G567">
        <v>-1.1067097222008591</v>
      </c>
      <c r="H567">
        <v>-0.96726313232320604</v>
      </c>
      <c r="I567">
        <v>-1.2121554601101161</v>
      </c>
      <c r="J567">
        <v>-0.49520589833343759</v>
      </c>
      <c r="K567">
        <v>-0.1775535505184333</v>
      </c>
      <c r="M567">
        <f t="shared" si="25"/>
        <v>-2.0316875690685112</v>
      </c>
      <c r="N567">
        <f t="shared" si="26"/>
        <v>8</v>
      </c>
    </row>
    <row r="568" spans="1:14" x14ac:dyDescent="0.35">
      <c r="A568" t="str">
        <f t="shared" si="24"/>
        <v>18097350300_2025</v>
      </c>
      <c r="B568">
        <v>18097350300</v>
      </c>
      <c r="C568">
        <v>2025</v>
      </c>
      <c r="D568">
        <v>0.94769245506513877</v>
      </c>
      <c r="E568">
        <v>-0.49445674533875611</v>
      </c>
      <c r="F568">
        <v>1.453885139156734</v>
      </c>
      <c r="G568">
        <v>-1.0243172810629539</v>
      </c>
      <c r="H568">
        <v>-0.80926917143439459</v>
      </c>
      <c r="I568">
        <v>-1.151547612417535</v>
      </c>
      <c r="J568">
        <v>-0.50522926703493287</v>
      </c>
      <c r="K568">
        <v>-0.18408326129103239</v>
      </c>
      <c r="M568">
        <f t="shared" si="25"/>
        <v>-1.7673257443577322</v>
      </c>
      <c r="N568">
        <f t="shared" si="26"/>
        <v>8</v>
      </c>
    </row>
    <row r="569" spans="1:14" x14ac:dyDescent="0.35">
      <c r="A569" t="str">
        <f t="shared" si="24"/>
        <v>18097350300_2026</v>
      </c>
      <c r="B569">
        <v>18097350300</v>
      </c>
      <c r="C569">
        <v>2026</v>
      </c>
      <c r="D569">
        <v>0.79316925330453703</v>
      </c>
      <c r="E569">
        <v>-0.44125367156665579</v>
      </c>
      <c r="F569">
        <v>1.280644141820928</v>
      </c>
      <c r="G569">
        <v>-0.96396901579532801</v>
      </c>
      <c r="H569">
        <v>-0.61222696879462746</v>
      </c>
      <c r="I569">
        <v>-1.088047335312726</v>
      </c>
      <c r="J569">
        <v>-0.5017409025884485</v>
      </c>
      <c r="K569">
        <v>-0.20500707694063661</v>
      </c>
      <c r="M569">
        <f t="shared" si="25"/>
        <v>-1.7384315758729574</v>
      </c>
      <c r="N569">
        <f t="shared" si="26"/>
        <v>8</v>
      </c>
    </row>
    <row r="570" spans="1:14" x14ac:dyDescent="0.35">
      <c r="A570" t="str">
        <f t="shared" si="24"/>
        <v>18097350300_2027</v>
      </c>
      <c r="B570">
        <v>18097350300</v>
      </c>
      <c r="C570">
        <v>2027</v>
      </c>
      <c r="D570">
        <v>0.74635266672742562</v>
      </c>
      <c r="E570">
        <v>-0.40393277217471207</v>
      </c>
      <c r="F570">
        <v>1.0967945931272669</v>
      </c>
      <c r="G570">
        <v>-0.88739633253914207</v>
      </c>
      <c r="H570">
        <v>-0.46088349128612721</v>
      </c>
      <c r="I570">
        <v>-1.0239361854813449</v>
      </c>
      <c r="J570">
        <v>-0.49335903681103549</v>
      </c>
      <c r="K570">
        <v>-0.21845181263587399</v>
      </c>
      <c r="M570">
        <f t="shared" si="25"/>
        <v>-1.6448123710735434</v>
      </c>
      <c r="N570">
        <f t="shared" si="26"/>
        <v>8</v>
      </c>
    </row>
    <row r="571" spans="1:14" x14ac:dyDescent="0.35">
      <c r="A571" t="str">
        <f t="shared" si="24"/>
        <v>18097350300_2028</v>
      </c>
      <c r="B571">
        <v>18097350300</v>
      </c>
      <c r="C571">
        <v>2028</v>
      </c>
      <c r="D571">
        <v>0.63052192093706616</v>
      </c>
      <c r="E571">
        <v>-0.37096269345173311</v>
      </c>
      <c r="F571">
        <v>0.9536123333343316</v>
      </c>
      <c r="G571">
        <v>-0.81588941473707333</v>
      </c>
      <c r="H571">
        <v>-0.30092479590250398</v>
      </c>
      <c r="I571">
        <v>-0.95741754056535699</v>
      </c>
      <c r="J571">
        <v>-0.48295819296155379</v>
      </c>
      <c r="K571">
        <v>-0.2278524280821283</v>
      </c>
      <c r="M571">
        <f t="shared" si="25"/>
        <v>-1.5718708114289517</v>
      </c>
      <c r="N571">
        <f t="shared" si="26"/>
        <v>8</v>
      </c>
    </row>
    <row r="572" spans="1:14" x14ac:dyDescent="0.35">
      <c r="A572" t="str">
        <f t="shared" si="24"/>
        <v>18097350400_2024</v>
      </c>
      <c r="B572">
        <v>18097350400</v>
      </c>
      <c r="C572">
        <v>2024</v>
      </c>
      <c r="D572">
        <v>-0.14298721777358661</v>
      </c>
      <c r="E572">
        <v>-0.21723218529657859</v>
      </c>
      <c r="F572">
        <v>-0.1086305785260772</v>
      </c>
      <c r="G572">
        <v>-0.35015189739069608</v>
      </c>
      <c r="H572">
        <v>-3.6965667932364221E-2</v>
      </c>
      <c r="I572">
        <v>-0.1465971486109362</v>
      </c>
      <c r="J572">
        <v>0.61697636313094695</v>
      </c>
      <c r="K572">
        <v>0.41835240450450289</v>
      </c>
      <c r="M572">
        <f t="shared" si="25"/>
        <v>3.2764072105211095E-2</v>
      </c>
      <c r="N572">
        <f t="shared" si="26"/>
        <v>8</v>
      </c>
    </row>
    <row r="573" spans="1:14" x14ac:dyDescent="0.35">
      <c r="A573" t="str">
        <f t="shared" si="24"/>
        <v>18097350400_2025</v>
      </c>
      <c r="B573">
        <v>18097350400</v>
      </c>
      <c r="C573">
        <v>2025</v>
      </c>
      <c r="D573">
        <v>-0.1235936619225156</v>
      </c>
      <c r="E573">
        <v>-0.22260750200447141</v>
      </c>
      <c r="F573">
        <v>-0.20201041614335649</v>
      </c>
      <c r="G573">
        <v>-0.33174342161022452</v>
      </c>
      <c r="H573">
        <v>1.7768196252015409E-2</v>
      </c>
      <c r="I573">
        <v>5.0456099774650702E-3</v>
      </c>
      <c r="J573">
        <v>0.71236453896806029</v>
      </c>
      <c r="K573">
        <v>0.39451453133589409</v>
      </c>
      <c r="M573">
        <f t="shared" si="25"/>
        <v>0.2497378748528668</v>
      </c>
      <c r="N573">
        <f t="shared" si="26"/>
        <v>8</v>
      </c>
    </row>
    <row r="574" spans="1:14" x14ac:dyDescent="0.35">
      <c r="A574" t="str">
        <f t="shared" si="24"/>
        <v>18097350400_2026</v>
      </c>
      <c r="B574">
        <v>18097350400</v>
      </c>
      <c r="C574">
        <v>2026</v>
      </c>
      <c r="D574">
        <v>-0.2087777985554061</v>
      </c>
      <c r="E574">
        <v>-0.2300903435038503</v>
      </c>
      <c r="F574">
        <v>-0.28292785314819657</v>
      </c>
      <c r="G574">
        <v>-0.31707265095233028</v>
      </c>
      <c r="H574">
        <v>9.8412289267642838E-2</v>
      </c>
      <c r="I574">
        <v>0.14263769680004801</v>
      </c>
      <c r="J574">
        <v>0.81279848690928269</v>
      </c>
      <c r="K574">
        <v>0.33181970446613829</v>
      </c>
      <c r="M574">
        <f t="shared" si="25"/>
        <v>0.34679953128332852</v>
      </c>
      <c r="N574">
        <f t="shared" si="26"/>
        <v>8</v>
      </c>
    </row>
    <row r="575" spans="1:14" x14ac:dyDescent="0.35">
      <c r="A575" t="str">
        <f t="shared" si="24"/>
        <v>18097350400_2027</v>
      </c>
      <c r="B575">
        <v>18097350400</v>
      </c>
      <c r="C575">
        <v>2027</v>
      </c>
      <c r="D575">
        <v>-0.2254316731527862</v>
      </c>
      <c r="E575">
        <v>-0.23822043144203159</v>
      </c>
      <c r="F575">
        <v>-0.34854665657111861</v>
      </c>
      <c r="G575">
        <v>-0.29911776203585833</v>
      </c>
      <c r="H575">
        <v>0.1531204192153818</v>
      </c>
      <c r="I575">
        <v>0.28154938647144512</v>
      </c>
      <c r="J575">
        <v>0.92589272041505144</v>
      </c>
      <c r="K575">
        <v>0.27040192815025299</v>
      </c>
      <c r="M575">
        <f t="shared" si="25"/>
        <v>0.51964793105033658</v>
      </c>
      <c r="N575">
        <f t="shared" si="26"/>
        <v>8</v>
      </c>
    </row>
    <row r="576" spans="1:14" x14ac:dyDescent="0.35">
      <c r="A576" t="str">
        <f t="shared" si="24"/>
        <v>18097350400_2028</v>
      </c>
      <c r="B576">
        <v>18097350400</v>
      </c>
      <c r="C576">
        <v>2028</v>
      </c>
      <c r="D576">
        <v>-0.27407070599305627</v>
      </c>
      <c r="E576">
        <v>-0.2417107599730168</v>
      </c>
      <c r="F576">
        <v>-0.39997623065424798</v>
      </c>
      <c r="G576">
        <v>-0.28541768911965731</v>
      </c>
      <c r="H576">
        <v>0.214788698832829</v>
      </c>
      <c r="I576">
        <v>0.4104002606968109</v>
      </c>
      <c r="J576">
        <v>1.056898159121435</v>
      </c>
      <c r="K576">
        <v>0.20394336503644431</v>
      </c>
      <c r="M576">
        <f t="shared" si="25"/>
        <v>0.68485509794754074</v>
      </c>
      <c r="N576">
        <f t="shared" si="26"/>
        <v>8</v>
      </c>
    </row>
    <row r="577" spans="1:14" x14ac:dyDescent="0.35">
      <c r="A577" t="str">
        <f t="shared" si="24"/>
        <v>18097350500_2024</v>
      </c>
      <c r="B577">
        <v>18097350500</v>
      </c>
      <c r="C577">
        <v>2024</v>
      </c>
      <c r="D577">
        <v>0.23734818650307621</v>
      </c>
      <c r="E577">
        <v>-1.335602052789534</v>
      </c>
      <c r="F577">
        <v>-0.40817959700210421</v>
      </c>
      <c r="G577">
        <v>-0.80706407699982097</v>
      </c>
      <c r="H577">
        <v>-1.0356520901378039</v>
      </c>
      <c r="I577">
        <v>-1.5483855488407039</v>
      </c>
      <c r="J577">
        <v>-1.7694829107230889</v>
      </c>
      <c r="K577">
        <v>-0.73849621489314898</v>
      </c>
      <c r="M577">
        <f t="shared" si="25"/>
        <v>-7.4055143048831287</v>
      </c>
      <c r="N577">
        <f t="shared" si="26"/>
        <v>8</v>
      </c>
    </row>
    <row r="578" spans="1:14" x14ac:dyDescent="0.35">
      <c r="A578" t="str">
        <f t="shared" si="24"/>
        <v>18097350500_2025</v>
      </c>
      <c r="B578">
        <v>18097350500</v>
      </c>
      <c r="C578">
        <v>2025</v>
      </c>
      <c r="D578">
        <v>0.14442129367872941</v>
      </c>
      <c r="E578">
        <v>-1.339419136704078</v>
      </c>
      <c r="F578">
        <v>-0.44966963932596432</v>
      </c>
      <c r="G578">
        <v>-0.77936997609681324</v>
      </c>
      <c r="H578">
        <v>-0.94119582396138957</v>
      </c>
      <c r="I578">
        <v>-1.342167817719363</v>
      </c>
      <c r="J578">
        <v>-1.746118506898743</v>
      </c>
      <c r="K578">
        <v>-0.74542578591381858</v>
      </c>
      <c r="M578">
        <f t="shared" si="25"/>
        <v>-7.1989453929414395</v>
      </c>
      <c r="N578">
        <f t="shared" si="26"/>
        <v>8</v>
      </c>
    </row>
    <row r="579" spans="1:14" x14ac:dyDescent="0.35">
      <c r="A579" t="str">
        <f t="shared" ref="A579:A642" si="27">TEXT(B579,0)&amp;"_"&amp;TEXT(C579,0)</f>
        <v>18097350500_2026</v>
      </c>
      <c r="B579">
        <v>18097350500</v>
      </c>
      <c r="C579">
        <v>2026</v>
      </c>
      <c r="D579">
        <v>3.2245942757239229E-2</v>
      </c>
      <c r="E579">
        <v>-1.344225927703339</v>
      </c>
      <c r="F579">
        <v>-0.48450937676565609</v>
      </c>
      <c r="G579">
        <v>-0.74465764400162582</v>
      </c>
      <c r="H579">
        <v>-0.79362320033910583</v>
      </c>
      <c r="I579">
        <v>-1.2739451095448719</v>
      </c>
      <c r="J579">
        <v>-1.716341805024131</v>
      </c>
      <c r="K579">
        <v>-0.7339297936516973</v>
      </c>
      <c r="M579">
        <f t="shared" ref="M579:M642" si="28">SUM(D579:K579)</f>
        <v>-7.0589869142731878</v>
      </c>
      <c r="N579">
        <f t="shared" ref="N579:N642" si="29">IF(D579=0,0,1)+IF(E579=0,0,1)+IF(F579=0,0,1)+IF(G579=0,0,1)+IF(H579=0,0,1)+IF(I579=0,0,1)++IF(J579=0,0,1)++IF(K579=0,0,1)</f>
        <v>8</v>
      </c>
    </row>
    <row r="580" spans="1:14" x14ac:dyDescent="0.35">
      <c r="A580" t="str">
        <f t="shared" si="27"/>
        <v>18097350500_2027</v>
      </c>
      <c r="B580">
        <v>18097350500</v>
      </c>
      <c r="C580">
        <v>2027</v>
      </c>
      <c r="D580">
        <v>-6.5640219689710982E-2</v>
      </c>
      <c r="E580">
        <v>-1.3427363138522681</v>
      </c>
      <c r="F580">
        <v>-0.50785790478414838</v>
      </c>
      <c r="G580">
        <v>-0.71280845092192069</v>
      </c>
      <c r="H580">
        <v>-0.68770940475923881</v>
      </c>
      <c r="I580">
        <v>-1.0884280819934711</v>
      </c>
      <c r="J580">
        <v>-1.672624124253447</v>
      </c>
      <c r="K580">
        <v>-0.70354960275082035</v>
      </c>
      <c r="M580">
        <f t="shared" si="28"/>
        <v>-6.7813541030050253</v>
      </c>
      <c r="N580">
        <f t="shared" si="29"/>
        <v>8</v>
      </c>
    </row>
    <row r="581" spans="1:14" x14ac:dyDescent="0.35">
      <c r="A581" t="str">
        <f t="shared" si="27"/>
        <v>18097350500_2028</v>
      </c>
      <c r="B581">
        <v>18097350500</v>
      </c>
      <c r="C581">
        <v>2028</v>
      </c>
      <c r="D581">
        <v>-0.14986873114130711</v>
      </c>
      <c r="E581">
        <v>-1.3384961610074411</v>
      </c>
      <c r="F581">
        <v>-0.52679785982575844</v>
      </c>
      <c r="G581">
        <v>-0.67557373444127911</v>
      </c>
      <c r="H581">
        <v>-0.56277016813973713</v>
      </c>
      <c r="I581">
        <v>-1.0021721335873599</v>
      </c>
      <c r="J581">
        <v>-1.6070563157234761</v>
      </c>
      <c r="K581">
        <v>-0.65727119630691011</v>
      </c>
      <c r="M581">
        <f t="shared" si="28"/>
        <v>-6.5200063001732689</v>
      </c>
      <c r="N581">
        <f t="shared" si="29"/>
        <v>8</v>
      </c>
    </row>
    <row r="582" spans="1:14" x14ac:dyDescent="0.35">
      <c r="A582" t="str">
        <f t="shared" si="27"/>
        <v>18097350600_2024</v>
      </c>
      <c r="B582">
        <v>18097350600</v>
      </c>
      <c r="C582">
        <v>2024</v>
      </c>
      <c r="D582">
        <v>1.854887398771794</v>
      </c>
      <c r="E582">
        <v>-0.91057585025658183</v>
      </c>
      <c r="F582">
        <v>0.74775269175582659</v>
      </c>
      <c r="G582">
        <v>-1.1909735031686921</v>
      </c>
      <c r="H582">
        <v>0.22074488866334119</v>
      </c>
      <c r="I582">
        <v>-2.047565135043079</v>
      </c>
      <c r="J582">
        <v>-1.7694829107230889</v>
      </c>
      <c r="K582">
        <v>-0.73849621489314898</v>
      </c>
      <c r="M582">
        <f t="shared" si="28"/>
        <v>-3.8337086348936289</v>
      </c>
      <c r="N582">
        <f t="shared" si="29"/>
        <v>8</v>
      </c>
    </row>
    <row r="583" spans="1:14" x14ac:dyDescent="0.35">
      <c r="A583" t="str">
        <f t="shared" si="27"/>
        <v>18097350600_2025</v>
      </c>
      <c r="B583">
        <v>18097350600</v>
      </c>
      <c r="C583">
        <v>2025</v>
      </c>
      <c r="D583">
        <v>1.664425168685562</v>
      </c>
      <c r="E583">
        <v>-0.83290584179610927</v>
      </c>
      <c r="F583">
        <v>0.74696554508301916</v>
      </c>
      <c r="G583">
        <v>-1.261741368777088</v>
      </c>
      <c r="H583">
        <v>0.2301601521176444</v>
      </c>
      <c r="I583">
        <v>-2.0045237509219982</v>
      </c>
      <c r="J583">
        <v>-1.746118506898743</v>
      </c>
      <c r="K583">
        <v>-0.74542578591381858</v>
      </c>
      <c r="M583">
        <f t="shared" si="28"/>
        <v>-3.9491643884215311</v>
      </c>
      <c r="N583">
        <f t="shared" si="29"/>
        <v>8</v>
      </c>
    </row>
    <row r="584" spans="1:14" x14ac:dyDescent="0.35">
      <c r="A584" t="str">
        <f t="shared" si="27"/>
        <v>18097350600_2026</v>
      </c>
      <c r="B584">
        <v>18097350600</v>
      </c>
      <c r="C584">
        <v>2026</v>
      </c>
      <c r="D584">
        <v>1.417028242242772</v>
      </c>
      <c r="E584">
        <v>-0.77060089717888802</v>
      </c>
      <c r="F584">
        <v>0.72210262863176278</v>
      </c>
      <c r="G584">
        <v>-1.2212803912484771</v>
      </c>
      <c r="H584">
        <v>0.25992311028297038</v>
      </c>
      <c r="I584">
        <v>-1.9427137064026261</v>
      </c>
      <c r="J584">
        <v>-1.716341805024131</v>
      </c>
      <c r="K584">
        <v>-0.7339297936516973</v>
      </c>
      <c r="M584">
        <f t="shared" si="28"/>
        <v>-3.9858126123483144</v>
      </c>
      <c r="N584">
        <f t="shared" si="29"/>
        <v>8</v>
      </c>
    </row>
    <row r="585" spans="1:14" x14ac:dyDescent="0.35">
      <c r="A585" t="str">
        <f t="shared" si="27"/>
        <v>18097350600_2027</v>
      </c>
      <c r="B585">
        <v>18097350600</v>
      </c>
      <c r="C585">
        <v>2027</v>
      </c>
      <c r="D585">
        <v>1.187392807180121</v>
      </c>
      <c r="E585">
        <v>-0.71767334276474004</v>
      </c>
      <c r="F585">
        <v>0.67777188305018699</v>
      </c>
      <c r="G585">
        <v>-1.2304256727041269</v>
      </c>
      <c r="H585">
        <v>0.26984261781625662</v>
      </c>
      <c r="I585">
        <v>-1.8854927319218411</v>
      </c>
      <c r="J585">
        <v>-1.672624124253447</v>
      </c>
      <c r="K585">
        <v>-0.70354960275082035</v>
      </c>
      <c r="M585">
        <f t="shared" si="28"/>
        <v>-4.0747581663484107</v>
      </c>
      <c r="N585">
        <f t="shared" si="29"/>
        <v>8</v>
      </c>
    </row>
    <row r="586" spans="1:14" x14ac:dyDescent="0.35">
      <c r="A586" t="str">
        <f t="shared" si="27"/>
        <v>18097350600_2028</v>
      </c>
      <c r="B586">
        <v>18097350600</v>
      </c>
      <c r="C586">
        <v>2028</v>
      </c>
      <c r="D586">
        <v>0.96991718232692481</v>
      </c>
      <c r="E586">
        <v>-0.6676782470065874</v>
      </c>
      <c r="F586">
        <v>0.64983603155406222</v>
      </c>
      <c r="G586">
        <v>-1.194082803499718</v>
      </c>
      <c r="H586">
        <v>0.28931553242847818</v>
      </c>
      <c r="I586">
        <v>-1.817593402712969</v>
      </c>
      <c r="J586">
        <v>-1.6070563157234761</v>
      </c>
      <c r="K586">
        <v>-0.65727119630691011</v>
      </c>
      <c r="M586">
        <f t="shared" si="28"/>
        <v>-4.0346132189401951</v>
      </c>
      <c r="N586">
        <f t="shared" si="29"/>
        <v>8</v>
      </c>
    </row>
    <row r="587" spans="1:14" x14ac:dyDescent="0.35">
      <c r="A587" t="str">
        <f t="shared" si="27"/>
        <v>18097350700_2024</v>
      </c>
      <c r="B587">
        <v>18097350700</v>
      </c>
      <c r="C587">
        <v>2024</v>
      </c>
      <c r="D587">
        <v>-0.43010632146610522</v>
      </c>
      <c r="E587">
        <v>-1.388741653213112</v>
      </c>
      <c r="F587">
        <v>0.83669293873334227</v>
      </c>
      <c r="G587">
        <v>-1.4832165993842259</v>
      </c>
      <c r="H587">
        <v>3.4810313911710869E-2</v>
      </c>
      <c r="I587">
        <v>-1.8423527464282889</v>
      </c>
      <c r="J587">
        <v>-1.7694829107230889</v>
      </c>
      <c r="K587">
        <v>-0.73849621489314898</v>
      </c>
      <c r="M587">
        <f t="shared" si="28"/>
        <v>-6.7808931934629166</v>
      </c>
      <c r="N587">
        <f t="shared" si="29"/>
        <v>8</v>
      </c>
    </row>
    <row r="588" spans="1:14" x14ac:dyDescent="0.35">
      <c r="A588" t="str">
        <f t="shared" si="27"/>
        <v>18097350700_2025</v>
      </c>
      <c r="B588">
        <v>18097350700</v>
      </c>
      <c r="C588">
        <v>2025</v>
      </c>
      <c r="D588">
        <v>-0.48278656330299552</v>
      </c>
      <c r="E588">
        <v>-1.3854910022675759</v>
      </c>
      <c r="F588">
        <v>0.67101339943335403</v>
      </c>
      <c r="G588">
        <v>-1.510231775456274</v>
      </c>
      <c r="H588">
        <v>0.187339006394042</v>
      </c>
      <c r="I588">
        <v>-1.758286355674717</v>
      </c>
      <c r="J588">
        <v>-1.746118506898743</v>
      </c>
      <c r="K588">
        <v>-0.74542578591381858</v>
      </c>
      <c r="M588">
        <f t="shared" si="28"/>
        <v>-6.7699875836867278</v>
      </c>
      <c r="N588">
        <f t="shared" si="29"/>
        <v>8</v>
      </c>
    </row>
    <row r="589" spans="1:14" x14ac:dyDescent="0.35">
      <c r="A589" t="str">
        <f t="shared" si="27"/>
        <v>18097350700_2026</v>
      </c>
      <c r="B589">
        <v>18097350700</v>
      </c>
      <c r="C589">
        <v>2026</v>
      </c>
      <c r="D589">
        <v>-0.53916470966377128</v>
      </c>
      <c r="E589">
        <v>-1.3864480531020531</v>
      </c>
      <c r="F589">
        <v>0.54202024217526634</v>
      </c>
      <c r="G589">
        <v>-1.4795884346032231</v>
      </c>
      <c r="H589">
        <v>0.34683044183981432</v>
      </c>
      <c r="I589">
        <v>-1.6589956481903141</v>
      </c>
      <c r="J589">
        <v>-1.716341805024131</v>
      </c>
      <c r="K589">
        <v>-0.7339297936516973</v>
      </c>
      <c r="M589">
        <f t="shared" si="28"/>
        <v>-6.6256177602201083</v>
      </c>
      <c r="N589">
        <f t="shared" si="29"/>
        <v>8</v>
      </c>
    </row>
    <row r="590" spans="1:14" x14ac:dyDescent="0.35">
      <c r="A590" t="str">
        <f t="shared" si="27"/>
        <v>18097350700_2027</v>
      </c>
      <c r="B590">
        <v>18097350700</v>
      </c>
      <c r="C590">
        <v>2027</v>
      </c>
      <c r="D590">
        <v>-0.58268634934648667</v>
      </c>
      <c r="E590">
        <v>-1.378407085147342</v>
      </c>
      <c r="F590">
        <v>0.43292748160489319</v>
      </c>
      <c r="G590">
        <v>-1.473150252063895</v>
      </c>
      <c r="H590">
        <v>0.47231927727997342</v>
      </c>
      <c r="I590">
        <v>-1.5649311536645429</v>
      </c>
      <c r="J590">
        <v>-1.672624124253447</v>
      </c>
      <c r="K590">
        <v>-0.70354960275082035</v>
      </c>
      <c r="M590">
        <f t="shared" si="28"/>
        <v>-6.4701018083416688</v>
      </c>
      <c r="N590">
        <f t="shared" si="29"/>
        <v>8</v>
      </c>
    </row>
    <row r="591" spans="1:14" x14ac:dyDescent="0.35">
      <c r="A591" t="str">
        <f t="shared" si="27"/>
        <v>18097350700_2028</v>
      </c>
      <c r="B591">
        <v>18097350700</v>
      </c>
      <c r="C591">
        <v>2028</v>
      </c>
      <c r="D591">
        <v>-0.61193237198715411</v>
      </c>
      <c r="E591">
        <v>-1.3697309973965921</v>
      </c>
      <c r="F591">
        <v>0.357972808230272</v>
      </c>
      <c r="G591">
        <v>-1.426132552878709</v>
      </c>
      <c r="H591">
        <v>0.58899293800254249</v>
      </c>
      <c r="I591">
        <v>-1.4639431583155791</v>
      </c>
      <c r="J591">
        <v>-1.6070563157234761</v>
      </c>
      <c r="K591">
        <v>-0.65727119630691011</v>
      </c>
      <c r="M591">
        <f t="shared" si="28"/>
        <v>-6.1891008463756059</v>
      </c>
      <c r="N591">
        <f t="shared" si="29"/>
        <v>8</v>
      </c>
    </row>
    <row r="592" spans="1:14" x14ac:dyDescent="0.35">
      <c r="A592" t="str">
        <f t="shared" si="27"/>
        <v>18097350800_2024</v>
      </c>
      <c r="B592">
        <v>18097350800</v>
      </c>
      <c r="C592">
        <v>2024</v>
      </c>
      <c r="D592">
        <v>3.8475358318363941E-2</v>
      </c>
      <c r="E592">
        <v>-1.171170964368405</v>
      </c>
      <c r="F592">
        <v>1.611674708235197</v>
      </c>
      <c r="G592">
        <v>-1.444329031360581</v>
      </c>
      <c r="H592">
        <v>-1.5475675963557201</v>
      </c>
      <c r="I592">
        <v>-1.8166547606220189</v>
      </c>
      <c r="J592">
        <v>-1.2351612264902001</v>
      </c>
      <c r="K592">
        <v>-0.2561412020014972</v>
      </c>
      <c r="M592">
        <f t="shared" si="28"/>
        <v>-5.8208747146448614</v>
      </c>
      <c r="N592">
        <f t="shared" si="29"/>
        <v>8</v>
      </c>
    </row>
    <row r="593" spans="1:14" x14ac:dyDescent="0.35">
      <c r="A593" t="str">
        <f t="shared" si="27"/>
        <v>18097350800_2025</v>
      </c>
      <c r="B593">
        <v>18097350800</v>
      </c>
      <c r="C593">
        <v>2025</v>
      </c>
      <c r="D593">
        <v>-3.1638247983771309E-2</v>
      </c>
      <c r="E593">
        <v>-1.143389527995653</v>
      </c>
      <c r="F593">
        <v>1.781261682590676</v>
      </c>
      <c r="G593">
        <v>-1.4460465845310859</v>
      </c>
      <c r="H593">
        <v>-1.593142072858216</v>
      </c>
      <c r="I593">
        <v>-1.7423467954495919</v>
      </c>
      <c r="J593">
        <v>-1.2063214641212641</v>
      </c>
      <c r="K593">
        <v>0.12983224549153191</v>
      </c>
      <c r="M593">
        <f t="shared" si="28"/>
        <v>-5.2517907648573745</v>
      </c>
      <c r="N593">
        <f t="shared" si="29"/>
        <v>8</v>
      </c>
    </row>
    <row r="594" spans="1:14" x14ac:dyDescent="0.35">
      <c r="A594" t="str">
        <f t="shared" si="27"/>
        <v>18097350800_2026</v>
      </c>
      <c r="B594">
        <v>18097350800</v>
      </c>
      <c r="C594">
        <v>2026</v>
      </c>
      <c r="D594">
        <v>-0.12780151634686271</v>
      </c>
      <c r="E594">
        <v>-1.1165075347516931</v>
      </c>
      <c r="F594">
        <v>1.8374526697893669</v>
      </c>
      <c r="G594">
        <v>-1.398540981954401</v>
      </c>
      <c r="H594">
        <v>-1.5641968493533669</v>
      </c>
      <c r="I594">
        <v>-1.652433210736691</v>
      </c>
      <c r="J594">
        <v>-1.176224380213218</v>
      </c>
      <c r="K594">
        <v>0.60897516355589421</v>
      </c>
      <c r="M594">
        <f t="shared" si="28"/>
        <v>-4.5892766400109712</v>
      </c>
      <c r="N594">
        <f t="shared" si="29"/>
        <v>8</v>
      </c>
    </row>
    <row r="595" spans="1:14" x14ac:dyDescent="0.35">
      <c r="A595" t="str">
        <f t="shared" si="27"/>
        <v>18097350800_2027</v>
      </c>
      <c r="B595">
        <v>18097350800</v>
      </c>
      <c r="C595">
        <v>2027</v>
      </c>
      <c r="D595">
        <v>-0.19957023643525659</v>
      </c>
      <c r="E595">
        <v>-1.0867047331823849</v>
      </c>
      <c r="F595">
        <v>1.8090723953181751</v>
      </c>
      <c r="G595">
        <v>-1.3690519854444829</v>
      </c>
      <c r="H595">
        <v>-1.571959722639851</v>
      </c>
      <c r="I595">
        <v>-1.5667438275957</v>
      </c>
      <c r="J595">
        <v>-1.1401210070975309</v>
      </c>
      <c r="K595">
        <v>1.1469747805676329</v>
      </c>
      <c r="M595">
        <f t="shared" si="28"/>
        <v>-3.9781043365093982</v>
      </c>
      <c r="N595">
        <f t="shared" si="29"/>
        <v>8</v>
      </c>
    </row>
    <row r="596" spans="1:14" x14ac:dyDescent="0.35">
      <c r="A596" t="str">
        <f t="shared" si="27"/>
        <v>18097350800_2028</v>
      </c>
      <c r="B596">
        <v>18097350800</v>
      </c>
      <c r="C596">
        <v>2028</v>
      </c>
      <c r="D596">
        <v>-0.26869910464799879</v>
      </c>
      <c r="E596">
        <v>-1.055156977177659</v>
      </c>
      <c r="F596">
        <v>1.787977202275268</v>
      </c>
      <c r="G596">
        <v>-1.3135446566115101</v>
      </c>
      <c r="H596">
        <v>-1.5287040679523149</v>
      </c>
      <c r="I596">
        <v>-1.473987806400592</v>
      </c>
      <c r="J596">
        <v>-1.0934550749189491</v>
      </c>
      <c r="K596">
        <v>1.673516678263324</v>
      </c>
      <c r="M596">
        <f t="shared" si="28"/>
        <v>-3.2720538071704315</v>
      </c>
      <c r="N596">
        <f t="shared" si="29"/>
        <v>8</v>
      </c>
    </row>
    <row r="597" spans="1:14" x14ac:dyDescent="0.35">
      <c r="A597" t="str">
        <f t="shared" si="27"/>
        <v>18097350900_2024</v>
      </c>
      <c r="B597">
        <v>18097350900</v>
      </c>
      <c r="C597">
        <v>2024</v>
      </c>
      <c r="D597">
        <v>-0.71552506468933685</v>
      </c>
      <c r="E597">
        <v>1.636184538705447</v>
      </c>
      <c r="F597">
        <v>0.1051876943515153</v>
      </c>
      <c r="G597">
        <v>1.072242477795015</v>
      </c>
      <c r="H597">
        <v>-0.18269222615562339</v>
      </c>
      <c r="I597">
        <v>-0.15761980928282721</v>
      </c>
      <c r="J597">
        <v>0.61697636311906945</v>
      </c>
      <c r="K597">
        <v>0.41835240450450289</v>
      </c>
      <c r="M597">
        <f t="shared" si="28"/>
        <v>2.7931063783477623</v>
      </c>
      <c r="N597">
        <f t="shared" si="29"/>
        <v>8</v>
      </c>
    </row>
    <row r="598" spans="1:14" x14ac:dyDescent="0.35">
      <c r="A598" t="str">
        <f t="shared" si="27"/>
        <v>18097350900_2025</v>
      </c>
      <c r="B598">
        <v>18097350900</v>
      </c>
      <c r="C598">
        <v>2025</v>
      </c>
      <c r="D598">
        <v>-0.69282155233806442</v>
      </c>
      <c r="E598">
        <v>1.8117536501868481</v>
      </c>
      <c r="F598">
        <v>4.4507987356371452E-2</v>
      </c>
      <c r="G598">
        <v>1.480716575464591</v>
      </c>
      <c r="H598">
        <v>0.44464103739569177</v>
      </c>
      <c r="I598">
        <v>5.2007040509087282E-4</v>
      </c>
      <c r="J598">
        <v>0.71236453895385687</v>
      </c>
      <c r="K598">
        <v>0.39451453133589409</v>
      </c>
      <c r="M598">
        <f t="shared" si="28"/>
        <v>4.1961968387602804</v>
      </c>
      <c r="N598">
        <f t="shared" si="29"/>
        <v>8</v>
      </c>
    </row>
    <row r="599" spans="1:14" x14ac:dyDescent="0.35">
      <c r="A599" t="str">
        <f t="shared" si="27"/>
        <v>18097350900_2026</v>
      </c>
      <c r="B599">
        <v>18097350900</v>
      </c>
      <c r="C599">
        <v>2026</v>
      </c>
      <c r="D599">
        <v>-0.72846587598812984</v>
      </c>
      <c r="E599">
        <v>2.0001858513555648</v>
      </c>
      <c r="F599">
        <v>-5.13218491915298E-3</v>
      </c>
      <c r="G599">
        <v>1.7901866391853209</v>
      </c>
      <c r="H599">
        <v>0.5173571355259583</v>
      </c>
      <c r="I599">
        <v>0.17402742104314289</v>
      </c>
      <c r="J599">
        <v>0.81279848689249456</v>
      </c>
      <c r="K599">
        <v>0.33181970446613829</v>
      </c>
      <c r="M599">
        <f t="shared" si="28"/>
        <v>4.8927771775613369</v>
      </c>
      <c r="N599">
        <f t="shared" si="29"/>
        <v>8</v>
      </c>
    </row>
    <row r="600" spans="1:14" x14ac:dyDescent="0.35">
      <c r="A600" t="str">
        <f t="shared" si="27"/>
        <v>18097350900_2027</v>
      </c>
      <c r="B600">
        <v>18097350900</v>
      </c>
      <c r="C600">
        <v>2027</v>
      </c>
      <c r="D600">
        <v>-0.71603451092785408</v>
      </c>
      <c r="E600">
        <v>2.1554840445320962</v>
      </c>
      <c r="F600">
        <v>-5.8010549916425742E-2</v>
      </c>
      <c r="G600">
        <v>2.097662246237443</v>
      </c>
      <c r="H600">
        <v>1.0036706031466569</v>
      </c>
      <c r="I600">
        <v>0.33272442112129957</v>
      </c>
      <c r="J600">
        <v>0.92589272039518455</v>
      </c>
      <c r="K600">
        <v>0.27040192815025299</v>
      </c>
      <c r="M600">
        <f t="shared" si="28"/>
        <v>6.0117909027386531</v>
      </c>
      <c r="N600">
        <f t="shared" si="29"/>
        <v>8</v>
      </c>
    </row>
    <row r="601" spans="1:14" x14ac:dyDescent="0.35">
      <c r="A601" t="str">
        <f t="shared" si="27"/>
        <v>18097350900_2028</v>
      </c>
      <c r="B601">
        <v>18097350900</v>
      </c>
      <c r="C601">
        <v>2028</v>
      </c>
      <c r="D601">
        <v>-0.71899716867975527</v>
      </c>
      <c r="E601">
        <v>2.3118692589224881</v>
      </c>
      <c r="F601">
        <v>-9.825474026494492E-2</v>
      </c>
      <c r="G601">
        <v>2.316856489007852</v>
      </c>
      <c r="H601">
        <v>1.058536527895233</v>
      </c>
      <c r="I601">
        <v>0.48813555221171051</v>
      </c>
      <c r="J601">
        <v>1.056898159097857</v>
      </c>
      <c r="K601">
        <v>0.20394336503644431</v>
      </c>
      <c r="M601">
        <f t="shared" si="28"/>
        <v>6.6189874432268851</v>
      </c>
      <c r="N601">
        <f t="shared" si="29"/>
        <v>8</v>
      </c>
    </row>
    <row r="602" spans="1:14" x14ac:dyDescent="0.35">
      <c r="A602" t="str">
        <f t="shared" si="27"/>
        <v>18097351000_2024</v>
      </c>
      <c r="B602">
        <v>18097351000</v>
      </c>
      <c r="C602">
        <v>2024</v>
      </c>
      <c r="D602">
        <v>0.67459701643928027</v>
      </c>
      <c r="E602">
        <v>0.35702840140313341</v>
      </c>
      <c r="F602">
        <v>-0.44587589378455889</v>
      </c>
      <c r="G602">
        <v>-1.075012870969547</v>
      </c>
      <c r="H602">
        <v>-2.993282961120888</v>
      </c>
      <c r="I602">
        <v>-0.1154082334704228</v>
      </c>
      <c r="J602">
        <v>-0.38276364793856138</v>
      </c>
      <c r="K602">
        <v>-0.119516113018606</v>
      </c>
      <c r="M602">
        <f t="shared" si="28"/>
        <v>-4.1002343024601702</v>
      </c>
      <c r="N602">
        <f t="shared" si="29"/>
        <v>8</v>
      </c>
    </row>
    <row r="603" spans="1:14" x14ac:dyDescent="0.35">
      <c r="A603" t="str">
        <f t="shared" si="27"/>
        <v>18097351000_2025</v>
      </c>
      <c r="B603">
        <v>18097351000</v>
      </c>
      <c r="C603">
        <v>2025</v>
      </c>
      <c r="D603">
        <v>0.7251840870849956</v>
      </c>
      <c r="E603">
        <v>0.37676098421194709</v>
      </c>
      <c r="F603">
        <v>-0.54830820834957972</v>
      </c>
      <c r="G603">
        <v>-0.99216426086484244</v>
      </c>
      <c r="H603">
        <v>-3.0182230249244579</v>
      </c>
      <c r="I603">
        <v>2.7301378636834898E-3</v>
      </c>
      <c r="J603">
        <v>-0.37569885693913418</v>
      </c>
      <c r="K603">
        <v>-0.1289746448453315</v>
      </c>
      <c r="M603">
        <f t="shared" si="28"/>
        <v>-3.9586937867627192</v>
      </c>
      <c r="N603">
        <f t="shared" si="29"/>
        <v>8</v>
      </c>
    </row>
    <row r="604" spans="1:14" x14ac:dyDescent="0.35">
      <c r="A604" t="str">
        <f t="shared" si="27"/>
        <v>18097351000_2026</v>
      </c>
      <c r="B604">
        <v>18097351000</v>
      </c>
      <c r="C604">
        <v>2026</v>
      </c>
      <c r="D604">
        <v>0.58665331337848081</v>
      </c>
      <c r="E604">
        <v>0.46497051164394437</v>
      </c>
      <c r="F604">
        <v>-0.62345453197810796</v>
      </c>
      <c r="G604">
        <v>-1.022663893690519</v>
      </c>
      <c r="H604">
        <v>-2.913618209404385</v>
      </c>
      <c r="I604">
        <v>0.1228020013467854</v>
      </c>
      <c r="J604">
        <v>-0.35634065720174352</v>
      </c>
      <c r="K604">
        <v>-0.15479798918606011</v>
      </c>
      <c r="M604">
        <f t="shared" si="28"/>
        <v>-3.8964494550916049</v>
      </c>
      <c r="N604">
        <f t="shared" si="29"/>
        <v>8</v>
      </c>
    </row>
    <row r="605" spans="1:14" x14ac:dyDescent="0.35">
      <c r="A605" t="str">
        <f t="shared" si="27"/>
        <v>18097351000_2027</v>
      </c>
      <c r="B605">
        <v>18097351000</v>
      </c>
      <c r="C605">
        <v>2027</v>
      </c>
      <c r="D605">
        <v>0.54705389961803097</v>
      </c>
      <c r="E605">
        <v>0.50216430149171976</v>
      </c>
      <c r="F605">
        <v>-0.67156531037535083</v>
      </c>
      <c r="G605">
        <v>-0.95228532308752878</v>
      </c>
      <c r="H605">
        <v>-2.8611840111779179</v>
      </c>
      <c r="I605">
        <v>0.24655160818596569</v>
      </c>
      <c r="J605">
        <v>-0.33170404772037532</v>
      </c>
      <c r="K605">
        <v>-0.17335029241730679</v>
      </c>
      <c r="M605">
        <f t="shared" si="28"/>
        <v>-3.6943191754827631</v>
      </c>
      <c r="N605">
        <f t="shared" si="29"/>
        <v>8</v>
      </c>
    </row>
    <row r="606" spans="1:14" x14ac:dyDescent="0.35">
      <c r="A606" t="str">
        <f t="shared" si="27"/>
        <v>18097351000_2028</v>
      </c>
      <c r="B606">
        <v>18097351000</v>
      </c>
      <c r="C606">
        <v>2028</v>
      </c>
      <c r="D606">
        <v>0.44603363433567061</v>
      </c>
      <c r="E606">
        <v>0.56646713888687128</v>
      </c>
      <c r="F606">
        <v>-0.70697844987652292</v>
      </c>
      <c r="G606">
        <v>-0.95411225569895664</v>
      </c>
      <c r="H606">
        <v>-2.7356024688317242</v>
      </c>
      <c r="I606">
        <v>0.36196554786748703</v>
      </c>
      <c r="J606">
        <v>-0.30316360497028882</v>
      </c>
      <c r="K606">
        <v>-0.18841474185803961</v>
      </c>
      <c r="M606">
        <f t="shared" si="28"/>
        <v>-3.5138052001455033</v>
      </c>
      <c r="N606">
        <f t="shared" si="29"/>
        <v>8</v>
      </c>
    </row>
    <row r="607" spans="1:14" x14ac:dyDescent="0.35">
      <c r="A607" t="str">
        <f t="shared" si="27"/>
        <v>18097351200_2024</v>
      </c>
      <c r="B607">
        <v>18097351200</v>
      </c>
      <c r="C607">
        <v>2024</v>
      </c>
      <c r="D607">
        <v>1.7098755351302251</v>
      </c>
      <c r="E607">
        <v>-1.065783514358021</v>
      </c>
      <c r="F607">
        <v>-0.2219102211021601</v>
      </c>
      <c r="G607">
        <v>-0.97975404271412925</v>
      </c>
      <c r="H607">
        <v>-8.347754797822167E-2</v>
      </c>
      <c r="I607">
        <v>-1.7570802588421071</v>
      </c>
      <c r="J607">
        <v>-0.73043488162322245</v>
      </c>
      <c r="K607">
        <v>-0.30243144718142029</v>
      </c>
      <c r="M607">
        <f t="shared" si="28"/>
        <v>-3.4309963786690565</v>
      </c>
      <c r="N607">
        <f t="shared" si="29"/>
        <v>8</v>
      </c>
    </row>
    <row r="608" spans="1:14" x14ac:dyDescent="0.35">
      <c r="A608" t="str">
        <f t="shared" si="27"/>
        <v>18097351200_2025</v>
      </c>
      <c r="B608">
        <v>18097351200</v>
      </c>
      <c r="C608">
        <v>2025</v>
      </c>
      <c r="D608">
        <v>1.794626187929764</v>
      </c>
      <c r="E608">
        <v>-1.1361600617126471</v>
      </c>
      <c r="F608">
        <v>-0.36796864084133152</v>
      </c>
      <c r="G608">
        <v>-0.94187666499067924</v>
      </c>
      <c r="H608">
        <v>0.30167701828831228</v>
      </c>
      <c r="I608">
        <v>-1.658576148393953</v>
      </c>
      <c r="J608">
        <v>-0.77575080685259856</v>
      </c>
      <c r="K608">
        <v>-0.3026261648227021</v>
      </c>
      <c r="M608">
        <f t="shared" si="28"/>
        <v>-3.086655281395835</v>
      </c>
      <c r="N608">
        <f t="shared" si="29"/>
        <v>8</v>
      </c>
    </row>
    <row r="609" spans="1:14" x14ac:dyDescent="0.35">
      <c r="A609" t="str">
        <f t="shared" si="27"/>
        <v>18097351200_2026</v>
      </c>
      <c r="B609">
        <v>18097351200</v>
      </c>
      <c r="C609">
        <v>2026</v>
      </c>
      <c r="D609">
        <v>1.5766626236128169</v>
      </c>
      <c r="E609">
        <v>-1.064899307278506</v>
      </c>
      <c r="F609">
        <v>-0.46234967076666678</v>
      </c>
      <c r="G609">
        <v>-0.89105242186638489</v>
      </c>
      <c r="H609">
        <v>0.66820164250395464</v>
      </c>
      <c r="I609">
        <v>-1.555141091742817</v>
      </c>
      <c r="J609">
        <v>-0.80759953080489566</v>
      </c>
      <c r="K609">
        <v>-0.3129254901347196</v>
      </c>
      <c r="M609">
        <f t="shared" si="28"/>
        <v>-2.8491032464772186</v>
      </c>
      <c r="N609">
        <f t="shared" si="29"/>
        <v>8</v>
      </c>
    </row>
    <row r="610" spans="1:14" x14ac:dyDescent="0.35">
      <c r="A610" t="str">
        <f t="shared" si="27"/>
        <v>18097351200_2027</v>
      </c>
      <c r="B610">
        <v>18097351200</v>
      </c>
      <c r="C610">
        <v>2027</v>
      </c>
      <c r="D610">
        <v>1.50113318086818</v>
      </c>
      <c r="E610">
        <v>-1.077999617618064</v>
      </c>
      <c r="F610">
        <v>-0.52588299042864162</v>
      </c>
      <c r="G610">
        <v>-0.84538983546955437</v>
      </c>
      <c r="H610">
        <v>0.97968258692655741</v>
      </c>
      <c r="I610">
        <v>-1.462511973997273</v>
      </c>
      <c r="J610">
        <v>-0.83598879733534148</v>
      </c>
      <c r="K610">
        <v>-0.31526604176078699</v>
      </c>
      <c r="M610">
        <f t="shared" si="28"/>
        <v>-2.582223488814924</v>
      </c>
      <c r="N610">
        <f t="shared" si="29"/>
        <v>8</v>
      </c>
    </row>
    <row r="611" spans="1:14" x14ac:dyDescent="0.35">
      <c r="A611" t="str">
        <f t="shared" si="27"/>
        <v>18097351200_2028</v>
      </c>
      <c r="B611">
        <v>18097351200</v>
      </c>
      <c r="C611">
        <v>2028</v>
      </c>
      <c r="D611">
        <v>1.3275287463858769</v>
      </c>
      <c r="E611">
        <v>-1.034872255455956</v>
      </c>
      <c r="F611">
        <v>-0.57291046020162395</v>
      </c>
      <c r="G611">
        <v>-0.79178802992883335</v>
      </c>
      <c r="H611">
        <v>1.1513900059464439</v>
      </c>
      <c r="I611">
        <v>-1.368945996759839</v>
      </c>
      <c r="J611">
        <v>-0.86628512551994674</v>
      </c>
      <c r="K611">
        <v>-0.312362319550194</v>
      </c>
      <c r="M611">
        <f t="shared" si="28"/>
        <v>-2.4682454350840723</v>
      </c>
      <c r="N611">
        <f t="shared" si="29"/>
        <v>8</v>
      </c>
    </row>
    <row r="612" spans="1:14" x14ac:dyDescent="0.35">
      <c r="A612" t="str">
        <f t="shared" si="27"/>
        <v>18097351500_2024</v>
      </c>
      <c r="B612">
        <v>18097351500</v>
      </c>
      <c r="C612">
        <v>2024</v>
      </c>
      <c r="D612">
        <v>-0.11538969035069591</v>
      </c>
      <c r="E612">
        <v>0.67829809379053796</v>
      </c>
      <c r="F612">
        <v>0.78629344397843859</v>
      </c>
      <c r="G612">
        <v>-0.46914009793911748</v>
      </c>
      <c r="H612">
        <v>-0.23659279961646901</v>
      </c>
      <c r="I612">
        <v>-0.12682451718672649</v>
      </c>
      <c r="J612">
        <v>-0.45658474111974229</v>
      </c>
      <c r="K612">
        <v>-0.157519825516232</v>
      </c>
      <c r="M612">
        <f t="shared" si="28"/>
        <v>-9.7460133960006579E-2</v>
      </c>
      <c r="N612">
        <f t="shared" si="29"/>
        <v>8</v>
      </c>
    </row>
    <row r="613" spans="1:14" x14ac:dyDescent="0.35">
      <c r="A613" t="str">
        <f t="shared" si="27"/>
        <v>18097351500_2025</v>
      </c>
      <c r="B613">
        <v>18097351500</v>
      </c>
      <c r="C613">
        <v>2025</v>
      </c>
      <c r="D613">
        <v>-6.9593226186723423E-2</v>
      </c>
      <c r="E613">
        <v>0.76786236747879288</v>
      </c>
      <c r="F613">
        <v>0.68477437602484992</v>
      </c>
      <c r="G613">
        <v>-0.43154166669265698</v>
      </c>
      <c r="H613">
        <v>-8.4367035276955618E-2</v>
      </c>
      <c r="I613">
        <v>4.1650773651221558E-2</v>
      </c>
      <c r="J613">
        <v>-0.46069690521683748</v>
      </c>
      <c r="K613">
        <v>-0.16506760280024921</v>
      </c>
      <c r="M613">
        <f t="shared" si="28"/>
        <v>0.28302108098144152</v>
      </c>
      <c r="N613">
        <f t="shared" si="29"/>
        <v>8</v>
      </c>
    </row>
    <row r="614" spans="1:14" x14ac:dyDescent="0.35">
      <c r="A614" t="str">
        <f t="shared" si="27"/>
        <v>18097351500_2026</v>
      </c>
      <c r="B614">
        <v>18097351500</v>
      </c>
      <c r="C614">
        <v>2026</v>
      </c>
      <c r="D614">
        <v>-0.1448885592186161</v>
      </c>
      <c r="E614">
        <v>0.86427098560023952</v>
      </c>
      <c r="F614">
        <v>0.60926064134089941</v>
      </c>
      <c r="G614">
        <v>-0.42057438113562512</v>
      </c>
      <c r="H614">
        <v>0.1048572878349754</v>
      </c>
      <c r="I614">
        <v>0.18759334381703599</v>
      </c>
      <c r="J614">
        <v>-0.45163705400433513</v>
      </c>
      <c r="K614">
        <v>-0.18769067090508629</v>
      </c>
      <c r="M614">
        <f t="shared" si="28"/>
        <v>0.56119159332948776</v>
      </c>
      <c r="N614">
        <f t="shared" si="29"/>
        <v>8</v>
      </c>
    </row>
    <row r="615" spans="1:14" x14ac:dyDescent="0.35">
      <c r="A615" t="str">
        <f t="shared" si="27"/>
        <v>18097351500_2027</v>
      </c>
      <c r="B615">
        <v>18097351500</v>
      </c>
      <c r="C615">
        <v>2027</v>
      </c>
      <c r="D615">
        <v>-0.14948185821746751</v>
      </c>
      <c r="E615">
        <v>0.94284396920647584</v>
      </c>
      <c r="F615">
        <v>0.5042714561175875</v>
      </c>
      <c r="G615">
        <v>-0.39549463602852453</v>
      </c>
      <c r="H615">
        <v>0.25016533635574562</v>
      </c>
      <c r="I615">
        <v>0.33670806122217661</v>
      </c>
      <c r="J615">
        <v>-0.43754364150753577</v>
      </c>
      <c r="K615">
        <v>-0.20290603323950451</v>
      </c>
      <c r="M615">
        <f t="shared" si="28"/>
        <v>0.84856265390895325</v>
      </c>
      <c r="N615">
        <f t="shared" si="29"/>
        <v>8</v>
      </c>
    </row>
    <row r="616" spans="1:14" x14ac:dyDescent="0.35">
      <c r="A616" t="str">
        <f t="shared" si="27"/>
        <v>18097351500_2028</v>
      </c>
      <c r="B616">
        <v>18097351500</v>
      </c>
      <c r="C616">
        <v>2028</v>
      </c>
      <c r="D616">
        <v>-0.19109842809758679</v>
      </c>
      <c r="E616">
        <v>1.0242858202678129</v>
      </c>
      <c r="F616">
        <v>0.43267773980842678</v>
      </c>
      <c r="G616">
        <v>-0.37861716417880498</v>
      </c>
      <c r="H616">
        <v>0.39020779293447838</v>
      </c>
      <c r="I616">
        <v>0.47442680610973692</v>
      </c>
      <c r="J616">
        <v>-0.42078910310969497</v>
      </c>
      <c r="K616">
        <v>-0.21426756654057211</v>
      </c>
      <c r="M616">
        <f t="shared" si="28"/>
        <v>1.1168258971937961</v>
      </c>
      <c r="N616">
        <f t="shared" si="29"/>
        <v>8</v>
      </c>
    </row>
    <row r="617" spans="1:14" x14ac:dyDescent="0.35">
      <c r="A617" t="str">
        <f t="shared" si="27"/>
        <v>18097351600_2024</v>
      </c>
      <c r="B617">
        <v>18097351600</v>
      </c>
      <c r="C617">
        <v>2024</v>
      </c>
      <c r="D617">
        <v>-9.3464354647197073E-2</v>
      </c>
      <c r="E617">
        <v>2.6121473396901091</v>
      </c>
      <c r="F617">
        <v>-0.80015800841132878</v>
      </c>
      <c r="G617">
        <v>1.548683125567679</v>
      </c>
      <c r="I617">
        <v>1.203201903724336</v>
      </c>
      <c r="J617">
        <v>0.56128421045790045</v>
      </c>
      <c r="K617">
        <v>0.23829969156790429</v>
      </c>
      <c r="M617">
        <f t="shared" si="28"/>
        <v>5.2699939079494031</v>
      </c>
      <c r="N617">
        <f t="shared" si="29"/>
        <v>7</v>
      </c>
    </row>
    <row r="618" spans="1:14" x14ac:dyDescent="0.35">
      <c r="A618" t="str">
        <f t="shared" si="27"/>
        <v>18097351600_2025</v>
      </c>
      <c r="B618">
        <v>18097351600</v>
      </c>
      <c r="C618">
        <v>2025</v>
      </c>
      <c r="D618">
        <v>-4.9938123086292613E-2</v>
      </c>
      <c r="E618">
        <v>2.7373060863475418</v>
      </c>
      <c r="F618">
        <v>-0.83754606108623997</v>
      </c>
      <c r="G618">
        <v>1.771574630754869</v>
      </c>
      <c r="I618">
        <v>1.3455928218575111</v>
      </c>
      <c r="J618">
        <v>0.64043608048023926</v>
      </c>
      <c r="K618">
        <v>0.35711368034876051</v>
      </c>
      <c r="M618">
        <f t="shared" si="28"/>
        <v>5.9645391156163887</v>
      </c>
      <c r="N618">
        <f t="shared" si="29"/>
        <v>7</v>
      </c>
    </row>
    <row r="619" spans="1:14" x14ac:dyDescent="0.35">
      <c r="A619" t="str">
        <f t="shared" si="27"/>
        <v>18097351600_2026</v>
      </c>
      <c r="B619">
        <v>18097351600</v>
      </c>
      <c r="C619">
        <v>2026</v>
      </c>
      <c r="D619">
        <v>-0.11870611187084</v>
      </c>
      <c r="E619">
        <v>2.877046170240285</v>
      </c>
      <c r="F619">
        <v>-0.85803319049869275</v>
      </c>
      <c r="G619">
        <v>1.9095446353794019</v>
      </c>
      <c r="I619">
        <v>1.451594674633248</v>
      </c>
      <c r="J619">
        <v>0.72205779464291042</v>
      </c>
      <c r="K619">
        <v>0.42640903337539371</v>
      </c>
      <c r="M619">
        <f t="shared" si="28"/>
        <v>6.4099130059017053</v>
      </c>
      <c r="N619">
        <f t="shared" si="29"/>
        <v>7</v>
      </c>
    </row>
    <row r="620" spans="1:14" x14ac:dyDescent="0.35">
      <c r="A620" t="str">
        <f t="shared" si="27"/>
        <v>18097351600_2027</v>
      </c>
      <c r="B620">
        <v>18097351600</v>
      </c>
      <c r="C620">
        <v>2027</v>
      </c>
      <c r="D620">
        <v>-0.11937294134226351</v>
      </c>
      <c r="E620">
        <v>2.7828004143430811</v>
      </c>
      <c r="F620">
        <v>-0.85949015669102014</v>
      </c>
      <c r="G620">
        <v>2.08255103406302</v>
      </c>
      <c r="I620">
        <v>1.5656259192611239</v>
      </c>
      <c r="J620">
        <v>0.8127950120012486</v>
      </c>
      <c r="K620">
        <v>0.4744572622519253</v>
      </c>
      <c r="M620">
        <f t="shared" si="28"/>
        <v>6.7393665438871153</v>
      </c>
      <c r="N620">
        <f t="shared" si="29"/>
        <v>7</v>
      </c>
    </row>
    <row r="621" spans="1:14" x14ac:dyDescent="0.35">
      <c r="A621" t="str">
        <f t="shared" si="27"/>
        <v>18097351600_2028</v>
      </c>
      <c r="B621">
        <v>18097351600</v>
      </c>
      <c r="C621">
        <v>2028</v>
      </c>
      <c r="D621">
        <v>-0.1581706515255783</v>
      </c>
      <c r="E621">
        <v>2.6787155806355871</v>
      </c>
      <c r="F621">
        <v>-0.86019422791445477</v>
      </c>
      <c r="G621">
        <v>2.1875385310727919</v>
      </c>
      <c r="I621">
        <v>1.660042859926272</v>
      </c>
      <c r="J621">
        <v>0.91690841776515275</v>
      </c>
      <c r="K621">
        <v>0.48811403303091438</v>
      </c>
      <c r="M621">
        <f t="shared" si="28"/>
        <v>6.9129545429906845</v>
      </c>
      <c r="N621">
        <f t="shared" si="29"/>
        <v>7</v>
      </c>
    </row>
    <row r="622" spans="1:14" x14ac:dyDescent="0.35">
      <c r="A622" t="str">
        <f t="shared" si="27"/>
        <v>18097351700_2024</v>
      </c>
      <c r="B622">
        <v>18097351700</v>
      </c>
      <c r="C622">
        <v>2024</v>
      </c>
      <c r="D622">
        <v>0.46516656917146948</v>
      </c>
      <c r="E622">
        <v>0.94944290029342104</v>
      </c>
      <c r="F622">
        <v>-0.64539960040772504</v>
      </c>
      <c r="G622">
        <v>-7.4481934443222778E-2</v>
      </c>
      <c r="H622">
        <v>-0.57322835702135733</v>
      </c>
      <c r="I622">
        <v>-0.13275238034301651</v>
      </c>
      <c r="J622">
        <v>0.62214634806828673</v>
      </c>
      <c r="K622">
        <v>0.36881708751631609</v>
      </c>
      <c r="M622">
        <f t="shared" si="28"/>
        <v>0.97971063283417159</v>
      </c>
      <c r="N622">
        <f t="shared" si="29"/>
        <v>8</v>
      </c>
    </row>
    <row r="623" spans="1:14" x14ac:dyDescent="0.35">
      <c r="A623" t="str">
        <f t="shared" si="27"/>
        <v>18097351700_2025</v>
      </c>
      <c r="B623">
        <v>18097351700</v>
      </c>
      <c r="C623">
        <v>2025</v>
      </c>
      <c r="D623">
        <v>0.47204526766990751</v>
      </c>
      <c r="E623">
        <v>1.074721321837488</v>
      </c>
      <c r="F623">
        <v>-0.70901997649982329</v>
      </c>
      <c r="G623">
        <v>4.3633064595574089E-2</v>
      </c>
      <c r="H623">
        <v>-1.3467394008073889E-2</v>
      </c>
      <c r="I623">
        <v>-2.8555539404215541E-2</v>
      </c>
      <c r="J623">
        <v>0.70503854303114022</v>
      </c>
      <c r="K623">
        <v>0.47231730356713569</v>
      </c>
      <c r="M623">
        <f t="shared" si="28"/>
        <v>2.0167125907891328</v>
      </c>
      <c r="N623">
        <f t="shared" si="29"/>
        <v>8</v>
      </c>
    </row>
    <row r="624" spans="1:14" x14ac:dyDescent="0.35">
      <c r="A624" t="str">
        <f t="shared" si="27"/>
        <v>18097351700_2026</v>
      </c>
      <c r="B624">
        <v>18097351700</v>
      </c>
      <c r="C624">
        <v>2026</v>
      </c>
      <c r="D624">
        <v>0.34351632851882019</v>
      </c>
      <c r="E624">
        <v>1.184637455791985</v>
      </c>
      <c r="F624">
        <v>-0.75184355461302665</v>
      </c>
      <c r="G624">
        <v>0.14959979336633619</v>
      </c>
      <c r="H624">
        <v>0.46759202849926851</v>
      </c>
      <c r="I624">
        <v>0.1079165229283973</v>
      </c>
      <c r="J624">
        <v>0.79076909419038643</v>
      </c>
      <c r="K624">
        <v>0.52659384030367018</v>
      </c>
      <c r="M624">
        <f t="shared" si="28"/>
        <v>2.8187815089858375</v>
      </c>
      <c r="N624">
        <f t="shared" si="29"/>
        <v>8</v>
      </c>
    </row>
    <row r="625" spans="1:14" x14ac:dyDescent="0.35">
      <c r="A625" t="str">
        <f t="shared" si="27"/>
        <v>18097351700_2027</v>
      </c>
      <c r="B625">
        <v>18097351700</v>
      </c>
      <c r="C625">
        <v>2027</v>
      </c>
      <c r="D625">
        <v>0.29768235074071753</v>
      </c>
      <c r="E625">
        <v>1.2808571700163429</v>
      </c>
      <c r="F625">
        <v>-0.77245069136019184</v>
      </c>
      <c r="G625">
        <v>0.26540843125550068</v>
      </c>
      <c r="H625">
        <v>0.8356189768058967</v>
      </c>
      <c r="I625">
        <v>0.22195793033022251</v>
      </c>
      <c r="J625">
        <v>0.88632334082993247</v>
      </c>
      <c r="K625">
        <v>0.5600946578597753</v>
      </c>
      <c r="M625">
        <f t="shared" si="28"/>
        <v>3.5754921664781967</v>
      </c>
      <c r="N625">
        <f t="shared" si="29"/>
        <v>8</v>
      </c>
    </row>
    <row r="626" spans="1:14" x14ac:dyDescent="0.35">
      <c r="A626" t="str">
        <f t="shared" si="27"/>
        <v>18097351700_2028</v>
      </c>
      <c r="B626">
        <v>18097351700</v>
      </c>
      <c r="C626">
        <v>2028</v>
      </c>
      <c r="D626">
        <v>0.2039623511130827</v>
      </c>
      <c r="E626">
        <v>1.377003012475174</v>
      </c>
      <c r="F626">
        <v>-0.78738052057790964</v>
      </c>
      <c r="G626">
        <v>0.36154558709601847</v>
      </c>
      <c r="H626">
        <v>1.1229572680792881</v>
      </c>
      <c r="I626">
        <v>0.34015856778233711</v>
      </c>
      <c r="J626">
        <v>0.99614259647149461</v>
      </c>
      <c r="K626">
        <v>0.55866902891006975</v>
      </c>
      <c r="M626">
        <f t="shared" si="28"/>
        <v>4.1730578913495551</v>
      </c>
      <c r="N626">
        <f t="shared" si="29"/>
        <v>8</v>
      </c>
    </row>
    <row r="627" spans="1:14" x14ac:dyDescent="0.35">
      <c r="A627" t="str">
        <f t="shared" si="27"/>
        <v>18097351900_2024</v>
      </c>
      <c r="B627">
        <v>18097351900</v>
      </c>
      <c r="C627">
        <v>2024</v>
      </c>
      <c r="D627">
        <v>-5.36255554466924E-3</v>
      </c>
      <c r="E627">
        <v>-0.5875900725441261</v>
      </c>
      <c r="F627">
        <v>0.2355081289535268</v>
      </c>
      <c r="G627">
        <v>-0.7793481494765212</v>
      </c>
      <c r="H627">
        <v>-0.15185829245085231</v>
      </c>
      <c r="J627">
        <v>-1.7694829107230889</v>
      </c>
      <c r="K627">
        <v>-0.73849621489314898</v>
      </c>
      <c r="M627">
        <f t="shared" si="28"/>
        <v>-3.7966300666788801</v>
      </c>
      <c r="N627">
        <f t="shared" si="29"/>
        <v>7</v>
      </c>
    </row>
    <row r="628" spans="1:14" x14ac:dyDescent="0.35">
      <c r="A628" t="str">
        <f t="shared" si="27"/>
        <v>18097351900_2025</v>
      </c>
      <c r="B628">
        <v>18097351900</v>
      </c>
      <c r="C628">
        <v>2025</v>
      </c>
      <c r="D628">
        <v>-8.365431777205079E-2</v>
      </c>
      <c r="E628">
        <v>-0.50373217694537908</v>
      </c>
      <c r="F628">
        <v>0.2096353775853633</v>
      </c>
      <c r="G628">
        <v>-0.7325600238614568</v>
      </c>
      <c r="H628">
        <v>-5.8703675265658749E-2</v>
      </c>
      <c r="J628">
        <v>-1.746118506898743</v>
      </c>
      <c r="K628">
        <v>-0.74542578591381858</v>
      </c>
      <c r="M628">
        <f t="shared" si="28"/>
        <v>-3.6605591090717438</v>
      </c>
      <c r="N628">
        <f t="shared" si="29"/>
        <v>7</v>
      </c>
    </row>
    <row r="629" spans="1:14" x14ac:dyDescent="0.35">
      <c r="A629" t="str">
        <f t="shared" si="27"/>
        <v>18097351900_2026</v>
      </c>
      <c r="B629">
        <v>18097351900</v>
      </c>
      <c r="C629">
        <v>2026</v>
      </c>
      <c r="D629">
        <v>-0.17553977798107559</v>
      </c>
      <c r="E629">
        <v>-0.43455844899244739</v>
      </c>
      <c r="F629">
        <v>0.1733073506819196</v>
      </c>
      <c r="G629">
        <v>-0.67916716294156021</v>
      </c>
      <c r="H629">
        <v>-0.22389789766496071</v>
      </c>
      <c r="J629">
        <v>-1.716341805024131</v>
      </c>
      <c r="K629">
        <v>-0.7339297936516973</v>
      </c>
      <c r="M629">
        <f t="shared" si="28"/>
        <v>-3.7901275355739523</v>
      </c>
      <c r="N629">
        <f t="shared" si="29"/>
        <v>7</v>
      </c>
    </row>
    <row r="630" spans="1:14" x14ac:dyDescent="0.35">
      <c r="A630" t="str">
        <f t="shared" si="27"/>
        <v>18097351900_2027</v>
      </c>
      <c r="B630">
        <v>18097351900</v>
      </c>
      <c r="C630">
        <v>2027</v>
      </c>
      <c r="D630">
        <v>-0.25365703474340218</v>
      </c>
      <c r="E630">
        <v>-0.37574924756102762</v>
      </c>
      <c r="F630">
        <v>0.13110553784686349</v>
      </c>
      <c r="G630">
        <v>-0.62857683987829116</v>
      </c>
      <c r="H630">
        <v>-0.24711199409444809</v>
      </c>
      <c r="J630">
        <v>-1.672624124253447</v>
      </c>
      <c r="K630">
        <v>-0.70354960275082035</v>
      </c>
      <c r="M630">
        <f t="shared" si="28"/>
        <v>-3.7501633054345733</v>
      </c>
      <c r="N630">
        <f t="shared" si="29"/>
        <v>7</v>
      </c>
    </row>
    <row r="631" spans="1:14" x14ac:dyDescent="0.35">
      <c r="A631" t="str">
        <f t="shared" si="27"/>
        <v>18097351900_2028</v>
      </c>
      <c r="B631">
        <v>18097351900</v>
      </c>
      <c r="C631">
        <v>2028</v>
      </c>
      <c r="D631">
        <v>-0.31789191358410113</v>
      </c>
      <c r="E631">
        <v>-0.31732108094754369</v>
      </c>
      <c r="F631">
        <v>9.9696060629714645E-2</v>
      </c>
      <c r="G631">
        <v>-0.57578025092737983</v>
      </c>
      <c r="H631">
        <v>-0.31759065303965789</v>
      </c>
      <c r="J631">
        <v>-1.6070563157234761</v>
      </c>
      <c r="K631">
        <v>-0.65727119630691011</v>
      </c>
      <c r="M631">
        <f t="shared" si="28"/>
        <v>-3.6932153498993543</v>
      </c>
      <c r="N631">
        <f t="shared" si="29"/>
        <v>7</v>
      </c>
    </row>
    <row r="632" spans="1:14" x14ac:dyDescent="0.35">
      <c r="A632" t="str">
        <f t="shared" si="27"/>
        <v>18097352100_2024</v>
      </c>
      <c r="B632">
        <v>18097352100</v>
      </c>
      <c r="C632">
        <v>2024</v>
      </c>
      <c r="D632">
        <v>1.077255071738273</v>
      </c>
      <c r="E632">
        <v>-1.463716784472</v>
      </c>
      <c r="F632">
        <v>8.6765779576692043E-2</v>
      </c>
      <c r="G632">
        <v>-0.63566789123465417</v>
      </c>
      <c r="H632">
        <v>-2.220047791632882</v>
      </c>
      <c r="I632">
        <v>-1.339776867529062</v>
      </c>
      <c r="J632">
        <v>-1.7694829107230889</v>
      </c>
      <c r="K632">
        <v>-0.7384962148938754</v>
      </c>
      <c r="M632">
        <f t="shared" si="28"/>
        <v>-7.0031676091705979</v>
      </c>
      <c r="N632">
        <f t="shared" si="29"/>
        <v>8</v>
      </c>
    </row>
    <row r="633" spans="1:14" x14ac:dyDescent="0.35">
      <c r="A633" t="str">
        <f t="shared" si="27"/>
        <v>18097352100_2025</v>
      </c>
      <c r="B633">
        <v>18097352100</v>
      </c>
      <c r="C633">
        <v>2025</v>
      </c>
      <c r="D633">
        <v>0.93368295473302598</v>
      </c>
      <c r="E633">
        <v>-1.448109725451137</v>
      </c>
      <c r="F633">
        <v>-7.1183397071823556E-2</v>
      </c>
      <c r="G633">
        <v>-0.5604556550085289</v>
      </c>
      <c r="H633">
        <v>-2.1775396278942178</v>
      </c>
      <c r="I633">
        <v>-1.2489095738499909</v>
      </c>
      <c r="J633">
        <v>-1.746118506898743</v>
      </c>
      <c r="K633">
        <v>-0.74542578591414332</v>
      </c>
      <c r="M633">
        <f t="shared" si="28"/>
        <v>-7.064059317355559</v>
      </c>
      <c r="N633">
        <f t="shared" si="29"/>
        <v>8</v>
      </c>
    </row>
    <row r="634" spans="1:14" x14ac:dyDescent="0.35">
      <c r="A634" t="str">
        <f t="shared" si="27"/>
        <v>18097352100_2026</v>
      </c>
      <c r="B634">
        <v>18097352100</v>
      </c>
      <c r="C634">
        <v>2026</v>
      </c>
      <c r="D634">
        <v>0.75129387514697743</v>
      </c>
      <c r="E634">
        <v>-1.4887909888395841</v>
      </c>
      <c r="F634">
        <v>-0.1600737705961536</v>
      </c>
      <c r="G634">
        <v>-0.50261558256363226</v>
      </c>
      <c r="H634">
        <v>-2.0420448678499068</v>
      </c>
      <c r="I634">
        <v>-1.1196357195521289</v>
      </c>
      <c r="J634">
        <v>-1.716341805024131</v>
      </c>
      <c r="K634">
        <v>-0.73392979365049515</v>
      </c>
      <c r="M634">
        <f t="shared" si="28"/>
        <v>-7.0121386529290541</v>
      </c>
      <c r="N634">
        <f t="shared" si="29"/>
        <v>8</v>
      </c>
    </row>
    <row r="635" spans="1:14" x14ac:dyDescent="0.35">
      <c r="A635" t="str">
        <f t="shared" si="27"/>
        <v>18097352100_2027</v>
      </c>
      <c r="B635">
        <v>18097352100</v>
      </c>
      <c r="C635">
        <v>2027</v>
      </c>
      <c r="D635">
        <v>0.58499691726330061</v>
      </c>
      <c r="E635">
        <v>-1.4865942108759691</v>
      </c>
      <c r="F635">
        <v>-0.24932218978218279</v>
      </c>
      <c r="G635">
        <v>-0.45149579352016678</v>
      </c>
      <c r="H635">
        <v>-1.9559786055690711</v>
      </c>
      <c r="I635">
        <v>-1.0105072958750341</v>
      </c>
      <c r="J635">
        <v>-1.672624124253447</v>
      </c>
      <c r="K635">
        <v>-0.70354960274760803</v>
      </c>
      <c r="M635">
        <f t="shared" si="28"/>
        <v>-6.9450749053601788</v>
      </c>
      <c r="N635">
        <f t="shared" si="29"/>
        <v>8</v>
      </c>
    </row>
    <row r="636" spans="1:14" x14ac:dyDescent="0.35">
      <c r="A636" t="str">
        <f t="shared" si="27"/>
        <v>18097352100_2028</v>
      </c>
      <c r="B636">
        <v>18097352100</v>
      </c>
      <c r="C636">
        <v>2028</v>
      </c>
      <c r="D636">
        <v>0.43157989757793419</v>
      </c>
      <c r="E636">
        <v>-1.502448428731298</v>
      </c>
      <c r="F636">
        <v>-0.31494389711735998</v>
      </c>
      <c r="G636">
        <v>-0.40449227743609067</v>
      </c>
      <c r="H636">
        <v>-1.820713432812787</v>
      </c>
      <c r="I636">
        <v>-0.89116260735612451</v>
      </c>
      <c r="J636">
        <v>-1.6070563157234761</v>
      </c>
      <c r="K636">
        <v>-0.65727119630182118</v>
      </c>
      <c r="M636">
        <f t="shared" si="28"/>
        <v>-6.7665082579010232</v>
      </c>
      <c r="N636">
        <f t="shared" si="29"/>
        <v>8</v>
      </c>
    </row>
    <row r="637" spans="1:14" x14ac:dyDescent="0.35">
      <c r="A637" t="str">
        <f t="shared" si="27"/>
        <v>18097352300_2024</v>
      </c>
      <c r="B637">
        <v>18097352300</v>
      </c>
      <c r="C637">
        <v>2024</v>
      </c>
      <c r="D637">
        <v>-0.46683227185309523</v>
      </c>
      <c r="E637">
        <v>-1.2825546219426831</v>
      </c>
      <c r="F637">
        <v>5.4170299042291439E-2</v>
      </c>
      <c r="G637">
        <v>-1.230031090057359</v>
      </c>
      <c r="H637">
        <v>-0.44463038362413071</v>
      </c>
      <c r="I637">
        <v>-2.100346414084771</v>
      </c>
      <c r="J637">
        <v>-1.7694829107230889</v>
      </c>
      <c r="K637">
        <v>-0.73849621489314898</v>
      </c>
      <c r="M637">
        <f t="shared" si="28"/>
        <v>-7.9782036081359857</v>
      </c>
      <c r="N637">
        <f t="shared" si="29"/>
        <v>8</v>
      </c>
    </row>
    <row r="638" spans="1:14" x14ac:dyDescent="0.35">
      <c r="A638" t="str">
        <f t="shared" si="27"/>
        <v>18097352300_2025</v>
      </c>
      <c r="B638">
        <v>18097352300</v>
      </c>
      <c r="C638">
        <v>2025</v>
      </c>
      <c r="D638">
        <v>-0.51729797330657679</v>
      </c>
      <c r="E638">
        <v>-1.261548810197056</v>
      </c>
      <c r="F638">
        <v>-1.5262027874785511E-2</v>
      </c>
      <c r="G638">
        <v>-1.2267146604747801</v>
      </c>
      <c r="H638">
        <v>-0.30926477265400348</v>
      </c>
      <c r="I638">
        <v>-2.0747752381121281</v>
      </c>
      <c r="J638">
        <v>-1.746118506898743</v>
      </c>
      <c r="K638">
        <v>-0.74542578591381858</v>
      </c>
      <c r="M638">
        <f t="shared" si="28"/>
        <v>-7.8964077754318911</v>
      </c>
      <c r="N638">
        <f t="shared" si="29"/>
        <v>8</v>
      </c>
    </row>
    <row r="639" spans="1:14" x14ac:dyDescent="0.35">
      <c r="A639" t="str">
        <f t="shared" si="27"/>
        <v>18097352300_2026</v>
      </c>
      <c r="B639">
        <v>18097352300</v>
      </c>
      <c r="C639">
        <v>2026</v>
      </c>
      <c r="D639">
        <v>-0.57060593308028884</v>
      </c>
      <c r="E639">
        <v>-1.2424870068139411</v>
      </c>
      <c r="F639">
        <v>-7.9599494171574733E-2</v>
      </c>
      <c r="G639">
        <v>-1.197973861308617</v>
      </c>
      <c r="H639">
        <v>-0.15502557749707629</v>
      </c>
      <c r="I639">
        <v>-2.0268671751318199</v>
      </c>
      <c r="J639">
        <v>-1.716341805024131</v>
      </c>
      <c r="K639">
        <v>-0.7339297936516973</v>
      </c>
      <c r="M639">
        <f t="shared" si="28"/>
        <v>-7.7228306466791459</v>
      </c>
      <c r="N639">
        <f t="shared" si="29"/>
        <v>8</v>
      </c>
    </row>
    <row r="640" spans="1:14" x14ac:dyDescent="0.35">
      <c r="A640" t="str">
        <f t="shared" si="27"/>
        <v>18097352300_2027</v>
      </c>
      <c r="B640">
        <v>18097352300</v>
      </c>
      <c r="C640">
        <v>2027</v>
      </c>
      <c r="D640">
        <v>-0.61113621435656096</v>
      </c>
      <c r="E640">
        <v>-1.219235956354773</v>
      </c>
      <c r="F640">
        <v>-0.13841444397906741</v>
      </c>
      <c r="G640">
        <v>-1.176353838667705</v>
      </c>
      <c r="H640">
        <v>-3.8925419761488327E-2</v>
      </c>
      <c r="I640">
        <v>-1.9828051984147519</v>
      </c>
      <c r="J640">
        <v>-1.672624124253447</v>
      </c>
      <c r="K640">
        <v>-0.70354960275082035</v>
      </c>
      <c r="M640">
        <f t="shared" si="28"/>
        <v>-7.5430447985386131</v>
      </c>
      <c r="N640">
        <f t="shared" si="29"/>
        <v>8</v>
      </c>
    </row>
    <row r="641" spans="1:14" x14ac:dyDescent="0.35">
      <c r="A641" t="str">
        <f t="shared" si="27"/>
        <v>18097352300_2028</v>
      </c>
      <c r="B641">
        <v>18097352300</v>
      </c>
      <c r="C641">
        <v>2028</v>
      </c>
      <c r="D641">
        <v>-0.63735688296442461</v>
      </c>
      <c r="E641">
        <v>-1.1941972195777351</v>
      </c>
      <c r="F641">
        <v>-0.18484770008306931</v>
      </c>
      <c r="G641">
        <v>-1.1361270646539421</v>
      </c>
      <c r="H641">
        <v>8.0558359258386225E-2</v>
      </c>
      <c r="I641">
        <v>-1.9266876174366601</v>
      </c>
      <c r="J641">
        <v>-1.6070563157234761</v>
      </c>
      <c r="K641">
        <v>-0.65727119630691011</v>
      </c>
      <c r="M641">
        <f t="shared" si="28"/>
        <v>-7.262985637487831</v>
      </c>
      <c r="N641">
        <f t="shared" si="29"/>
        <v>8</v>
      </c>
    </row>
    <row r="642" spans="1:14" x14ac:dyDescent="0.35">
      <c r="A642" t="str">
        <f t="shared" si="27"/>
        <v>18097352400_2024</v>
      </c>
      <c r="B642">
        <v>18097352400</v>
      </c>
      <c r="C642">
        <v>2024</v>
      </c>
      <c r="D642">
        <v>0.61463237307589802</v>
      </c>
      <c r="E642">
        <v>-1.0554875738066569</v>
      </c>
      <c r="F642">
        <v>0.55609662965302498</v>
      </c>
      <c r="G642">
        <v>-0.90571876633772397</v>
      </c>
      <c r="H642">
        <v>0.14339148974716781</v>
      </c>
      <c r="I642">
        <v>-1.2073269275432781</v>
      </c>
      <c r="J642">
        <v>-1.7495825208446809</v>
      </c>
      <c r="M642">
        <f t="shared" si="28"/>
        <v>-3.6039952960562491</v>
      </c>
      <c r="N642">
        <f t="shared" si="29"/>
        <v>7</v>
      </c>
    </row>
    <row r="643" spans="1:14" x14ac:dyDescent="0.35">
      <c r="A643" t="str">
        <f t="shared" ref="A643:A706" si="30">TEXT(B643,0)&amp;"_"&amp;TEXT(C643,0)</f>
        <v>18097352400_2025</v>
      </c>
      <c r="B643">
        <v>18097352400</v>
      </c>
      <c r="C643">
        <v>2025</v>
      </c>
      <c r="D643">
        <v>0.49794841288645281</v>
      </c>
      <c r="E643">
        <v>-1.0863370678316671</v>
      </c>
      <c r="F643">
        <v>0.64960159565499664</v>
      </c>
      <c r="G643">
        <v>-0.9139638570548072</v>
      </c>
      <c r="H643">
        <v>8.6960081788937355E-2</v>
      </c>
      <c r="I643">
        <v>-1.2856031895870561</v>
      </c>
      <c r="J643">
        <v>-1.725180059461576</v>
      </c>
      <c r="M643">
        <f t="shared" ref="M643:M706" si="31">SUM(D643:K643)</f>
        <v>-3.7765740836047197</v>
      </c>
      <c r="N643">
        <f t="shared" ref="N643:N706" si="32">IF(D643=0,0,1)+IF(E643=0,0,1)+IF(F643=0,0,1)+IF(G643=0,0,1)+IF(H643=0,0,1)+IF(I643=0,0,1)++IF(J643=0,0,1)++IF(K643=0,0,1)</f>
        <v>7</v>
      </c>
    </row>
    <row r="644" spans="1:14" x14ac:dyDescent="0.35">
      <c r="A644" t="str">
        <f t="shared" si="30"/>
        <v>18097352400_2026</v>
      </c>
      <c r="B644">
        <v>18097352400</v>
      </c>
      <c r="C644">
        <v>2026</v>
      </c>
      <c r="D644">
        <v>0.35805653171559609</v>
      </c>
      <c r="E644">
        <v>-1.0675641734883849</v>
      </c>
      <c r="F644">
        <v>0.40439967465539478</v>
      </c>
      <c r="G644">
        <v>-0.90745742142694863</v>
      </c>
      <c r="H644">
        <v>5.8031171412908408E-2</v>
      </c>
      <c r="I644">
        <v>-1.3645553828538051</v>
      </c>
      <c r="J644">
        <v>-1.694222407291091</v>
      </c>
      <c r="M644">
        <f t="shared" si="31"/>
        <v>-4.2133120072763308</v>
      </c>
      <c r="N644">
        <f t="shared" si="32"/>
        <v>7</v>
      </c>
    </row>
    <row r="645" spans="1:14" x14ac:dyDescent="0.35">
      <c r="A645" t="str">
        <f t="shared" si="30"/>
        <v>18097352400_2027</v>
      </c>
      <c r="B645">
        <v>18097352400</v>
      </c>
      <c r="C645">
        <v>2027</v>
      </c>
      <c r="D645">
        <v>0.22932715115253779</v>
      </c>
      <c r="E645">
        <v>-1.076543240492263</v>
      </c>
      <c r="F645">
        <v>0.39576798839808469</v>
      </c>
      <c r="G645">
        <v>-0.90295504367985724</v>
      </c>
      <c r="H645">
        <v>1.492027835742556E-2</v>
      </c>
      <c r="I645">
        <v>-1.43734933962731</v>
      </c>
      <c r="J645">
        <v>-1.649334017284154</v>
      </c>
      <c r="M645">
        <f t="shared" si="31"/>
        <v>-4.4261662231755361</v>
      </c>
      <c r="N645">
        <f t="shared" si="32"/>
        <v>7</v>
      </c>
    </row>
    <row r="646" spans="1:14" x14ac:dyDescent="0.35">
      <c r="A646" t="str">
        <f t="shared" si="30"/>
        <v>18097352400_2028</v>
      </c>
      <c r="B646">
        <v>18097352400</v>
      </c>
      <c r="C646">
        <v>2028</v>
      </c>
      <c r="D646">
        <v>0.11604257680366099</v>
      </c>
      <c r="E646">
        <v>-1.0617657859307399</v>
      </c>
      <c r="F646">
        <v>0.2417492166427414</v>
      </c>
      <c r="G646">
        <v>-0.88542191485882438</v>
      </c>
      <c r="H646">
        <v>-6.7454555019140598E-3</v>
      </c>
      <c r="I646">
        <v>-1.499320993097782</v>
      </c>
      <c r="J646">
        <v>-1.5826586188459191</v>
      </c>
      <c r="M646">
        <f t="shared" si="31"/>
        <v>-4.6781209747887766</v>
      </c>
      <c r="N646">
        <f t="shared" si="32"/>
        <v>7</v>
      </c>
    </row>
    <row r="647" spans="1:14" x14ac:dyDescent="0.35">
      <c r="A647" t="str">
        <f t="shared" si="30"/>
        <v>18097352500_2024</v>
      </c>
      <c r="B647">
        <v>18097352500</v>
      </c>
      <c r="C647">
        <v>2024</v>
      </c>
      <c r="D647">
        <v>1.633550948988564</v>
      </c>
      <c r="E647">
        <v>-0.1181832254508423</v>
      </c>
      <c r="F647">
        <v>0.20926605001021181</v>
      </c>
      <c r="G647">
        <v>-0.45722858053909121</v>
      </c>
      <c r="I647">
        <v>0.22533989303265001</v>
      </c>
      <c r="J647">
        <v>-1.1333812819362821</v>
      </c>
      <c r="K647">
        <v>-0.5594824849092418</v>
      </c>
      <c r="M647">
        <f t="shared" si="31"/>
        <v>-0.2001186808040315</v>
      </c>
      <c r="N647">
        <f t="shared" si="32"/>
        <v>7</v>
      </c>
    </row>
    <row r="648" spans="1:14" x14ac:dyDescent="0.35">
      <c r="A648" t="str">
        <f t="shared" si="30"/>
        <v>18097352500_2025</v>
      </c>
      <c r="B648">
        <v>18097352500</v>
      </c>
      <c r="C648">
        <v>2025</v>
      </c>
      <c r="D648">
        <v>1.4235111829668861</v>
      </c>
      <c r="E648">
        <v>-0.1347351845864104</v>
      </c>
      <c r="F648">
        <v>0.1525838493199301</v>
      </c>
      <c r="G648">
        <v>-0.45022436153215928</v>
      </c>
      <c r="I648">
        <v>0.19269471719729511</v>
      </c>
      <c r="J648">
        <v>-1.172210046592814</v>
      </c>
      <c r="K648">
        <v>-0.53083597813785921</v>
      </c>
      <c r="M648">
        <f t="shared" si="31"/>
        <v>-0.51921582136513178</v>
      </c>
      <c r="N648">
        <f t="shared" si="32"/>
        <v>7</v>
      </c>
    </row>
    <row r="649" spans="1:14" x14ac:dyDescent="0.35">
      <c r="A649" t="str">
        <f t="shared" si="30"/>
        <v>18097352500_2026</v>
      </c>
      <c r="B649">
        <v>18097352500</v>
      </c>
      <c r="C649">
        <v>2026</v>
      </c>
      <c r="D649">
        <v>1.342710730264844</v>
      </c>
      <c r="E649">
        <v>-0.14533380158685319</v>
      </c>
      <c r="F649">
        <v>0.11197204274046881</v>
      </c>
      <c r="G649">
        <v>-0.45461769755920978</v>
      </c>
      <c r="I649">
        <v>0.1534852356844251</v>
      </c>
      <c r="J649">
        <v>-1.1863527630652451</v>
      </c>
      <c r="K649">
        <v>-0.50243925708415138</v>
      </c>
      <c r="M649">
        <f t="shared" si="31"/>
        <v>-0.68057551060572141</v>
      </c>
      <c r="N649">
        <f t="shared" si="32"/>
        <v>7</v>
      </c>
    </row>
    <row r="650" spans="1:14" x14ac:dyDescent="0.35">
      <c r="A650" t="str">
        <f t="shared" si="30"/>
        <v>18097352500_2027</v>
      </c>
      <c r="B650">
        <v>18097352500</v>
      </c>
      <c r="C650">
        <v>2027</v>
      </c>
      <c r="D650">
        <v>1.1287386808208799</v>
      </c>
      <c r="E650">
        <v>-0.1595000239513209</v>
      </c>
      <c r="F650">
        <v>6.1769067008927467E-2</v>
      </c>
      <c r="G650">
        <v>-0.45412438485415052</v>
      </c>
      <c r="I650">
        <v>0.12085184289591561</v>
      </c>
      <c r="J650">
        <v>-1.183762183992048</v>
      </c>
      <c r="K650">
        <v>-0.46726806566727142</v>
      </c>
      <c r="M650">
        <f t="shared" si="31"/>
        <v>-0.95329506773906791</v>
      </c>
      <c r="N650">
        <f t="shared" si="32"/>
        <v>7</v>
      </c>
    </row>
    <row r="651" spans="1:14" x14ac:dyDescent="0.35">
      <c r="A651" t="str">
        <f t="shared" si="30"/>
        <v>18097352500_2028</v>
      </c>
      <c r="B651">
        <v>18097352500</v>
      </c>
      <c r="C651">
        <v>2028</v>
      </c>
      <c r="D651">
        <v>1.013460479825292</v>
      </c>
      <c r="E651">
        <v>-0.16779655201744259</v>
      </c>
      <c r="F651">
        <v>2.4763401438615142E-2</v>
      </c>
      <c r="G651">
        <v>-0.4526520319302712</v>
      </c>
      <c r="I651">
        <v>8.612654739241464E-2</v>
      </c>
      <c r="J651">
        <v>-1.167499861245797</v>
      </c>
      <c r="K651">
        <v>-0.42886610844769901</v>
      </c>
      <c r="M651">
        <f t="shared" si="31"/>
        <v>-1.0924641249848881</v>
      </c>
      <c r="N651">
        <f t="shared" si="32"/>
        <v>7</v>
      </c>
    </row>
    <row r="652" spans="1:14" x14ac:dyDescent="0.35">
      <c r="A652" t="str">
        <f t="shared" si="30"/>
        <v>18097352600_2024</v>
      </c>
      <c r="B652">
        <v>18097352600</v>
      </c>
      <c r="C652">
        <v>2024</v>
      </c>
      <c r="D652">
        <v>2.0763756817629009</v>
      </c>
      <c r="E652">
        <v>-0.94913762717176475</v>
      </c>
      <c r="F652">
        <v>0.48347800269103419</v>
      </c>
      <c r="G652">
        <v>-1.191115836764951</v>
      </c>
      <c r="H652">
        <v>-1.125837811663104</v>
      </c>
      <c r="I652">
        <v>-0.5403617397381032</v>
      </c>
      <c r="J652">
        <v>-1.35993275125408</v>
      </c>
      <c r="K652">
        <v>-0.53397260311870975</v>
      </c>
      <c r="M652">
        <f t="shared" si="31"/>
        <v>-3.1405046852567775</v>
      </c>
      <c r="N652">
        <f t="shared" si="32"/>
        <v>8</v>
      </c>
    </row>
    <row r="653" spans="1:14" x14ac:dyDescent="0.35">
      <c r="A653" t="str">
        <f t="shared" si="30"/>
        <v>18097352600_2025</v>
      </c>
      <c r="B653">
        <v>18097352600</v>
      </c>
      <c r="C653">
        <v>2025</v>
      </c>
      <c r="D653">
        <v>1.8426610890149719</v>
      </c>
      <c r="E653">
        <v>-0.81828995632676804</v>
      </c>
      <c r="F653">
        <v>0.30776379732882309</v>
      </c>
      <c r="G653">
        <v>-1.1996393809084891</v>
      </c>
      <c r="H653">
        <v>-0.89420320365731842</v>
      </c>
      <c r="I653">
        <v>-0.5611209432128319</v>
      </c>
      <c r="J653">
        <v>-1.377507011110366</v>
      </c>
      <c r="K653">
        <v>-0.39995770032014161</v>
      </c>
      <c r="M653">
        <f t="shared" si="31"/>
        <v>-3.1002933091921201</v>
      </c>
      <c r="N653">
        <f t="shared" si="32"/>
        <v>8</v>
      </c>
    </row>
    <row r="654" spans="1:14" x14ac:dyDescent="0.35">
      <c r="A654" t="str">
        <f t="shared" si="30"/>
        <v>18097352600_2026</v>
      </c>
      <c r="B654">
        <v>18097352600</v>
      </c>
      <c r="C654">
        <v>2026</v>
      </c>
      <c r="D654">
        <v>1.6969889763982471</v>
      </c>
      <c r="E654">
        <v>-0.86266897911501761</v>
      </c>
      <c r="F654">
        <v>0.29702055271554523</v>
      </c>
      <c r="G654">
        <v>-1.1660755718476741</v>
      </c>
      <c r="H654">
        <v>-0.66447407726862839</v>
      </c>
      <c r="I654">
        <v>-0.5796928804903706</v>
      </c>
      <c r="J654">
        <v>-1.3738887935428989</v>
      </c>
      <c r="K654">
        <v>-0.25728687723484928</v>
      </c>
      <c r="M654">
        <f t="shared" si="31"/>
        <v>-2.9100776503856465</v>
      </c>
      <c r="N654">
        <f t="shared" si="32"/>
        <v>8</v>
      </c>
    </row>
    <row r="655" spans="1:14" x14ac:dyDescent="0.35">
      <c r="A655" t="str">
        <f t="shared" si="30"/>
        <v>18097352600_2027</v>
      </c>
      <c r="B655">
        <v>18097352600</v>
      </c>
      <c r="C655">
        <v>2027</v>
      </c>
      <c r="D655">
        <v>1.4443374662767521</v>
      </c>
      <c r="E655">
        <v>-0.77240030604337329</v>
      </c>
      <c r="F655">
        <v>0.2051285170293215</v>
      </c>
      <c r="G655">
        <v>-1.150585958939123</v>
      </c>
      <c r="H655">
        <v>-0.474614574323866</v>
      </c>
      <c r="I655">
        <v>-0.59510858122615307</v>
      </c>
      <c r="J655">
        <v>-1.3556493138463039</v>
      </c>
      <c r="K655">
        <v>-0.1172358728430041</v>
      </c>
      <c r="M655">
        <f t="shared" si="31"/>
        <v>-2.8161286239157497</v>
      </c>
      <c r="N655">
        <f t="shared" si="32"/>
        <v>8</v>
      </c>
    </row>
    <row r="656" spans="1:14" x14ac:dyDescent="0.35">
      <c r="A656" t="str">
        <f t="shared" si="30"/>
        <v>18097352600_2028</v>
      </c>
      <c r="B656">
        <v>18097352600</v>
      </c>
      <c r="C656">
        <v>2028</v>
      </c>
      <c r="D656">
        <v>1.2761169153290479</v>
      </c>
      <c r="E656">
        <v>-0.78270764712633467</v>
      </c>
      <c r="F656">
        <v>0.16266927088541641</v>
      </c>
      <c r="G656">
        <v>-1.1100078199986181</v>
      </c>
      <c r="H656">
        <v>-0.28313983912715579</v>
      </c>
      <c r="I656">
        <v>-0.60750918491622596</v>
      </c>
      <c r="J656">
        <v>-1.323372730017655</v>
      </c>
      <c r="K656">
        <v>5.1534966591614266E-4</v>
      </c>
      <c r="M656">
        <f t="shared" si="31"/>
        <v>-2.6674356853056089</v>
      </c>
      <c r="N656">
        <f t="shared" si="32"/>
        <v>8</v>
      </c>
    </row>
    <row r="657" spans="1:14" x14ac:dyDescent="0.35">
      <c r="A657" t="str">
        <f t="shared" si="30"/>
        <v>18097352700_2024</v>
      </c>
      <c r="B657">
        <v>18097352700</v>
      </c>
      <c r="C657">
        <v>2024</v>
      </c>
      <c r="D657">
        <v>1.4833232255349871</v>
      </c>
      <c r="E657">
        <v>0.10635306256884081</v>
      </c>
      <c r="F657">
        <v>-0.47500106737331937</v>
      </c>
      <c r="G657">
        <v>-0.65908984068777943</v>
      </c>
      <c r="H657">
        <v>-1.0807274889588729</v>
      </c>
      <c r="I657">
        <v>0.8571293085119196</v>
      </c>
      <c r="J657">
        <v>-1.2232075029398</v>
      </c>
      <c r="K657">
        <v>-0.49201746714159572</v>
      </c>
      <c r="M657">
        <f t="shared" si="31"/>
        <v>-1.4832377704856201</v>
      </c>
      <c r="N657">
        <f t="shared" si="32"/>
        <v>8</v>
      </c>
    </row>
    <row r="658" spans="1:14" x14ac:dyDescent="0.35">
      <c r="A658" t="str">
        <f t="shared" si="30"/>
        <v>18097352700_2025</v>
      </c>
      <c r="B658">
        <v>18097352700</v>
      </c>
      <c r="C658">
        <v>2025</v>
      </c>
      <c r="D658">
        <v>1.2905224001149771</v>
      </c>
      <c r="E658">
        <v>0.25251589841477162</v>
      </c>
      <c r="F658">
        <v>-0.55145573415081317</v>
      </c>
      <c r="G658">
        <v>-0.37791165470109589</v>
      </c>
      <c r="H658">
        <v>-0.97689217031497178</v>
      </c>
      <c r="I658">
        <v>1.018770881156412</v>
      </c>
      <c r="J658">
        <v>-1.236876571177089</v>
      </c>
      <c r="K658">
        <v>-0.37501081115339602</v>
      </c>
      <c r="M658">
        <f t="shared" si="31"/>
        <v>-0.95633776181120522</v>
      </c>
      <c r="N658">
        <f t="shared" si="32"/>
        <v>8</v>
      </c>
    </row>
    <row r="659" spans="1:14" x14ac:dyDescent="0.35">
      <c r="A659" t="str">
        <f t="shared" si="30"/>
        <v>18097352700_2026</v>
      </c>
      <c r="B659">
        <v>18097352700</v>
      </c>
      <c r="C659">
        <v>2026</v>
      </c>
      <c r="D659">
        <v>1.1871341606315859</v>
      </c>
      <c r="E659">
        <v>0.2693249183581623</v>
      </c>
      <c r="F659">
        <v>-0.59857779765522434</v>
      </c>
      <c r="G659">
        <v>-0.54538874300262474</v>
      </c>
      <c r="H659">
        <v>-0.82419488264648266</v>
      </c>
      <c r="I659">
        <v>1.1328067448242241</v>
      </c>
      <c r="J659">
        <v>-1.22834762031793</v>
      </c>
      <c r="K659">
        <v>-0.26758540115833301</v>
      </c>
      <c r="M659">
        <f t="shared" si="31"/>
        <v>-0.87482862096662251</v>
      </c>
      <c r="N659">
        <f t="shared" si="32"/>
        <v>8</v>
      </c>
    </row>
    <row r="660" spans="1:14" x14ac:dyDescent="0.35">
      <c r="A660" t="str">
        <f t="shared" si="30"/>
        <v>18097352700_2027</v>
      </c>
      <c r="B660">
        <v>18097352700</v>
      </c>
      <c r="C660">
        <v>2027</v>
      </c>
      <c r="D660">
        <v>0.98580590498080556</v>
      </c>
      <c r="E660">
        <v>0.37996130300297509</v>
      </c>
      <c r="F660">
        <v>-0.62507754170787899</v>
      </c>
      <c r="G660">
        <v>-0.30224599701893973</v>
      </c>
      <c r="H660">
        <v>-0.71360914771195327</v>
      </c>
      <c r="I660">
        <v>1.24142271455091</v>
      </c>
      <c r="J660">
        <v>-1.2048393738979131</v>
      </c>
      <c r="K660">
        <v>-0.1680541195067935</v>
      </c>
      <c r="M660">
        <f t="shared" si="31"/>
        <v>-0.40663625730878794</v>
      </c>
      <c r="N660">
        <f t="shared" si="32"/>
        <v>8</v>
      </c>
    </row>
    <row r="661" spans="1:14" x14ac:dyDescent="0.35">
      <c r="A661" t="str">
        <f t="shared" si="30"/>
        <v>18097352700_2028</v>
      </c>
      <c r="B661">
        <v>18097352700</v>
      </c>
      <c r="C661">
        <v>2028</v>
      </c>
      <c r="D661">
        <v>0.86243921657229472</v>
      </c>
      <c r="E661">
        <v>0.40998495840817278</v>
      </c>
      <c r="F661">
        <v>-0.64483880969726515</v>
      </c>
      <c r="G661">
        <v>-0.43581058055623872</v>
      </c>
      <c r="H661">
        <v>-0.58402752115220136</v>
      </c>
      <c r="I661">
        <v>1.329311967185661</v>
      </c>
      <c r="J661">
        <v>-1.1673458653419091</v>
      </c>
      <c r="K661">
        <v>-8.7477484096946889E-2</v>
      </c>
      <c r="M661">
        <f t="shared" si="31"/>
        <v>-0.31776411867843268</v>
      </c>
      <c r="N661">
        <f t="shared" si="32"/>
        <v>8</v>
      </c>
    </row>
    <row r="662" spans="1:14" x14ac:dyDescent="0.35">
      <c r="A662" t="str">
        <f t="shared" si="30"/>
        <v>18097352800_2024</v>
      </c>
      <c r="B662">
        <v>18097352800</v>
      </c>
      <c r="C662">
        <v>2024</v>
      </c>
      <c r="D662">
        <v>-7.9292662736721906E-2</v>
      </c>
      <c r="E662">
        <v>-0.36791510391395937</v>
      </c>
      <c r="F662">
        <v>0.55772786651620798</v>
      </c>
      <c r="G662">
        <v>-0.75714617104017157</v>
      </c>
      <c r="H662">
        <v>-0.31001178586023309</v>
      </c>
      <c r="I662">
        <v>-1.345828655121788</v>
      </c>
      <c r="J662">
        <v>4.62511744372874E-2</v>
      </c>
      <c r="M662">
        <f t="shared" si="31"/>
        <v>-2.2562153377193783</v>
      </c>
      <c r="N662">
        <f t="shared" si="32"/>
        <v>7</v>
      </c>
    </row>
    <row r="663" spans="1:14" x14ac:dyDescent="0.35">
      <c r="A663" t="str">
        <f t="shared" si="30"/>
        <v>18097352800_2025</v>
      </c>
      <c r="B663">
        <v>18097352800</v>
      </c>
      <c r="C663">
        <v>2025</v>
      </c>
      <c r="D663">
        <v>-0.1164716237288683</v>
      </c>
      <c r="E663">
        <v>-0.30666644802417348</v>
      </c>
      <c r="F663">
        <v>0.80180597038874712</v>
      </c>
      <c r="G663">
        <v>-0.89554650037263661</v>
      </c>
      <c r="H663">
        <v>-5.5579770693598339E-2</v>
      </c>
      <c r="I663">
        <v>-1.2976941331151921</v>
      </c>
      <c r="J663">
        <v>7.9786022732783304E-2</v>
      </c>
      <c r="M663">
        <f t="shared" si="31"/>
        <v>-1.7903664828129384</v>
      </c>
      <c r="N663">
        <f t="shared" si="32"/>
        <v>7</v>
      </c>
    </row>
    <row r="664" spans="1:14" x14ac:dyDescent="0.35">
      <c r="A664" t="str">
        <f t="shared" si="30"/>
        <v>18097352800_2026</v>
      </c>
      <c r="B664">
        <v>18097352800</v>
      </c>
      <c r="C664">
        <v>2026</v>
      </c>
      <c r="D664">
        <v>-0.1778205695980884</v>
      </c>
      <c r="E664">
        <v>-0.25998700011893439</v>
      </c>
      <c r="F664">
        <v>0.42584506209450829</v>
      </c>
      <c r="G664">
        <v>-0.71898812625350117</v>
      </c>
      <c r="H664">
        <v>0.21007925085875309</v>
      </c>
      <c r="I664">
        <v>-1.1805918487516109</v>
      </c>
      <c r="J664">
        <v>0.1084919364718733</v>
      </c>
      <c r="M664">
        <f t="shared" si="31"/>
        <v>-1.5929712952970001</v>
      </c>
      <c r="N664">
        <f t="shared" si="32"/>
        <v>7</v>
      </c>
    </row>
    <row r="665" spans="1:14" x14ac:dyDescent="0.35">
      <c r="A665" t="str">
        <f t="shared" si="30"/>
        <v>18097352800_2027</v>
      </c>
      <c r="B665">
        <v>18097352800</v>
      </c>
      <c r="C665">
        <v>2027</v>
      </c>
      <c r="D665">
        <v>-0.2188692573990409</v>
      </c>
      <c r="E665">
        <v>-0.21409940361279631</v>
      </c>
      <c r="F665">
        <v>0.52171193673348104</v>
      </c>
      <c r="G665">
        <v>-0.8253145124858724</v>
      </c>
      <c r="H665">
        <v>0.42765066840700988</v>
      </c>
      <c r="I665">
        <v>-1.109457788634499</v>
      </c>
      <c r="J665">
        <v>0.13682425295892331</v>
      </c>
      <c r="M665">
        <f t="shared" si="31"/>
        <v>-1.2815541040327942</v>
      </c>
      <c r="N665">
        <f t="shared" si="32"/>
        <v>7</v>
      </c>
    </row>
    <row r="666" spans="1:14" x14ac:dyDescent="0.35">
      <c r="A666" t="str">
        <f t="shared" si="30"/>
        <v>18097352800_2028</v>
      </c>
      <c r="B666">
        <v>18097352800</v>
      </c>
      <c r="C666">
        <v>2028</v>
      </c>
      <c r="D666">
        <v>-0.26383210687765463</v>
      </c>
      <c r="E666">
        <v>-0.1670671756841848</v>
      </c>
      <c r="F666">
        <v>0.27711174959121287</v>
      </c>
      <c r="G666">
        <v>-0.66988010996569003</v>
      </c>
      <c r="H666">
        <v>0.62647612718433443</v>
      </c>
      <c r="I666">
        <v>-1.0046640648777829</v>
      </c>
      <c r="J666">
        <v>0.16657371007814761</v>
      </c>
      <c r="M666">
        <f t="shared" si="31"/>
        <v>-1.0352818705516174</v>
      </c>
      <c r="N666">
        <f t="shared" si="32"/>
        <v>7</v>
      </c>
    </row>
    <row r="667" spans="1:14" x14ac:dyDescent="0.35">
      <c r="A667" t="str">
        <f t="shared" si="30"/>
        <v>18097353300_2024</v>
      </c>
      <c r="B667">
        <v>18097353300</v>
      </c>
      <c r="C667">
        <v>2024</v>
      </c>
      <c r="D667">
        <v>0.72456141440501265</v>
      </c>
      <c r="E667">
        <v>1.307184327411494</v>
      </c>
      <c r="F667">
        <v>1.1249360851040151</v>
      </c>
      <c r="G667">
        <v>-0.41342233937863182</v>
      </c>
      <c r="H667">
        <v>-1.0697931914215271</v>
      </c>
      <c r="I667">
        <v>1.110066924915456</v>
      </c>
      <c r="J667">
        <v>1.8143801368420931</v>
      </c>
      <c r="K667">
        <v>0.1189919362341146</v>
      </c>
      <c r="M667">
        <f t="shared" si="31"/>
        <v>4.7169052941120269</v>
      </c>
      <c r="N667">
        <f t="shared" si="32"/>
        <v>8</v>
      </c>
    </row>
    <row r="668" spans="1:14" x14ac:dyDescent="0.35">
      <c r="A668" t="str">
        <f t="shared" si="30"/>
        <v>18097353300_2025</v>
      </c>
      <c r="B668">
        <v>18097353300</v>
      </c>
      <c r="C668">
        <v>2025</v>
      </c>
      <c r="D668">
        <v>0.82835173306162424</v>
      </c>
      <c r="E668">
        <v>1.3519765694716459</v>
      </c>
      <c r="F668">
        <v>1.064411860337156</v>
      </c>
      <c r="G668">
        <v>-0.38469115265769688</v>
      </c>
      <c r="H668">
        <v>-1.2350013010474721</v>
      </c>
      <c r="I668">
        <v>1.1932150775752599</v>
      </c>
      <c r="J668">
        <v>1.7738966041759301</v>
      </c>
      <c r="K668">
        <v>2.1888923982758369E-2</v>
      </c>
      <c r="M668">
        <f t="shared" si="31"/>
        <v>4.6140483148992057</v>
      </c>
      <c r="N668">
        <f t="shared" si="32"/>
        <v>8</v>
      </c>
    </row>
    <row r="669" spans="1:14" x14ac:dyDescent="0.35">
      <c r="A669" t="str">
        <f t="shared" si="30"/>
        <v>18097353300_2026</v>
      </c>
      <c r="B669">
        <v>18097353300</v>
      </c>
      <c r="C669">
        <v>2026</v>
      </c>
      <c r="D669">
        <v>0.77734594760353748</v>
      </c>
      <c r="E669">
        <v>1.409434545213724</v>
      </c>
      <c r="F669">
        <v>0.97996144047061184</v>
      </c>
      <c r="G669">
        <v>-0.33769010199343907</v>
      </c>
      <c r="H669">
        <v>-1.310677635091928</v>
      </c>
      <c r="I669">
        <v>1.2535693033928179</v>
      </c>
      <c r="J669">
        <v>1.781445817414397</v>
      </c>
      <c r="K669">
        <v>-8.5721380129310909E-2</v>
      </c>
      <c r="M669">
        <f t="shared" si="31"/>
        <v>4.4676679368804102</v>
      </c>
      <c r="N669">
        <f t="shared" si="32"/>
        <v>8</v>
      </c>
    </row>
    <row r="670" spans="1:14" x14ac:dyDescent="0.35">
      <c r="A670" t="str">
        <f t="shared" si="30"/>
        <v>18097353300_2027</v>
      </c>
      <c r="B670">
        <v>18097353300</v>
      </c>
      <c r="C670">
        <v>2027</v>
      </c>
      <c r="D670">
        <v>0.80897029854883085</v>
      </c>
      <c r="E670">
        <v>1.44620749839745</v>
      </c>
      <c r="F670">
        <v>0.8782853773598791</v>
      </c>
      <c r="G670">
        <v>-0.30224901290372491</v>
      </c>
      <c r="H670">
        <v>-1.4034356335277871</v>
      </c>
      <c r="I670">
        <v>1.320725559563751</v>
      </c>
      <c r="J670">
        <v>1.815164424850876</v>
      </c>
      <c r="K670">
        <v>-0.1704226450546322</v>
      </c>
      <c r="M670">
        <f t="shared" si="31"/>
        <v>4.3932458672346417</v>
      </c>
      <c r="N670">
        <f t="shared" si="32"/>
        <v>8</v>
      </c>
    </row>
    <row r="671" spans="1:14" x14ac:dyDescent="0.35">
      <c r="A671" t="str">
        <f t="shared" si="30"/>
        <v>18097353300_2028</v>
      </c>
      <c r="B671">
        <v>18097353300</v>
      </c>
      <c r="C671">
        <v>2028</v>
      </c>
      <c r="D671">
        <v>0.76624847585112543</v>
      </c>
      <c r="E671">
        <v>1.489084866573344</v>
      </c>
      <c r="F671">
        <v>0.80240563057813241</v>
      </c>
      <c r="G671">
        <v>-0.26494587888604881</v>
      </c>
      <c r="H671">
        <v>-1.4363837446670751</v>
      </c>
      <c r="I671">
        <v>1.372418824466862</v>
      </c>
      <c r="J671">
        <v>1.865294620467332</v>
      </c>
      <c r="K671">
        <v>-0.23476679323785241</v>
      </c>
      <c r="M671">
        <f t="shared" si="31"/>
        <v>4.3593560011458194</v>
      </c>
      <c r="N671">
        <f t="shared" si="32"/>
        <v>8</v>
      </c>
    </row>
    <row r="672" spans="1:14" x14ac:dyDescent="0.35">
      <c r="A672" t="str">
        <f t="shared" si="30"/>
        <v>18097353500_2024</v>
      </c>
      <c r="B672">
        <v>18097353500</v>
      </c>
      <c r="C672">
        <v>2024</v>
      </c>
      <c r="D672">
        <v>-0.2087301380950298</v>
      </c>
      <c r="E672">
        <v>1.7343262687803731</v>
      </c>
      <c r="F672">
        <v>2.4709245670052828</v>
      </c>
      <c r="G672">
        <v>-0.84530456220628247</v>
      </c>
      <c r="H672">
        <v>1.0921969800472131</v>
      </c>
      <c r="I672">
        <v>-6.8368035155439086E-2</v>
      </c>
      <c r="J672">
        <v>1.8143801368420931</v>
      </c>
      <c r="K672">
        <v>0.1189919362341146</v>
      </c>
      <c r="M672">
        <f t="shared" si="31"/>
        <v>6.1084171534523257</v>
      </c>
      <c r="N672">
        <f t="shared" si="32"/>
        <v>8</v>
      </c>
    </row>
    <row r="673" spans="1:14" x14ac:dyDescent="0.35">
      <c r="A673" t="str">
        <f t="shared" si="30"/>
        <v>18097353500_2025</v>
      </c>
      <c r="B673">
        <v>18097353500</v>
      </c>
      <c r="C673">
        <v>2025</v>
      </c>
      <c r="D673">
        <v>-0.13282835620965269</v>
      </c>
      <c r="E673">
        <v>1.6366708021767939</v>
      </c>
      <c r="F673">
        <v>2.502212781925814</v>
      </c>
      <c r="G673">
        <v>-0.71196904349402101</v>
      </c>
      <c r="H673">
        <v>1.2772113541646111</v>
      </c>
      <c r="I673">
        <v>-3.4767380626685239E-2</v>
      </c>
      <c r="J673">
        <v>1.7738966041759301</v>
      </c>
      <c r="K673">
        <v>2.1888923982758369E-2</v>
      </c>
      <c r="M673">
        <f t="shared" si="31"/>
        <v>6.3323156860955487</v>
      </c>
      <c r="N673">
        <f t="shared" si="32"/>
        <v>8</v>
      </c>
    </row>
    <row r="674" spans="1:14" x14ac:dyDescent="0.35">
      <c r="A674" t="str">
        <f t="shared" si="30"/>
        <v>18097353500_2026</v>
      </c>
      <c r="B674">
        <v>18097353500</v>
      </c>
      <c r="C674">
        <v>2026</v>
      </c>
      <c r="D674">
        <v>-0.14374607914678869</v>
      </c>
      <c r="E674">
        <v>1.8368370939445331</v>
      </c>
      <c r="F674">
        <v>2.4668914699097781</v>
      </c>
      <c r="G674">
        <v>-0.56577867092617773</v>
      </c>
      <c r="H674">
        <v>1.1449685104176259</v>
      </c>
      <c r="I674">
        <v>8.6715187738997127E-2</v>
      </c>
      <c r="J674">
        <v>1.781445817414397</v>
      </c>
      <c r="K674">
        <v>-8.5721380129310909E-2</v>
      </c>
      <c r="M674">
        <f t="shared" si="31"/>
        <v>6.5216119492230549</v>
      </c>
      <c r="N674">
        <f t="shared" si="32"/>
        <v>8</v>
      </c>
    </row>
    <row r="675" spans="1:14" x14ac:dyDescent="0.35">
      <c r="A675" t="str">
        <f t="shared" si="30"/>
        <v>18097353500_2027</v>
      </c>
      <c r="B675">
        <v>18097353500</v>
      </c>
      <c r="C675">
        <v>2027</v>
      </c>
      <c r="D675">
        <v>-9.9087696512345683E-2</v>
      </c>
      <c r="E675">
        <v>1.838463996535888</v>
      </c>
      <c r="F675">
        <v>2.3789680522272838</v>
      </c>
      <c r="G675">
        <v>-0.41725267249815451</v>
      </c>
      <c r="H675">
        <v>0.95620867965322276</v>
      </c>
      <c r="I675">
        <v>0.16231724020583979</v>
      </c>
      <c r="J675">
        <v>1.815164424850876</v>
      </c>
      <c r="K675">
        <v>-0.1704226450546322</v>
      </c>
      <c r="M675">
        <f t="shared" si="31"/>
        <v>6.4643593794079788</v>
      </c>
      <c r="N675">
        <f t="shared" si="32"/>
        <v>8</v>
      </c>
    </row>
    <row r="676" spans="1:14" x14ac:dyDescent="0.35">
      <c r="A676" t="str">
        <f t="shared" si="30"/>
        <v>18097353500_2028</v>
      </c>
      <c r="B676">
        <v>18097353500</v>
      </c>
      <c r="C676">
        <v>2028</v>
      </c>
      <c r="D676">
        <v>-9.5319743690336523E-2</v>
      </c>
      <c r="E676">
        <v>1.9498327658287899</v>
      </c>
      <c r="F676">
        <v>2.33221108139956</v>
      </c>
      <c r="G676">
        <v>-0.26946977875884998</v>
      </c>
      <c r="H676">
        <v>1.0059310860114981</v>
      </c>
      <c r="I676">
        <v>0.25423490165337548</v>
      </c>
      <c r="J676">
        <v>1.865294620467332</v>
      </c>
      <c r="K676">
        <v>-0.23476679323785241</v>
      </c>
      <c r="M676">
        <f t="shared" si="31"/>
        <v>6.8079481396735169</v>
      </c>
      <c r="N676">
        <f t="shared" si="32"/>
        <v>8</v>
      </c>
    </row>
    <row r="677" spans="1:14" x14ac:dyDescent="0.35">
      <c r="A677" t="str">
        <f t="shared" si="30"/>
        <v>18097353600_2024</v>
      </c>
      <c r="B677">
        <v>18097353600</v>
      </c>
      <c r="C677">
        <v>2024</v>
      </c>
      <c r="D677">
        <v>1.2976503762754521</v>
      </c>
      <c r="E677">
        <v>-0.114660174032235</v>
      </c>
      <c r="F677">
        <v>0.74866558625112523</v>
      </c>
      <c r="G677">
        <v>-0.73043632081273324</v>
      </c>
      <c r="H677">
        <v>-1.447697569037828</v>
      </c>
      <c r="I677">
        <v>-1.012937987395153</v>
      </c>
      <c r="J677">
        <v>1.1635137072235431</v>
      </c>
      <c r="M677">
        <f t="shared" si="31"/>
        <v>-9.5902381527828817E-2</v>
      </c>
      <c r="N677">
        <f t="shared" si="32"/>
        <v>7</v>
      </c>
    </row>
    <row r="678" spans="1:14" x14ac:dyDescent="0.35">
      <c r="A678" t="str">
        <f t="shared" si="30"/>
        <v>18097353600_2025</v>
      </c>
      <c r="B678">
        <v>18097353600</v>
      </c>
      <c r="C678">
        <v>2025</v>
      </c>
      <c r="D678">
        <v>1.367578677855815</v>
      </c>
      <c r="E678">
        <v>-1.995911761620503E-2</v>
      </c>
      <c r="F678">
        <v>0.80423211052825738</v>
      </c>
      <c r="G678">
        <v>-0.65754463581145306</v>
      </c>
      <c r="H678">
        <v>-1.4256528781382241</v>
      </c>
      <c r="I678">
        <v>-0.96221109249068415</v>
      </c>
      <c r="J678">
        <v>1.165094286116297</v>
      </c>
      <c r="M678">
        <f t="shared" si="31"/>
        <v>0.27153735044380301</v>
      </c>
      <c r="N678">
        <f t="shared" si="32"/>
        <v>7</v>
      </c>
    </row>
    <row r="679" spans="1:14" x14ac:dyDescent="0.35">
      <c r="A679" t="str">
        <f t="shared" si="30"/>
        <v>18097353600_2026</v>
      </c>
      <c r="B679">
        <v>18097353600</v>
      </c>
      <c r="C679">
        <v>2026</v>
      </c>
      <c r="D679">
        <v>1.2513016253756339</v>
      </c>
      <c r="E679">
        <v>7.7228521616058643E-2</v>
      </c>
      <c r="F679">
        <v>0.81474452368400219</v>
      </c>
      <c r="G679">
        <v>-0.57848234976828317</v>
      </c>
      <c r="H679">
        <v>-1.332227235248205</v>
      </c>
      <c r="I679">
        <v>-0.89948391800397631</v>
      </c>
      <c r="J679">
        <v>1.193153416284183</v>
      </c>
      <c r="M679">
        <f t="shared" si="31"/>
        <v>0.52623458393941347</v>
      </c>
      <c r="N679">
        <f t="shared" si="32"/>
        <v>7</v>
      </c>
    </row>
    <row r="680" spans="1:14" x14ac:dyDescent="0.35">
      <c r="A680" t="str">
        <f t="shared" si="30"/>
        <v>18097353600_2027</v>
      </c>
      <c r="B680">
        <v>18097353600</v>
      </c>
      <c r="C680">
        <v>2027</v>
      </c>
      <c r="D680">
        <v>1.230889460698771</v>
      </c>
      <c r="E680">
        <v>0.16341296547109821</v>
      </c>
      <c r="F680">
        <v>0.79152980295410802</v>
      </c>
      <c r="G680">
        <v>-0.5015993108351201</v>
      </c>
      <c r="H680">
        <v>-1.2780226428475321</v>
      </c>
      <c r="I680">
        <v>-0.8390956493168823</v>
      </c>
      <c r="J680">
        <v>1.233486882484619</v>
      </c>
      <c r="M680">
        <f t="shared" si="31"/>
        <v>0.80060150860906176</v>
      </c>
      <c r="N680">
        <f t="shared" si="32"/>
        <v>7</v>
      </c>
    </row>
    <row r="681" spans="1:14" x14ac:dyDescent="0.35">
      <c r="A681" t="str">
        <f t="shared" si="30"/>
        <v>18097353600_2028</v>
      </c>
      <c r="B681">
        <v>18097353600</v>
      </c>
      <c r="C681">
        <v>2028</v>
      </c>
      <c r="D681">
        <v>1.126034582628247</v>
      </c>
      <c r="E681">
        <v>0.25059007798728</v>
      </c>
      <c r="F681">
        <v>0.77900808494952878</v>
      </c>
      <c r="G681">
        <v>-0.4262734659020177</v>
      </c>
      <c r="H681">
        <v>-1.1856494656392771</v>
      </c>
      <c r="I681">
        <v>-0.77625701218994658</v>
      </c>
      <c r="J681">
        <v>1.28174335661981</v>
      </c>
      <c r="M681">
        <f t="shared" si="31"/>
        <v>1.0491961584536242</v>
      </c>
      <c r="N681">
        <f t="shared" si="32"/>
        <v>7</v>
      </c>
    </row>
    <row r="682" spans="1:14" x14ac:dyDescent="0.35">
      <c r="A682" t="str">
        <f t="shared" si="30"/>
        <v>18097354201_2024</v>
      </c>
      <c r="B682">
        <v>18097354201</v>
      </c>
      <c r="C682">
        <v>2024</v>
      </c>
      <c r="D682">
        <v>3.2522336281502819</v>
      </c>
      <c r="E682">
        <v>1.577262961377176</v>
      </c>
      <c r="F682">
        <v>0.5231778379825418</v>
      </c>
      <c r="G682">
        <v>0.87813224098804488</v>
      </c>
      <c r="I682">
        <v>0.61004035947236868</v>
      </c>
      <c r="J682">
        <v>1.637970109258625</v>
      </c>
      <c r="M682">
        <f t="shared" si="31"/>
        <v>8.4788171372290382</v>
      </c>
      <c r="N682">
        <f t="shared" si="32"/>
        <v>6</v>
      </c>
    </row>
    <row r="683" spans="1:14" x14ac:dyDescent="0.35">
      <c r="A683" t="str">
        <f t="shared" si="30"/>
        <v>18097354201_2025</v>
      </c>
      <c r="B683">
        <v>18097354201</v>
      </c>
      <c r="C683">
        <v>2025</v>
      </c>
      <c r="D683">
        <v>4.1349803341443891</v>
      </c>
      <c r="E683">
        <v>1.4808055454742259</v>
      </c>
      <c r="F683">
        <v>0.53561320770796317</v>
      </c>
      <c r="G683">
        <v>0.71734258148275942</v>
      </c>
      <c r="I683">
        <v>0.59621380433941262</v>
      </c>
      <c r="J683">
        <v>1.4223126239402779</v>
      </c>
      <c r="M683">
        <f t="shared" si="31"/>
        <v>8.8872680970890272</v>
      </c>
      <c r="N683">
        <f t="shared" si="32"/>
        <v>6</v>
      </c>
    </row>
    <row r="684" spans="1:14" x14ac:dyDescent="0.35">
      <c r="A684" t="str">
        <f t="shared" si="30"/>
        <v>18097354201_2026</v>
      </c>
      <c r="B684">
        <v>18097354201</v>
      </c>
      <c r="C684">
        <v>2026</v>
      </c>
      <c r="D684">
        <v>4.5666326868457849</v>
      </c>
      <c r="E684">
        <v>1.7035563558385309</v>
      </c>
      <c r="F684">
        <v>0.53019192861683628</v>
      </c>
      <c r="G684">
        <v>0.88683420670289215</v>
      </c>
      <c r="I684">
        <v>0.69709616669278462</v>
      </c>
      <c r="J684">
        <v>1.2232789254073699</v>
      </c>
      <c r="M684">
        <f t="shared" si="31"/>
        <v>9.6075902701042004</v>
      </c>
      <c r="N684">
        <f t="shared" si="32"/>
        <v>6</v>
      </c>
    </row>
    <row r="685" spans="1:14" x14ac:dyDescent="0.35">
      <c r="A685" t="str">
        <f t="shared" si="30"/>
        <v>18097354201_2027</v>
      </c>
      <c r="B685">
        <v>18097354201</v>
      </c>
      <c r="C685">
        <v>2027</v>
      </c>
      <c r="D685">
        <v>5.2738108785252038</v>
      </c>
      <c r="E685">
        <v>1.6272994749824801</v>
      </c>
      <c r="F685">
        <v>0.5055031625045453</v>
      </c>
      <c r="G685">
        <v>0.72487334234629441</v>
      </c>
      <c r="I685">
        <v>0.67767809867744311</v>
      </c>
      <c r="J685">
        <v>1.018117460828224</v>
      </c>
      <c r="M685">
        <f t="shared" si="31"/>
        <v>9.8272824178641898</v>
      </c>
      <c r="N685">
        <f t="shared" si="32"/>
        <v>6</v>
      </c>
    </row>
    <row r="686" spans="1:14" x14ac:dyDescent="0.35">
      <c r="A686" t="str">
        <f t="shared" si="30"/>
        <v>18097354201_2028</v>
      </c>
      <c r="B686">
        <v>18097354201</v>
      </c>
      <c r="C686">
        <v>2028</v>
      </c>
      <c r="D686">
        <v>5.7590714690936693</v>
      </c>
      <c r="E686">
        <v>1.803413861120863</v>
      </c>
      <c r="F686">
        <v>0.4943673882419567</v>
      </c>
      <c r="G686">
        <v>0.85445527697058632</v>
      </c>
      <c r="I686">
        <v>0.76995707892907173</v>
      </c>
      <c r="J686">
        <v>0.79256405373801986</v>
      </c>
      <c r="M686">
        <f t="shared" si="31"/>
        <v>10.473829128094167</v>
      </c>
      <c r="N686">
        <f t="shared" si="32"/>
        <v>6</v>
      </c>
    </row>
    <row r="687" spans="1:14" x14ac:dyDescent="0.35">
      <c r="A687" t="str">
        <f t="shared" si="30"/>
        <v>18097354202_2024</v>
      </c>
      <c r="B687">
        <v>18097354202</v>
      </c>
      <c r="C687">
        <v>2024</v>
      </c>
      <c r="D687">
        <v>1.5049562392676541</v>
      </c>
      <c r="E687">
        <v>1.3262494245783829</v>
      </c>
      <c r="F687">
        <v>-1.6455226933211301E-3</v>
      </c>
      <c r="I687">
        <v>0.79959696755671572</v>
      </c>
      <c r="J687">
        <v>1.697157813050584</v>
      </c>
      <c r="K687">
        <v>1.58345618470692</v>
      </c>
      <c r="M687">
        <f t="shared" si="31"/>
        <v>6.9097711064669358</v>
      </c>
      <c r="N687">
        <f t="shared" si="32"/>
        <v>6</v>
      </c>
    </row>
    <row r="688" spans="1:14" x14ac:dyDescent="0.35">
      <c r="A688" t="str">
        <f t="shared" si="30"/>
        <v>18097354202_2025</v>
      </c>
      <c r="B688">
        <v>18097354202</v>
      </c>
      <c r="C688">
        <v>2025</v>
      </c>
      <c r="D688">
        <v>1.8379194467736739</v>
      </c>
      <c r="E688">
        <v>1.19657245564245</v>
      </c>
      <c r="F688">
        <v>-0.14393415466555859</v>
      </c>
      <c r="I688">
        <v>0.89245643689876319</v>
      </c>
      <c r="J688">
        <v>1.5375618145790599</v>
      </c>
      <c r="K688">
        <v>2.3443475624036272</v>
      </c>
      <c r="M688">
        <f t="shared" si="31"/>
        <v>7.6649235616320155</v>
      </c>
      <c r="N688">
        <f t="shared" si="32"/>
        <v>6</v>
      </c>
    </row>
    <row r="689" spans="1:14" x14ac:dyDescent="0.35">
      <c r="A689" t="str">
        <f t="shared" si="30"/>
        <v>18097354202_2026</v>
      </c>
      <c r="B689">
        <v>18097354202</v>
      </c>
      <c r="C689">
        <v>2026</v>
      </c>
      <c r="D689">
        <v>1.8773162448213161</v>
      </c>
      <c r="E689">
        <v>1.0874896863949799</v>
      </c>
      <c r="F689">
        <v>-0.24024860325453881</v>
      </c>
      <c r="I689">
        <v>0.97497182837136398</v>
      </c>
      <c r="J689">
        <v>1.4056629408677619</v>
      </c>
      <c r="K689">
        <v>3.0167063335440472</v>
      </c>
      <c r="M689">
        <f t="shared" si="31"/>
        <v>8.1218984307449293</v>
      </c>
      <c r="N689">
        <f t="shared" si="32"/>
        <v>6</v>
      </c>
    </row>
    <row r="690" spans="1:14" x14ac:dyDescent="0.35">
      <c r="A690" t="str">
        <f t="shared" si="30"/>
        <v>18097354202_2027</v>
      </c>
      <c r="B690">
        <v>18097354202</v>
      </c>
      <c r="C690">
        <v>2027</v>
      </c>
      <c r="D690">
        <v>2.054986709941661</v>
      </c>
      <c r="E690">
        <v>0.96821236517385645</v>
      </c>
      <c r="F690">
        <v>-0.3286250231241013</v>
      </c>
      <c r="I690">
        <v>1.059790445259595</v>
      </c>
      <c r="J690">
        <v>1.2782126508259459</v>
      </c>
      <c r="K690">
        <v>3.6171676276391769</v>
      </c>
      <c r="M690">
        <f t="shared" si="31"/>
        <v>8.6497447757161332</v>
      </c>
      <c r="N690">
        <f t="shared" si="32"/>
        <v>6</v>
      </c>
    </row>
    <row r="691" spans="1:14" x14ac:dyDescent="0.35">
      <c r="A691" t="str">
        <f t="shared" si="30"/>
        <v>18097354202_2028</v>
      </c>
      <c r="B691">
        <v>18097354202</v>
      </c>
      <c r="C691">
        <v>2028</v>
      </c>
      <c r="D691">
        <v>2.1004761221069188</v>
      </c>
      <c r="E691">
        <v>0.86309578193656911</v>
      </c>
      <c r="F691">
        <v>-0.39288584383987452</v>
      </c>
      <c r="I691">
        <v>1.1314247927855581</v>
      </c>
      <c r="J691">
        <v>1.141544132738779</v>
      </c>
      <c r="K691">
        <v>4.064472637117631</v>
      </c>
      <c r="M691">
        <f t="shared" si="31"/>
        <v>8.9081276228455817</v>
      </c>
      <c r="N691">
        <f t="shared" si="32"/>
        <v>6</v>
      </c>
    </row>
    <row r="692" spans="1:14" x14ac:dyDescent="0.35">
      <c r="A692" t="str">
        <f t="shared" si="30"/>
        <v>18097354400_2024</v>
      </c>
      <c r="B692">
        <v>18097354400</v>
      </c>
      <c r="C692">
        <v>2024</v>
      </c>
      <c r="D692">
        <v>-0.52420721826211969</v>
      </c>
      <c r="E692">
        <v>1.135741328300393</v>
      </c>
      <c r="F692">
        <v>-0.92551498663849763</v>
      </c>
      <c r="G692">
        <v>4.0070405121956892E-2</v>
      </c>
      <c r="H692">
        <v>-0.62174939591425082</v>
      </c>
      <c r="I692">
        <v>1.528322187742438</v>
      </c>
      <c r="J692">
        <v>1.05861117142378</v>
      </c>
      <c r="M692">
        <f t="shared" si="31"/>
        <v>1.6912734917736998</v>
      </c>
      <c r="N692">
        <f t="shared" si="32"/>
        <v>7</v>
      </c>
    </row>
    <row r="693" spans="1:14" x14ac:dyDescent="0.35">
      <c r="A693" t="str">
        <f t="shared" si="30"/>
        <v>18097354400_2025</v>
      </c>
      <c r="B693">
        <v>18097354400</v>
      </c>
      <c r="C693">
        <v>2025</v>
      </c>
      <c r="D693">
        <v>-0.51545343429002832</v>
      </c>
      <c r="E693">
        <v>1.1309564211480201</v>
      </c>
      <c r="F693">
        <v>-0.97615570464181045</v>
      </c>
      <c r="G693">
        <v>3.6147974586804278E-4</v>
      </c>
      <c r="H693">
        <v>-0.71056696356020654</v>
      </c>
      <c r="I693">
        <v>1.6609080938929659</v>
      </c>
      <c r="J693">
        <v>1.0654099570301321</v>
      </c>
      <c r="M693">
        <f t="shared" si="31"/>
        <v>1.6554598493249408</v>
      </c>
      <c r="N693">
        <f t="shared" si="32"/>
        <v>7</v>
      </c>
    </row>
    <row r="694" spans="1:14" x14ac:dyDescent="0.35">
      <c r="A694" t="str">
        <f t="shared" si="30"/>
        <v>18097354400_2026</v>
      </c>
      <c r="B694">
        <v>18097354400</v>
      </c>
      <c r="C694">
        <v>2026</v>
      </c>
      <c r="D694">
        <v>-0.52057204140911617</v>
      </c>
      <c r="E694">
        <v>1.1458875681968359</v>
      </c>
      <c r="F694">
        <v>-0.99023880942037301</v>
      </c>
      <c r="G694">
        <v>-5.398820475142023E-2</v>
      </c>
      <c r="H694">
        <v>-0.61566990168462443</v>
      </c>
      <c r="I694">
        <v>1.7441119307117989</v>
      </c>
      <c r="J694">
        <v>1.100893430515878</v>
      </c>
      <c r="M694">
        <f t="shared" si="31"/>
        <v>1.810423972158979</v>
      </c>
      <c r="N694">
        <f t="shared" si="32"/>
        <v>7</v>
      </c>
    </row>
    <row r="695" spans="1:14" x14ac:dyDescent="0.35">
      <c r="A695" t="str">
        <f t="shared" si="30"/>
        <v>18097354400_2027</v>
      </c>
      <c r="B695">
        <v>18097354400</v>
      </c>
      <c r="C695">
        <v>2027</v>
      </c>
      <c r="D695">
        <v>-0.50671578309087217</v>
      </c>
      <c r="E695">
        <v>1.143520077977193</v>
      </c>
      <c r="F695">
        <v>-0.9780298413529972</v>
      </c>
      <c r="G695">
        <v>-9.5875741557778962E-2</v>
      </c>
      <c r="H695">
        <v>-0.62225527071161479</v>
      </c>
      <c r="I695">
        <v>1.84239019031249</v>
      </c>
      <c r="J695">
        <v>1.150616804829762</v>
      </c>
      <c r="M695">
        <f t="shared" si="31"/>
        <v>1.9336504364061819</v>
      </c>
      <c r="N695">
        <f t="shared" si="32"/>
        <v>7</v>
      </c>
    </row>
    <row r="696" spans="1:14" x14ac:dyDescent="0.35">
      <c r="A696" t="str">
        <f t="shared" si="30"/>
        <v>18097354400_2028</v>
      </c>
      <c r="B696">
        <v>18097354400</v>
      </c>
      <c r="C696">
        <v>2028</v>
      </c>
      <c r="D696">
        <v>-0.50171496554703587</v>
      </c>
      <c r="E696">
        <v>1.1490077367184519</v>
      </c>
      <c r="F696">
        <v>-0.96617525229279244</v>
      </c>
      <c r="G696">
        <v>-0.14171485556306701</v>
      </c>
      <c r="H696">
        <v>-0.56177000195579008</v>
      </c>
      <c r="I696">
        <v>1.917090198741864</v>
      </c>
      <c r="J696">
        <v>1.210278787087967</v>
      </c>
      <c r="M696">
        <f t="shared" si="31"/>
        <v>2.1050016471895976</v>
      </c>
      <c r="N696">
        <f t="shared" si="32"/>
        <v>7</v>
      </c>
    </row>
    <row r="697" spans="1:14" x14ac:dyDescent="0.35">
      <c r="A697" t="str">
        <f t="shared" si="30"/>
        <v>18097354500_2024</v>
      </c>
      <c r="B697">
        <v>18097354500</v>
      </c>
      <c r="C697">
        <v>2024</v>
      </c>
      <c r="D697">
        <v>1.016337891855454</v>
      </c>
      <c r="E697">
        <v>0.32187944495771958</v>
      </c>
      <c r="F697">
        <v>-0.40743101132514392</v>
      </c>
      <c r="G697">
        <v>-0.31361882555023762</v>
      </c>
      <c r="H697">
        <v>-1.2380541274897101</v>
      </c>
      <c r="I697">
        <v>0.56449045272140119</v>
      </c>
      <c r="J697">
        <v>-1.1432657378103539</v>
      </c>
      <c r="K697">
        <v>-0.55065709688782249</v>
      </c>
      <c r="M697">
        <f t="shared" si="31"/>
        <v>-1.7503190095286931</v>
      </c>
      <c r="N697">
        <f t="shared" si="32"/>
        <v>8</v>
      </c>
    </row>
    <row r="698" spans="1:14" x14ac:dyDescent="0.35">
      <c r="A698" t="str">
        <f t="shared" si="30"/>
        <v>18097354500_2025</v>
      </c>
      <c r="B698">
        <v>18097354500</v>
      </c>
      <c r="C698">
        <v>2025</v>
      </c>
      <c r="D698">
        <v>0.85028140090450588</v>
      </c>
      <c r="E698">
        <v>0.34152124084832558</v>
      </c>
      <c r="F698">
        <v>-0.4753309924252741</v>
      </c>
      <c r="G698">
        <v>-0.29917061116498722</v>
      </c>
      <c r="H698">
        <v>-1.2329412682267571</v>
      </c>
      <c r="I698">
        <v>0.57829722766803837</v>
      </c>
      <c r="J698">
        <v>-1.182340576641822</v>
      </c>
      <c r="K698">
        <v>-0.52540327032439182</v>
      </c>
      <c r="M698">
        <f t="shared" si="31"/>
        <v>-1.9450868493623625</v>
      </c>
      <c r="N698">
        <f t="shared" si="32"/>
        <v>8</v>
      </c>
    </row>
    <row r="699" spans="1:14" x14ac:dyDescent="0.35">
      <c r="A699" t="str">
        <f t="shared" si="30"/>
        <v>18097354500_2026</v>
      </c>
      <c r="B699">
        <v>18097354500</v>
      </c>
      <c r="C699">
        <v>2026</v>
      </c>
      <c r="D699">
        <v>0.79305425742214708</v>
      </c>
      <c r="E699">
        <v>0.3689309546192141</v>
      </c>
      <c r="F699">
        <v>-0.52732693280538989</v>
      </c>
      <c r="G699">
        <v>-0.29166425744869462</v>
      </c>
      <c r="H699">
        <v>-1.16006542147375</v>
      </c>
      <c r="I699">
        <v>0.56743751912799023</v>
      </c>
      <c r="J699">
        <v>-1.196070124021833</v>
      </c>
      <c r="K699">
        <v>-0.50276551106666245</v>
      </c>
      <c r="M699">
        <f t="shared" si="31"/>
        <v>-1.9484695156469787</v>
      </c>
      <c r="N699">
        <f t="shared" si="32"/>
        <v>8</v>
      </c>
    </row>
    <row r="700" spans="1:14" x14ac:dyDescent="0.35">
      <c r="A700" t="str">
        <f t="shared" si="30"/>
        <v>18097354500_2027</v>
      </c>
      <c r="B700">
        <v>18097354500</v>
      </c>
      <c r="C700">
        <v>2027</v>
      </c>
      <c r="D700">
        <v>0.62948344641485499</v>
      </c>
      <c r="E700">
        <v>0.38625560674280418</v>
      </c>
      <c r="F700">
        <v>-0.56288579397481009</v>
      </c>
      <c r="G700">
        <v>-0.28051619319185228</v>
      </c>
      <c r="H700">
        <v>-1.12281566248618</v>
      </c>
      <c r="I700">
        <v>0.5653458004356523</v>
      </c>
      <c r="J700">
        <v>-1.192362893981036</v>
      </c>
      <c r="K700">
        <v>-0.47431682728381408</v>
      </c>
      <c r="M700">
        <f t="shared" si="31"/>
        <v>-2.0518125173243811</v>
      </c>
      <c r="N700">
        <f t="shared" si="32"/>
        <v>8</v>
      </c>
    </row>
    <row r="701" spans="1:14" x14ac:dyDescent="0.35">
      <c r="A701" t="str">
        <f t="shared" si="30"/>
        <v>18097354500_2028</v>
      </c>
      <c r="B701">
        <v>18097354500</v>
      </c>
      <c r="C701">
        <v>2028</v>
      </c>
      <c r="D701">
        <v>0.54945384644816209</v>
      </c>
      <c r="E701">
        <v>0.4087665878168682</v>
      </c>
      <c r="F701">
        <v>-0.59071101738538523</v>
      </c>
      <c r="G701">
        <v>-0.27363648926503659</v>
      </c>
      <c r="H701">
        <v>-1.0487567109520519</v>
      </c>
      <c r="I701">
        <v>0.5561206653426054</v>
      </c>
      <c r="J701">
        <v>-1.174194088368248</v>
      </c>
      <c r="K701">
        <v>-0.44235567309628748</v>
      </c>
      <c r="M701">
        <f t="shared" si="31"/>
        <v>-2.0153128794593735</v>
      </c>
      <c r="N701">
        <f t="shared" si="32"/>
        <v>8</v>
      </c>
    </row>
    <row r="702" spans="1:14" x14ac:dyDescent="0.35">
      <c r="A702" t="str">
        <f t="shared" si="30"/>
        <v>18097354700_2024</v>
      </c>
      <c r="B702">
        <v>18097354700</v>
      </c>
      <c r="C702">
        <v>2024</v>
      </c>
      <c r="D702">
        <v>2.5858095481192511E-2</v>
      </c>
      <c r="E702">
        <v>0.34046896665206938</v>
      </c>
      <c r="F702">
        <v>-0.36866813757151679</v>
      </c>
      <c r="G702">
        <v>-0.63988975532001557</v>
      </c>
      <c r="H702">
        <v>-1.1529398111721181</v>
      </c>
      <c r="I702">
        <v>-0.31757326663994723</v>
      </c>
      <c r="J702">
        <v>-1.1432657378103539</v>
      </c>
      <c r="K702">
        <v>-0.55065709692094178</v>
      </c>
      <c r="M702">
        <f t="shared" si="31"/>
        <v>-3.8066667433016317</v>
      </c>
      <c r="N702">
        <f t="shared" si="32"/>
        <v>8</v>
      </c>
    </row>
    <row r="703" spans="1:14" x14ac:dyDescent="0.35">
      <c r="A703" t="str">
        <f t="shared" si="30"/>
        <v>18097354700_2025</v>
      </c>
      <c r="B703">
        <v>18097354700</v>
      </c>
      <c r="C703">
        <v>2025</v>
      </c>
      <c r="D703">
        <v>-7.121736040304108E-2</v>
      </c>
      <c r="E703">
        <v>0.47330506993225052</v>
      </c>
      <c r="F703">
        <v>-0.4665122298833973</v>
      </c>
      <c r="G703">
        <v>-0.56576128874658382</v>
      </c>
      <c r="H703">
        <v>-1.012912149646777</v>
      </c>
      <c r="I703">
        <v>-0.27850936624404682</v>
      </c>
      <c r="J703">
        <v>-1.182340576641822</v>
      </c>
      <c r="K703">
        <v>-0.52540327040507251</v>
      </c>
      <c r="M703">
        <f t="shared" si="31"/>
        <v>-3.6293511720384899</v>
      </c>
      <c r="N703">
        <f t="shared" si="32"/>
        <v>8</v>
      </c>
    </row>
    <row r="704" spans="1:14" x14ac:dyDescent="0.35">
      <c r="A704" t="str">
        <f t="shared" si="30"/>
        <v>18097354700_2026</v>
      </c>
      <c r="B704">
        <v>18097354700</v>
      </c>
      <c r="C704">
        <v>2026</v>
      </c>
      <c r="D704">
        <v>-8.8133188071471802E-2</v>
      </c>
      <c r="E704">
        <v>0.59938181828284653</v>
      </c>
      <c r="F704">
        <v>-0.53778894752055395</v>
      </c>
      <c r="G704">
        <v>-0.4946063537396343</v>
      </c>
      <c r="H704">
        <v>-0.78569857824229938</v>
      </c>
      <c r="I704">
        <v>-0.24345050616795211</v>
      </c>
      <c r="J704">
        <v>-1.196070124021833</v>
      </c>
      <c r="K704">
        <v>-0.50276551119051927</v>
      </c>
      <c r="M704">
        <f t="shared" si="31"/>
        <v>-3.2491313906714172</v>
      </c>
      <c r="N704">
        <f t="shared" si="32"/>
        <v>8</v>
      </c>
    </row>
    <row r="705" spans="1:14" x14ac:dyDescent="0.35">
      <c r="A705" t="str">
        <f t="shared" si="30"/>
        <v>18097354700_2027</v>
      </c>
      <c r="B705">
        <v>18097354700</v>
      </c>
      <c r="C705">
        <v>2027</v>
      </c>
      <c r="D705">
        <v>-0.17023803124672729</v>
      </c>
      <c r="E705">
        <v>0.7063018446654199</v>
      </c>
      <c r="F705">
        <v>-0.58624542259458889</v>
      </c>
      <c r="G705">
        <v>-0.42133004587656442</v>
      </c>
      <c r="H705">
        <v>-0.6210060539025497</v>
      </c>
      <c r="I705">
        <v>-0.20588353588436831</v>
      </c>
      <c r="J705">
        <v>-1.192362893981036</v>
      </c>
      <c r="K705">
        <v>-0.47431682743845488</v>
      </c>
      <c r="M705">
        <f t="shared" si="31"/>
        <v>-2.9650809662588697</v>
      </c>
      <c r="N705">
        <f t="shared" si="32"/>
        <v>8</v>
      </c>
    </row>
    <row r="706" spans="1:14" x14ac:dyDescent="0.35">
      <c r="A706" t="str">
        <f t="shared" si="30"/>
        <v>18097354700_2028</v>
      </c>
      <c r="B706">
        <v>18097354700</v>
      </c>
      <c r="C706">
        <v>2028</v>
      </c>
      <c r="D706">
        <v>-0.1928697547112786</v>
      </c>
      <c r="E706">
        <v>0.81361830334643492</v>
      </c>
      <c r="F706">
        <v>-0.62305733913028705</v>
      </c>
      <c r="G706">
        <v>-0.35368694513336407</v>
      </c>
      <c r="H706">
        <v>-0.44222139360883422</v>
      </c>
      <c r="I706">
        <v>-0.17043298834303039</v>
      </c>
      <c r="J706">
        <v>-1.174194088368248</v>
      </c>
      <c r="K706">
        <v>-0.44235567326433572</v>
      </c>
      <c r="M706">
        <f t="shared" si="31"/>
        <v>-2.5851998792129436</v>
      </c>
      <c r="N706">
        <f t="shared" si="32"/>
        <v>8</v>
      </c>
    </row>
    <row r="707" spans="1:14" x14ac:dyDescent="0.35">
      <c r="A707" t="str">
        <f t="shared" ref="A707:A770" si="33">TEXT(B707,0)&amp;"_"&amp;TEXT(C707,0)</f>
        <v>18097354800_2024</v>
      </c>
      <c r="B707">
        <v>18097354800</v>
      </c>
      <c r="C707">
        <v>2024</v>
      </c>
      <c r="D707">
        <v>0.32016050182241029</v>
      </c>
      <c r="E707">
        <v>-0.57023863510406481</v>
      </c>
      <c r="F707">
        <v>-0.61355514954127355</v>
      </c>
      <c r="G707">
        <v>0.23772149432300529</v>
      </c>
      <c r="H707">
        <v>-1.712690005753758</v>
      </c>
      <c r="I707">
        <v>-0.77460216813372629</v>
      </c>
      <c r="J707">
        <v>-1.1432657378103539</v>
      </c>
      <c r="K707">
        <v>-0.55065709692094178</v>
      </c>
      <c r="M707">
        <f t="shared" ref="M707:M770" si="34">SUM(D707:K707)</f>
        <v>-4.8071267971187028</v>
      </c>
      <c r="N707">
        <f t="shared" ref="N707:N770" si="35">IF(D707=0,0,1)+IF(E707=0,0,1)+IF(F707=0,0,1)+IF(G707=0,0,1)+IF(H707=0,0,1)+IF(I707=0,0,1)++IF(J707=0,0,1)++IF(K707=0,0,1)</f>
        <v>8</v>
      </c>
    </row>
    <row r="708" spans="1:14" x14ac:dyDescent="0.35">
      <c r="A708" t="str">
        <f t="shared" si="33"/>
        <v>18097354800_2025</v>
      </c>
      <c r="B708">
        <v>18097354800</v>
      </c>
      <c r="C708">
        <v>2025</v>
      </c>
      <c r="D708">
        <v>0.2025886014152338</v>
      </c>
      <c r="E708">
        <v>-0.52902587186012751</v>
      </c>
      <c r="F708">
        <v>-0.71001883217670814</v>
      </c>
      <c r="G708">
        <v>0.52657721742925112</v>
      </c>
      <c r="H708">
        <v>-1.5565051892523489</v>
      </c>
      <c r="I708">
        <v>-0.71141042720513514</v>
      </c>
      <c r="J708">
        <v>-1.182340576641822</v>
      </c>
      <c r="K708">
        <v>-0.52540327040507251</v>
      </c>
      <c r="M708">
        <f t="shared" si="34"/>
        <v>-4.4855383486967293</v>
      </c>
      <c r="N708">
        <f t="shared" si="35"/>
        <v>8</v>
      </c>
    </row>
    <row r="709" spans="1:14" x14ac:dyDescent="0.35">
      <c r="A709" t="str">
        <f t="shared" si="33"/>
        <v>18097354800_2026</v>
      </c>
      <c r="B709">
        <v>18097354800</v>
      </c>
      <c r="C709">
        <v>2026</v>
      </c>
      <c r="D709">
        <v>0.173695046093989</v>
      </c>
      <c r="E709">
        <v>-0.48591548989239031</v>
      </c>
      <c r="F709">
        <v>-0.7734426100413182</v>
      </c>
      <c r="G709">
        <v>0.82540255623666248</v>
      </c>
      <c r="H709">
        <v>-1.3566093452321579</v>
      </c>
      <c r="I709">
        <v>-0.72488455684790065</v>
      </c>
      <c r="J709">
        <v>-1.196070124021833</v>
      </c>
      <c r="K709">
        <v>-0.50276551119051927</v>
      </c>
      <c r="M709">
        <f t="shared" si="34"/>
        <v>-4.0405900348954678</v>
      </c>
      <c r="N709">
        <f t="shared" si="35"/>
        <v>8</v>
      </c>
    </row>
    <row r="710" spans="1:14" x14ac:dyDescent="0.35">
      <c r="A710" t="str">
        <f t="shared" si="33"/>
        <v>18097354800_2027</v>
      </c>
      <c r="B710">
        <v>18097354800</v>
      </c>
      <c r="C710">
        <v>2027</v>
      </c>
      <c r="D710">
        <v>6.7384098572506712E-2</v>
      </c>
      <c r="E710">
        <v>-0.4461996882246469</v>
      </c>
      <c r="F710">
        <v>-0.80640142770304535</v>
      </c>
      <c r="G710">
        <v>1.1538078704988199</v>
      </c>
      <c r="H710">
        <v>-1.2110885974477621</v>
      </c>
      <c r="I710">
        <v>-0.68748936770993996</v>
      </c>
      <c r="J710">
        <v>-1.192362893981036</v>
      </c>
      <c r="K710">
        <v>-0.47431682743845488</v>
      </c>
      <c r="M710">
        <f t="shared" si="34"/>
        <v>-3.5966668334335585</v>
      </c>
      <c r="N710">
        <f t="shared" si="35"/>
        <v>8</v>
      </c>
    </row>
    <row r="711" spans="1:14" x14ac:dyDescent="0.35">
      <c r="A711" t="str">
        <f t="shared" si="33"/>
        <v>18097354800_2028</v>
      </c>
      <c r="B711">
        <v>18097354800</v>
      </c>
      <c r="C711">
        <v>2028</v>
      </c>
      <c r="D711">
        <v>2.7697694006564591E-2</v>
      </c>
      <c r="E711">
        <v>-0.40408373906619161</v>
      </c>
      <c r="F711">
        <v>-0.82880086552792198</v>
      </c>
      <c r="G711">
        <v>1.457930413634525</v>
      </c>
      <c r="H711">
        <v>-1.04029484990721</v>
      </c>
      <c r="I711">
        <v>-0.67820141226268682</v>
      </c>
      <c r="J711">
        <v>-1.174194088368248</v>
      </c>
      <c r="K711">
        <v>-0.44235567326433572</v>
      </c>
      <c r="M711">
        <f t="shared" si="34"/>
        <v>-3.0823025207555048</v>
      </c>
      <c r="N711">
        <f t="shared" si="35"/>
        <v>8</v>
      </c>
    </row>
    <row r="712" spans="1:14" x14ac:dyDescent="0.35">
      <c r="A712" t="str">
        <f t="shared" si="33"/>
        <v>18097354900_2024</v>
      </c>
      <c r="B712">
        <v>18097354900</v>
      </c>
      <c r="C712">
        <v>2024</v>
      </c>
      <c r="D712">
        <v>1.1685632512549169</v>
      </c>
      <c r="E712">
        <v>-1.080757527043378</v>
      </c>
      <c r="F712">
        <v>0.69947458979759602</v>
      </c>
      <c r="G712">
        <v>-0.99066984183125795</v>
      </c>
      <c r="H712">
        <v>0.36171898186286511</v>
      </c>
      <c r="I712">
        <v>-0.78985474988316817</v>
      </c>
      <c r="J712">
        <v>-1.1432657378103539</v>
      </c>
      <c r="K712">
        <v>-0.55065709692094178</v>
      </c>
      <c r="M712">
        <f t="shared" si="34"/>
        <v>-2.3254481305737218</v>
      </c>
      <c r="N712">
        <f t="shared" si="35"/>
        <v>8</v>
      </c>
    </row>
    <row r="713" spans="1:14" x14ac:dyDescent="0.35">
      <c r="A713" t="str">
        <f t="shared" si="33"/>
        <v>18097354900_2025</v>
      </c>
      <c r="B713">
        <v>18097354900</v>
      </c>
      <c r="C713">
        <v>2025</v>
      </c>
      <c r="D713">
        <v>0.99190518042067721</v>
      </c>
      <c r="E713">
        <v>-1.033422515834282</v>
      </c>
      <c r="F713">
        <v>0.59767105632163675</v>
      </c>
      <c r="G713">
        <v>-0.96583450372725277</v>
      </c>
      <c r="H713">
        <v>0.5199346875654971</v>
      </c>
      <c r="I713">
        <v>-0.76995265091612586</v>
      </c>
      <c r="J713">
        <v>-1.182340576641822</v>
      </c>
      <c r="K713">
        <v>-0.52540327040507251</v>
      </c>
      <c r="M713">
        <f t="shared" si="34"/>
        <v>-2.3674425932167442</v>
      </c>
      <c r="N713">
        <f t="shared" si="35"/>
        <v>8</v>
      </c>
    </row>
    <row r="714" spans="1:14" x14ac:dyDescent="0.35">
      <c r="A714" t="str">
        <f t="shared" si="33"/>
        <v>18097354900_2026</v>
      </c>
      <c r="B714">
        <v>18097354900</v>
      </c>
      <c r="C714">
        <v>2026</v>
      </c>
      <c r="D714">
        <v>0.92848262971811002</v>
      </c>
      <c r="E714">
        <v>-0.99407603142498835</v>
      </c>
      <c r="F714">
        <v>0.50688232619279894</v>
      </c>
      <c r="G714">
        <v>-0.92679488826647882</v>
      </c>
      <c r="H714">
        <v>0.70218022993060836</v>
      </c>
      <c r="I714">
        <v>-0.74684252834981268</v>
      </c>
      <c r="J714">
        <v>-1.196070124021833</v>
      </c>
      <c r="K714">
        <v>-0.50276551119051927</v>
      </c>
      <c r="M714">
        <f t="shared" si="34"/>
        <v>-2.2290038974121149</v>
      </c>
      <c r="N714">
        <f t="shared" si="35"/>
        <v>8</v>
      </c>
    </row>
    <row r="715" spans="1:14" x14ac:dyDescent="0.35">
      <c r="A715" t="str">
        <f t="shared" si="33"/>
        <v>18097354900_2027</v>
      </c>
      <c r="B715">
        <v>18097354900</v>
      </c>
      <c r="C715">
        <v>2027</v>
      </c>
      <c r="D715">
        <v>0.75239144681265147</v>
      </c>
      <c r="E715">
        <v>-0.95686062606123279</v>
      </c>
      <c r="F715">
        <v>0.40208014392294628</v>
      </c>
      <c r="G715">
        <v>-0.89273257309596543</v>
      </c>
      <c r="H715">
        <v>0.83859725040713207</v>
      </c>
      <c r="I715">
        <v>-0.72264694532110363</v>
      </c>
      <c r="J715">
        <v>-1.192362893981036</v>
      </c>
      <c r="K715">
        <v>-0.47431682743845488</v>
      </c>
      <c r="M715">
        <f t="shared" si="34"/>
        <v>-2.2458510247550629</v>
      </c>
      <c r="N715">
        <f t="shared" si="35"/>
        <v>8</v>
      </c>
    </row>
    <row r="716" spans="1:14" x14ac:dyDescent="0.35">
      <c r="A716" t="str">
        <f t="shared" si="33"/>
        <v>18097354900_2028</v>
      </c>
      <c r="B716">
        <v>18097354900</v>
      </c>
      <c r="C716">
        <v>2028</v>
      </c>
      <c r="D716">
        <v>0.66354043774464944</v>
      </c>
      <c r="E716">
        <v>-0.91973866988653641</v>
      </c>
      <c r="F716">
        <v>0.32411819843124368</v>
      </c>
      <c r="G716">
        <v>-0.84878776251625376</v>
      </c>
      <c r="H716">
        <v>0.96196719651637241</v>
      </c>
      <c r="I716">
        <v>-0.69590467651946442</v>
      </c>
      <c r="J716">
        <v>-1.174194088368248</v>
      </c>
      <c r="K716">
        <v>-0.44235567326433572</v>
      </c>
      <c r="M716">
        <f t="shared" si="34"/>
        <v>-2.1313550378625727</v>
      </c>
      <c r="N716">
        <f t="shared" si="35"/>
        <v>8</v>
      </c>
    </row>
    <row r="717" spans="1:14" x14ac:dyDescent="0.35">
      <c r="A717" t="str">
        <f t="shared" si="33"/>
        <v>18097355000_2024</v>
      </c>
      <c r="B717">
        <v>18097355000</v>
      </c>
      <c r="C717">
        <v>2024</v>
      </c>
      <c r="D717">
        <v>0.88643891613628067</v>
      </c>
      <c r="E717">
        <v>-0.79528176396376005</v>
      </c>
      <c r="F717">
        <v>-0.81198526610250765</v>
      </c>
      <c r="G717">
        <v>-0.81006198435234233</v>
      </c>
      <c r="H717">
        <v>-2.0794246397718239</v>
      </c>
      <c r="I717">
        <v>-0.28995019219642998</v>
      </c>
      <c r="J717">
        <v>-1.1432657378103539</v>
      </c>
      <c r="K717">
        <v>-0.55065709688782249</v>
      </c>
      <c r="M717">
        <f t="shared" si="34"/>
        <v>-5.5941877649487592</v>
      </c>
      <c r="N717">
        <f t="shared" si="35"/>
        <v>8</v>
      </c>
    </row>
    <row r="718" spans="1:14" x14ac:dyDescent="0.35">
      <c r="A718" t="str">
        <f t="shared" si="33"/>
        <v>18097355000_2025</v>
      </c>
      <c r="B718">
        <v>18097355000</v>
      </c>
      <c r="C718">
        <v>2025</v>
      </c>
      <c r="D718">
        <v>0.72942909948368539</v>
      </c>
      <c r="E718">
        <v>-0.76246137411398718</v>
      </c>
      <c r="F718">
        <v>-0.87995821315034317</v>
      </c>
      <c r="G718">
        <v>-0.60289803854487312</v>
      </c>
      <c r="H718">
        <v>-1.926164963573757</v>
      </c>
      <c r="I718">
        <v>-0.36025622505091071</v>
      </c>
      <c r="J718">
        <v>-1.182340576641822</v>
      </c>
      <c r="K718">
        <v>-0.52540327032439182</v>
      </c>
      <c r="M718">
        <f t="shared" si="34"/>
        <v>-5.5100535619164006</v>
      </c>
      <c r="N718">
        <f t="shared" si="35"/>
        <v>8</v>
      </c>
    </row>
    <row r="719" spans="1:14" x14ac:dyDescent="0.35">
      <c r="A719" t="str">
        <f t="shared" si="33"/>
        <v>18097355000_2026</v>
      </c>
      <c r="B719">
        <v>18097355000</v>
      </c>
      <c r="C719">
        <v>2026</v>
      </c>
      <c r="D719">
        <v>0.67748870505373293</v>
      </c>
      <c r="E719">
        <v>-0.72830220492039754</v>
      </c>
      <c r="F719">
        <v>-0.91430553419699601</v>
      </c>
      <c r="G719">
        <v>-0.65234301937531514</v>
      </c>
      <c r="H719">
        <v>-1.719737522789192</v>
      </c>
      <c r="I719">
        <v>-0.28263242523293031</v>
      </c>
      <c r="J719">
        <v>-1.196070124021833</v>
      </c>
      <c r="K719">
        <v>-0.50276551106666245</v>
      </c>
      <c r="M719">
        <f t="shared" si="34"/>
        <v>-5.3186676365495931</v>
      </c>
      <c r="N719">
        <f t="shared" si="35"/>
        <v>8</v>
      </c>
    </row>
    <row r="720" spans="1:14" x14ac:dyDescent="0.35">
      <c r="A720" t="str">
        <f t="shared" si="33"/>
        <v>18097355000_2027</v>
      </c>
      <c r="B720">
        <v>18097355000</v>
      </c>
      <c r="C720">
        <v>2027</v>
      </c>
      <c r="D720">
        <v>0.52460193815030209</v>
      </c>
      <c r="E720">
        <v>-0.69495550328610955</v>
      </c>
      <c r="F720">
        <v>-0.92082085000647718</v>
      </c>
      <c r="G720">
        <v>-0.49552715507148642</v>
      </c>
      <c r="H720">
        <v>-1.5639971655438589</v>
      </c>
      <c r="I720">
        <v>-0.30826291840691411</v>
      </c>
      <c r="J720">
        <v>-1.192362893981036</v>
      </c>
      <c r="K720">
        <v>-0.47431682728381408</v>
      </c>
      <c r="M720">
        <f t="shared" si="34"/>
        <v>-5.1256413754293941</v>
      </c>
      <c r="N720">
        <f t="shared" si="35"/>
        <v>8</v>
      </c>
    </row>
    <row r="721" spans="1:14" x14ac:dyDescent="0.35">
      <c r="A721" t="str">
        <f t="shared" si="33"/>
        <v>18097355000_2028</v>
      </c>
      <c r="B721">
        <v>18097355000</v>
      </c>
      <c r="C721">
        <v>2028</v>
      </c>
      <c r="D721">
        <v>0.45209994245382362</v>
      </c>
      <c r="E721">
        <v>-0.65932373991828508</v>
      </c>
      <c r="F721">
        <v>-0.92311685807612243</v>
      </c>
      <c r="G721">
        <v>-0.50359524120983978</v>
      </c>
      <c r="H721">
        <v>-1.3769104262488401</v>
      </c>
      <c r="I721">
        <v>-0.25995429997576702</v>
      </c>
      <c r="J721">
        <v>-1.174194088368248</v>
      </c>
      <c r="K721">
        <v>-0.44235567309628748</v>
      </c>
      <c r="M721">
        <f t="shared" si="34"/>
        <v>-4.887350384439566</v>
      </c>
      <c r="N721">
        <f t="shared" si="35"/>
        <v>8</v>
      </c>
    </row>
    <row r="722" spans="1:14" x14ac:dyDescent="0.35">
      <c r="A722" t="str">
        <f t="shared" si="33"/>
        <v>18097355100_2024</v>
      </c>
      <c r="B722">
        <v>18097355100</v>
      </c>
      <c r="C722">
        <v>2024</v>
      </c>
      <c r="D722">
        <v>0.5596617691326059</v>
      </c>
      <c r="E722">
        <v>-1.232912773396589</v>
      </c>
      <c r="F722">
        <v>2.3278652952975341</v>
      </c>
      <c r="G722">
        <v>-1.2299976192271229</v>
      </c>
      <c r="H722">
        <v>-0.2126429427028631</v>
      </c>
      <c r="I722">
        <v>0.1210272181625843</v>
      </c>
      <c r="J722">
        <v>-1.1432657378103539</v>
      </c>
      <c r="K722">
        <v>-0.55065709692094178</v>
      </c>
      <c r="M722">
        <f t="shared" si="34"/>
        <v>-1.3609218874651463</v>
      </c>
      <c r="N722">
        <f t="shared" si="35"/>
        <v>8</v>
      </c>
    </row>
    <row r="723" spans="1:14" x14ac:dyDescent="0.35">
      <c r="A723" t="str">
        <f t="shared" si="33"/>
        <v>18097355100_2025</v>
      </c>
      <c r="B723">
        <v>18097355100</v>
      </c>
      <c r="C723">
        <v>2025</v>
      </c>
      <c r="D723">
        <v>0.42541003851169862</v>
      </c>
      <c r="E723">
        <v>-1.2197174473668679</v>
      </c>
      <c r="F723">
        <v>2.315348485731759</v>
      </c>
      <c r="G723">
        <v>-1.236496267580925</v>
      </c>
      <c r="H723">
        <v>-6.3177742199977321E-2</v>
      </c>
      <c r="I723">
        <v>0.18486691680952619</v>
      </c>
      <c r="J723">
        <v>-1.182340576641822</v>
      </c>
      <c r="K723">
        <v>-0.52540327040507251</v>
      </c>
      <c r="M723">
        <f t="shared" si="34"/>
        <v>-1.301509863141681</v>
      </c>
      <c r="N723">
        <f t="shared" si="35"/>
        <v>8</v>
      </c>
    </row>
    <row r="724" spans="1:14" x14ac:dyDescent="0.35">
      <c r="A724" t="str">
        <f t="shared" si="33"/>
        <v>18097355100_2026</v>
      </c>
      <c r="B724">
        <v>18097355100</v>
      </c>
      <c r="C724">
        <v>2026</v>
      </c>
      <c r="D724">
        <v>0.38676907392261689</v>
      </c>
      <c r="E724">
        <v>-1.2063219059513339</v>
      </c>
      <c r="F724">
        <v>2.2680883091748019</v>
      </c>
      <c r="G724">
        <v>-1.217992701902967</v>
      </c>
      <c r="H724">
        <v>9.907956408061816E-2</v>
      </c>
      <c r="I724">
        <v>0.21163095579995861</v>
      </c>
      <c r="J724">
        <v>-1.196070124021833</v>
      </c>
      <c r="K724">
        <v>-0.50276551119051927</v>
      </c>
      <c r="M724">
        <f t="shared" si="34"/>
        <v>-1.1575823400886578</v>
      </c>
      <c r="N724">
        <f t="shared" si="35"/>
        <v>8</v>
      </c>
    </row>
    <row r="725" spans="1:14" x14ac:dyDescent="0.35">
      <c r="A725" t="str">
        <f t="shared" si="33"/>
        <v>18097355100_2027</v>
      </c>
      <c r="B725">
        <v>18097355100</v>
      </c>
      <c r="C725">
        <v>2027</v>
      </c>
      <c r="D725">
        <v>0.2607593976265169</v>
      </c>
      <c r="E725">
        <v>-1.1883597258603831</v>
      </c>
      <c r="F725">
        <v>2.166727705230278</v>
      </c>
      <c r="G725">
        <v>-1.2052789945531539</v>
      </c>
      <c r="H725">
        <v>0.2245009925190764</v>
      </c>
      <c r="I725">
        <v>0.228316774786847</v>
      </c>
      <c r="J725">
        <v>-1.192362893981036</v>
      </c>
      <c r="K725">
        <v>-0.47431682743845488</v>
      </c>
      <c r="M725">
        <f t="shared" si="34"/>
        <v>-1.1800135716703097</v>
      </c>
      <c r="N725">
        <f t="shared" si="35"/>
        <v>8</v>
      </c>
    </row>
    <row r="726" spans="1:14" x14ac:dyDescent="0.35">
      <c r="A726" t="str">
        <f t="shared" si="33"/>
        <v>18097355100_2028</v>
      </c>
      <c r="B726">
        <v>18097355100</v>
      </c>
      <c r="C726">
        <v>2028</v>
      </c>
      <c r="D726">
        <v>0.20719399649620099</v>
      </c>
      <c r="E726">
        <v>-1.168148461864212</v>
      </c>
      <c r="F726">
        <v>2.106504404301039</v>
      </c>
      <c r="G726">
        <v>-1.1720775429728401</v>
      </c>
      <c r="H726">
        <v>0.34640135998937371</v>
      </c>
      <c r="I726">
        <v>0.23239954824765449</v>
      </c>
      <c r="J726">
        <v>-1.174194088368248</v>
      </c>
      <c r="K726">
        <v>-0.44235567326433572</v>
      </c>
      <c r="M726">
        <f t="shared" si="34"/>
        <v>-1.0642764574353674</v>
      </c>
      <c r="N726">
        <f t="shared" si="35"/>
        <v>8</v>
      </c>
    </row>
    <row r="727" spans="1:14" x14ac:dyDescent="0.35">
      <c r="A727" t="str">
        <f t="shared" si="33"/>
        <v>18097355300_2024</v>
      </c>
      <c r="B727">
        <v>18097355300</v>
      </c>
      <c r="C727">
        <v>2024</v>
      </c>
      <c r="D727">
        <v>1.9682539387077269</v>
      </c>
      <c r="E727">
        <v>9.4772028756628397E-3</v>
      </c>
      <c r="F727">
        <v>0.34769715165591147</v>
      </c>
      <c r="G727">
        <v>-0.82596504077218524</v>
      </c>
      <c r="H727">
        <v>0.42523253671962308</v>
      </c>
      <c r="I727">
        <v>0.31849751105917529</v>
      </c>
      <c r="J727">
        <v>-1.1285747837412241</v>
      </c>
      <c r="K727">
        <v>-0.56407419395741498</v>
      </c>
      <c r="M727">
        <f t="shared" si="34"/>
        <v>0.55054432254727548</v>
      </c>
      <c r="N727">
        <f t="shared" si="35"/>
        <v>8</v>
      </c>
    </row>
    <row r="728" spans="1:14" x14ac:dyDescent="0.35">
      <c r="A728" t="str">
        <f t="shared" si="33"/>
        <v>18097355300_2025</v>
      </c>
      <c r="B728">
        <v>18097355300</v>
      </c>
      <c r="C728">
        <v>2025</v>
      </c>
      <c r="D728">
        <v>1.7342915934302341</v>
      </c>
      <c r="E728">
        <v>5.5168746501019897E-2</v>
      </c>
      <c r="F728">
        <v>0.13012048439218349</v>
      </c>
      <c r="G728">
        <v>-0.84660031127599822</v>
      </c>
      <c r="H728">
        <v>0.56864545871070804</v>
      </c>
      <c r="I728">
        <v>0.2965201986103343</v>
      </c>
      <c r="J728">
        <v>-1.1672223174306049</v>
      </c>
      <c r="K728">
        <v>-0.53408779874479917</v>
      </c>
      <c r="M728">
        <f t="shared" si="34"/>
        <v>0.23683605419307785</v>
      </c>
      <c r="N728">
        <f t="shared" si="35"/>
        <v>8</v>
      </c>
    </row>
    <row r="729" spans="1:14" x14ac:dyDescent="0.35">
      <c r="A729" t="str">
        <f t="shared" si="33"/>
        <v>18097355300_2026</v>
      </c>
      <c r="B729">
        <v>18097355300</v>
      </c>
      <c r="C729">
        <v>2026</v>
      </c>
      <c r="D729">
        <v>1.640828669028161</v>
      </c>
      <c r="E729">
        <v>0.1057960669575314</v>
      </c>
      <c r="F729">
        <v>-2.7005339687993998E-2</v>
      </c>
      <c r="G729">
        <v>-0.85434090589156408</v>
      </c>
      <c r="H729">
        <v>0.71339791319460177</v>
      </c>
      <c r="I729">
        <v>0.26321948277553953</v>
      </c>
      <c r="J729">
        <v>-1.181493314516443</v>
      </c>
      <c r="K729">
        <v>-0.50303234601653735</v>
      </c>
      <c r="M729">
        <f t="shared" si="34"/>
        <v>0.15737022584329519</v>
      </c>
      <c r="N729">
        <f t="shared" si="35"/>
        <v>8</v>
      </c>
    </row>
    <row r="730" spans="1:14" x14ac:dyDescent="0.35">
      <c r="A730" t="str">
        <f t="shared" si="33"/>
        <v>18097355300_2027</v>
      </c>
      <c r="B730">
        <v>18097355300</v>
      </c>
      <c r="C730">
        <v>2027</v>
      </c>
      <c r="D730">
        <v>1.3995746977595049</v>
      </c>
      <c r="E730">
        <v>0.14748227857444859</v>
      </c>
      <c r="F730">
        <v>-0.14220155397934109</v>
      </c>
      <c r="G730">
        <v>-0.86220597385983744</v>
      </c>
      <c r="H730">
        <v>0.82930449005728446</v>
      </c>
      <c r="I730">
        <v>0.23669871295531769</v>
      </c>
      <c r="J730">
        <v>-1.1793591323577599</v>
      </c>
      <c r="K730">
        <v>-0.46461128166729232</v>
      </c>
      <c r="M730">
        <f t="shared" si="34"/>
        <v>-3.53177625176751E-2</v>
      </c>
      <c r="N730">
        <f t="shared" si="35"/>
        <v>8</v>
      </c>
    </row>
    <row r="731" spans="1:14" x14ac:dyDescent="0.35">
      <c r="A731" t="str">
        <f t="shared" si="33"/>
        <v>18097355300_2028</v>
      </c>
      <c r="B731">
        <v>18097355300</v>
      </c>
      <c r="C731">
        <v>2028</v>
      </c>
      <c r="D731">
        <v>1.265215762765852</v>
      </c>
      <c r="E731">
        <v>0.1925716225548916</v>
      </c>
      <c r="F731">
        <v>-0.22290580930207779</v>
      </c>
      <c r="G731">
        <v>-0.85662481102475463</v>
      </c>
      <c r="H731">
        <v>0.92980411762191284</v>
      </c>
      <c r="I731">
        <v>0.20689966215080149</v>
      </c>
      <c r="J731">
        <v>-1.163916887943568</v>
      </c>
      <c r="K731">
        <v>-0.42303111741048161</v>
      </c>
      <c r="M731">
        <f t="shared" si="34"/>
        <v>-7.198746058742389E-2</v>
      </c>
      <c r="N731">
        <f t="shared" si="35"/>
        <v>8</v>
      </c>
    </row>
    <row r="732" spans="1:14" x14ac:dyDescent="0.35">
      <c r="A732" t="str">
        <f t="shared" si="33"/>
        <v>18097355400_2024</v>
      </c>
      <c r="B732">
        <v>18097355400</v>
      </c>
      <c r="C732">
        <v>2024</v>
      </c>
      <c r="D732">
        <v>1.4996846063578471</v>
      </c>
      <c r="E732">
        <v>-0.58416834554443697</v>
      </c>
      <c r="F732">
        <v>-1.2010695659223041E-2</v>
      </c>
      <c r="G732">
        <v>-0.81410735760054942</v>
      </c>
      <c r="H732">
        <v>-1.5107632718995641</v>
      </c>
      <c r="I732">
        <v>-0.23345684175600501</v>
      </c>
      <c r="J732">
        <v>-1.136234642513331</v>
      </c>
      <c r="K732">
        <v>-0.55673660336965014</v>
      </c>
      <c r="M732">
        <f t="shared" si="34"/>
        <v>-3.3477931519849129</v>
      </c>
      <c r="N732">
        <f t="shared" si="35"/>
        <v>8</v>
      </c>
    </row>
    <row r="733" spans="1:14" x14ac:dyDescent="0.35">
      <c r="A733" t="str">
        <f t="shared" si="33"/>
        <v>18097355400_2025</v>
      </c>
      <c r="B733">
        <v>18097355400</v>
      </c>
      <c r="C733">
        <v>2025</v>
      </c>
      <c r="D733">
        <v>1.299278788926203</v>
      </c>
      <c r="E733">
        <v>-0.56456991400907153</v>
      </c>
      <c r="F733">
        <v>-0.1249683089180926</v>
      </c>
      <c r="G733">
        <v>-0.78597355363202381</v>
      </c>
      <c r="H733">
        <v>-1.5961929642805801</v>
      </c>
      <c r="I733">
        <v>-0.29219453774924009</v>
      </c>
      <c r="J733">
        <v>-1.1751526661366929</v>
      </c>
      <c r="K733">
        <v>-0.52881168620435492</v>
      </c>
      <c r="M733">
        <f t="shared" si="34"/>
        <v>-3.768584842003853</v>
      </c>
      <c r="N733">
        <f t="shared" si="35"/>
        <v>8</v>
      </c>
    </row>
    <row r="734" spans="1:14" x14ac:dyDescent="0.35">
      <c r="A734" t="str">
        <f t="shared" si="33"/>
        <v>18097355400_2026</v>
      </c>
      <c r="B734">
        <v>18097355400</v>
      </c>
      <c r="C734">
        <v>2026</v>
      </c>
      <c r="D734">
        <v>1.223441756772238</v>
      </c>
      <c r="E734">
        <v>-0.5438279773900272</v>
      </c>
      <c r="F734">
        <v>-0.22689415834547769</v>
      </c>
      <c r="G734">
        <v>-0.74644074572753871</v>
      </c>
      <c r="H734">
        <v>-1.593957599850806</v>
      </c>
      <c r="I734">
        <v>-0.32415244168206969</v>
      </c>
      <c r="J734">
        <v>-1.189197831198052</v>
      </c>
      <c r="K734">
        <v>-0.50188874532403749</v>
      </c>
      <c r="M734">
        <f t="shared" si="34"/>
        <v>-3.9029177427457702</v>
      </c>
      <c r="N734">
        <f t="shared" si="35"/>
        <v>8</v>
      </c>
    </row>
    <row r="735" spans="1:14" x14ac:dyDescent="0.35">
      <c r="A735" t="str">
        <f t="shared" si="33"/>
        <v>18097355400_2027</v>
      </c>
      <c r="B735">
        <v>18097355400</v>
      </c>
      <c r="C735">
        <v>2027</v>
      </c>
      <c r="D735">
        <v>1.020360237395052</v>
      </c>
      <c r="E735">
        <v>-0.52430775467274615</v>
      </c>
      <c r="F735">
        <v>-0.31094209322544453</v>
      </c>
      <c r="G735">
        <v>-0.71147079405311253</v>
      </c>
      <c r="H735">
        <v>-1.6225445290738769</v>
      </c>
      <c r="I735">
        <v>-0.33425503470136358</v>
      </c>
      <c r="J735">
        <v>-1.186310977999659</v>
      </c>
      <c r="K735">
        <v>-0.46856334355791129</v>
      </c>
      <c r="M735">
        <f t="shared" si="34"/>
        <v>-4.1380342898890623</v>
      </c>
      <c r="N735">
        <f t="shared" si="35"/>
        <v>8</v>
      </c>
    </row>
    <row r="736" spans="1:14" x14ac:dyDescent="0.35">
      <c r="A736" t="str">
        <f t="shared" si="33"/>
        <v>18097355400_2028</v>
      </c>
      <c r="B736">
        <v>18097355400</v>
      </c>
      <c r="C736">
        <v>2028</v>
      </c>
      <c r="D736">
        <v>0.91267876394644043</v>
      </c>
      <c r="E736">
        <v>-0.50162226609950111</v>
      </c>
      <c r="F736">
        <v>-0.37646577266956233</v>
      </c>
      <c r="G736">
        <v>-0.67057335067389701</v>
      </c>
      <c r="H736">
        <v>-1.5954318329430921</v>
      </c>
      <c r="I736">
        <v>-0.3328648465412074</v>
      </c>
      <c r="J736">
        <v>-1.169530634913706</v>
      </c>
      <c r="K736">
        <v>-0.43202098514242732</v>
      </c>
      <c r="M736">
        <f t="shared" si="34"/>
        <v>-4.1658309250369525</v>
      </c>
      <c r="N736">
        <f t="shared" si="35"/>
        <v>8</v>
      </c>
    </row>
    <row r="737" spans="1:14" x14ac:dyDescent="0.35">
      <c r="A737" t="str">
        <f t="shared" si="33"/>
        <v>18097355500_2024</v>
      </c>
      <c r="B737">
        <v>18097355500</v>
      </c>
      <c r="C737">
        <v>2024</v>
      </c>
      <c r="D737">
        <v>1.3022037047942321</v>
      </c>
      <c r="E737">
        <v>-0.88821556453605111</v>
      </c>
      <c r="F737">
        <v>-0.91768647200906517</v>
      </c>
      <c r="G737">
        <v>-0.28436887162057239</v>
      </c>
      <c r="H737">
        <v>0.34830578530357348</v>
      </c>
      <c r="I737">
        <v>1.3400658144652171</v>
      </c>
      <c r="J737">
        <v>-1.0319639455005041</v>
      </c>
      <c r="K737">
        <v>-0.35337972186674838</v>
      </c>
      <c r="M737">
        <f t="shared" si="34"/>
        <v>-0.4850392709699185</v>
      </c>
      <c r="N737">
        <f t="shared" si="35"/>
        <v>8</v>
      </c>
    </row>
    <row r="738" spans="1:14" x14ac:dyDescent="0.35">
      <c r="A738" t="str">
        <f t="shared" si="33"/>
        <v>18097355500_2025</v>
      </c>
      <c r="B738">
        <v>18097355500</v>
      </c>
      <c r="C738">
        <v>2025</v>
      </c>
      <c r="D738">
        <v>1.07734602927042</v>
      </c>
      <c r="E738">
        <v>-0.83986653004438305</v>
      </c>
      <c r="F738">
        <v>-0.91866599712643737</v>
      </c>
      <c r="G738">
        <v>-0.45482181744073907</v>
      </c>
      <c r="H738">
        <v>0.56783554370780598</v>
      </c>
      <c r="I738">
        <v>1.453717842932591</v>
      </c>
      <c r="J738">
        <v>-1.0497525919353521</v>
      </c>
      <c r="K738">
        <v>-0.34426820692727239</v>
      </c>
      <c r="M738">
        <f t="shared" si="34"/>
        <v>-0.50847572756336712</v>
      </c>
      <c r="N738">
        <f t="shared" si="35"/>
        <v>8</v>
      </c>
    </row>
    <row r="739" spans="1:14" x14ac:dyDescent="0.35">
      <c r="A739" t="str">
        <f t="shared" si="33"/>
        <v>18097355500_2026</v>
      </c>
      <c r="B739">
        <v>18097355500</v>
      </c>
      <c r="C739">
        <v>2026</v>
      </c>
      <c r="D739">
        <v>1.0242925275500721</v>
      </c>
      <c r="E739">
        <v>-0.79133450193782151</v>
      </c>
      <c r="F739">
        <v>-0.92462980418668139</v>
      </c>
      <c r="G739">
        <v>-0.31460006560559062</v>
      </c>
      <c r="H739">
        <v>0.44170011624180339</v>
      </c>
      <c r="I739">
        <v>1.5199611255486509</v>
      </c>
      <c r="J739">
        <v>-1.0438783629450841</v>
      </c>
      <c r="K739">
        <v>-0.34054140505373809</v>
      </c>
      <c r="M739">
        <f t="shared" si="34"/>
        <v>-0.4290303703883892</v>
      </c>
      <c r="N739">
        <f t="shared" si="35"/>
        <v>8</v>
      </c>
    </row>
    <row r="740" spans="1:14" x14ac:dyDescent="0.35">
      <c r="A740" t="str">
        <f t="shared" si="33"/>
        <v>18097355500_2027</v>
      </c>
      <c r="B740">
        <v>18097355500</v>
      </c>
      <c r="C740">
        <v>2027</v>
      </c>
      <c r="D740">
        <v>0.80977658548824749</v>
      </c>
      <c r="E740">
        <v>-0.74369962461796757</v>
      </c>
      <c r="F740">
        <v>-0.90610019600657676</v>
      </c>
      <c r="G740">
        <v>-0.41202852707706961</v>
      </c>
      <c r="H740">
        <v>0.57893629204534391</v>
      </c>
      <c r="I740">
        <v>1.5875470166532031</v>
      </c>
      <c r="J740">
        <v>-1.0220296615951121</v>
      </c>
      <c r="K740">
        <v>-0.32846875366462702</v>
      </c>
      <c r="M740">
        <f t="shared" si="34"/>
        <v>-0.43606686877455858</v>
      </c>
      <c r="N740">
        <f t="shared" si="35"/>
        <v>8</v>
      </c>
    </row>
    <row r="741" spans="1:14" x14ac:dyDescent="0.35">
      <c r="A741" t="str">
        <f t="shared" si="33"/>
        <v>18097355500_2028</v>
      </c>
      <c r="B741">
        <v>18097355500</v>
      </c>
      <c r="C741">
        <v>2028</v>
      </c>
      <c r="D741">
        <v>0.7238419398962207</v>
      </c>
      <c r="E741">
        <v>-0.69462982048757638</v>
      </c>
      <c r="F741">
        <v>-0.89324122222006663</v>
      </c>
      <c r="G741">
        <v>-0.33530302751149949</v>
      </c>
      <c r="H741">
        <v>0.49914993087154408</v>
      </c>
      <c r="I741">
        <v>1.635327951648567</v>
      </c>
      <c r="J741">
        <v>-0.98630544199578396</v>
      </c>
      <c r="K741">
        <v>-0.31264126653467528</v>
      </c>
      <c r="M741">
        <f t="shared" si="34"/>
        <v>-0.36380095633326992</v>
      </c>
      <c r="N741">
        <f t="shared" si="35"/>
        <v>8</v>
      </c>
    </row>
    <row r="742" spans="1:14" x14ac:dyDescent="0.35">
      <c r="A742" t="str">
        <f t="shared" si="33"/>
        <v>18097355600_2024</v>
      </c>
      <c r="B742">
        <v>18097355600</v>
      </c>
      <c r="C742">
        <v>2024</v>
      </c>
      <c r="D742">
        <v>0.52609833381568227</v>
      </c>
      <c r="E742">
        <v>-0.75034077705855207</v>
      </c>
      <c r="F742">
        <v>0.58230833874743715</v>
      </c>
      <c r="G742">
        <v>-1.0107578076397989</v>
      </c>
      <c r="H742">
        <v>-0.1278411551047772</v>
      </c>
      <c r="I742">
        <v>-0.63855605752025579</v>
      </c>
      <c r="J742">
        <v>-1.1141348680668901</v>
      </c>
      <c r="K742">
        <v>-0.4892447456617855</v>
      </c>
      <c r="M742">
        <f t="shared" si="34"/>
        <v>-3.0224687384889402</v>
      </c>
      <c r="N742">
        <f t="shared" si="35"/>
        <v>8</v>
      </c>
    </row>
    <row r="743" spans="1:14" x14ac:dyDescent="0.35">
      <c r="A743" t="str">
        <f t="shared" si="33"/>
        <v>18097355600_2025</v>
      </c>
      <c r="B743">
        <v>18097355600</v>
      </c>
      <c r="C743">
        <v>2025</v>
      </c>
      <c r="D743">
        <v>0.38547131832803189</v>
      </c>
      <c r="E743">
        <v>-0.69334164298006662</v>
      </c>
      <c r="F743">
        <v>0.53280074351424889</v>
      </c>
      <c r="G743">
        <v>-0.97905069691061564</v>
      </c>
      <c r="H743">
        <v>1.098960667256765E-2</v>
      </c>
      <c r="I743">
        <v>-0.6609736996621538</v>
      </c>
      <c r="J743">
        <v>-1.1480365070096481</v>
      </c>
      <c r="K743">
        <v>-0.47248442079678932</v>
      </c>
      <c r="M743">
        <f t="shared" si="34"/>
        <v>-3.0246252988444251</v>
      </c>
      <c r="N743">
        <f t="shared" si="35"/>
        <v>8</v>
      </c>
    </row>
    <row r="744" spans="1:14" x14ac:dyDescent="0.35">
      <c r="A744" t="str">
        <f t="shared" si="33"/>
        <v>18097355600_2026</v>
      </c>
      <c r="B744">
        <v>18097355600</v>
      </c>
      <c r="C744">
        <v>2026</v>
      </c>
      <c r="D744">
        <v>0.351563819546308</v>
      </c>
      <c r="E744">
        <v>-0.63495158105857152</v>
      </c>
      <c r="F744">
        <v>0.45834129030796622</v>
      </c>
      <c r="G744">
        <v>-0.96270699177762942</v>
      </c>
      <c r="H744">
        <v>0.20648190225503141</v>
      </c>
      <c r="I744">
        <v>-0.74078086520046393</v>
      </c>
      <c r="J744">
        <v>-1.1567354691552709</v>
      </c>
      <c r="K744">
        <v>-0.45981305159730851</v>
      </c>
      <c r="M744">
        <f t="shared" si="34"/>
        <v>-2.938600946679939</v>
      </c>
      <c r="N744">
        <f t="shared" si="35"/>
        <v>8</v>
      </c>
    </row>
    <row r="745" spans="1:14" x14ac:dyDescent="0.35">
      <c r="A745" t="str">
        <f t="shared" si="33"/>
        <v>18097355600_2027</v>
      </c>
      <c r="B745">
        <v>18097355600</v>
      </c>
      <c r="C745">
        <v>2027</v>
      </c>
      <c r="D745">
        <v>0.22186439533483959</v>
      </c>
      <c r="E745">
        <v>-0.57878715176929851</v>
      </c>
      <c r="F745">
        <v>0.37880595137602319</v>
      </c>
      <c r="G745">
        <v>-0.93657477672562761</v>
      </c>
      <c r="H745">
        <v>0.38150708461056398</v>
      </c>
      <c r="I745">
        <v>-0.77846853541318306</v>
      </c>
      <c r="J745">
        <v>-1.148135284742176</v>
      </c>
      <c r="K745">
        <v>-0.44027694941488671</v>
      </c>
      <c r="M745">
        <f t="shared" si="34"/>
        <v>-2.900065266743745</v>
      </c>
      <c r="N745">
        <f t="shared" si="35"/>
        <v>8</v>
      </c>
    </row>
    <row r="746" spans="1:14" x14ac:dyDescent="0.35">
      <c r="A746" t="str">
        <f t="shared" si="33"/>
        <v>18097355600_2028</v>
      </c>
      <c r="B746">
        <v>18097355600</v>
      </c>
      <c r="C746">
        <v>2028</v>
      </c>
      <c r="D746">
        <v>0.17262442475305989</v>
      </c>
      <c r="E746">
        <v>-0.52103649686242381</v>
      </c>
      <c r="F746">
        <v>0.3174619130599402</v>
      </c>
      <c r="G746">
        <v>-0.90471512904275242</v>
      </c>
      <c r="H746">
        <v>0.55182253844348994</v>
      </c>
      <c r="I746">
        <v>-0.83402817354403891</v>
      </c>
      <c r="J746">
        <v>-1.125034543551569</v>
      </c>
      <c r="K746">
        <v>-0.41617295357639728</v>
      </c>
      <c r="M746">
        <f t="shared" si="34"/>
        <v>-2.7590784203206913</v>
      </c>
      <c r="N746">
        <f t="shared" si="35"/>
        <v>8</v>
      </c>
    </row>
    <row r="747" spans="1:14" x14ac:dyDescent="0.35">
      <c r="A747" t="str">
        <f t="shared" si="33"/>
        <v>18097355700_2024</v>
      </c>
      <c r="B747">
        <v>18097355700</v>
      </c>
      <c r="C747">
        <v>2024</v>
      </c>
      <c r="D747">
        <v>0.95804638114991958</v>
      </c>
      <c r="E747">
        <v>-1.4449639344788809</v>
      </c>
      <c r="F747">
        <v>0.1162012447462451</v>
      </c>
      <c r="G747">
        <v>-1.000883977930354</v>
      </c>
      <c r="H747">
        <v>-1.0154123500417429</v>
      </c>
      <c r="I747">
        <v>0.92218432838932241</v>
      </c>
      <c r="J747">
        <v>-0.50014944823470586</v>
      </c>
      <c r="K747">
        <v>-0.21271138340463761</v>
      </c>
      <c r="M747">
        <f t="shared" si="34"/>
        <v>-2.1776891398048339</v>
      </c>
      <c r="N747">
        <f t="shared" si="35"/>
        <v>8</v>
      </c>
    </row>
    <row r="748" spans="1:14" x14ac:dyDescent="0.35">
      <c r="A748" t="str">
        <f t="shared" si="33"/>
        <v>18097355700_2025</v>
      </c>
      <c r="B748">
        <v>18097355700</v>
      </c>
      <c r="C748">
        <v>2025</v>
      </c>
      <c r="D748">
        <v>0.80040351609553484</v>
      </c>
      <c r="E748">
        <v>-1.4507769606544121</v>
      </c>
      <c r="F748">
        <v>3.5779801200410022E-2</v>
      </c>
      <c r="G748">
        <v>-1.0032277209063509</v>
      </c>
      <c r="H748">
        <v>-0.91108834458133836</v>
      </c>
      <c r="I748">
        <v>0.99231064009240755</v>
      </c>
      <c r="J748">
        <v>-0.46085173643991528</v>
      </c>
      <c r="K748">
        <v>-0.1233020484909267</v>
      </c>
      <c r="M748">
        <f t="shared" si="34"/>
        <v>-2.120752853684591</v>
      </c>
      <c r="N748">
        <f t="shared" si="35"/>
        <v>8</v>
      </c>
    </row>
    <row r="749" spans="1:14" x14ac:dyDescent="0.35">
      <c r="A749" t="str">
        <f t="shared" si="33"/>
        <v>18097355700_2026</v>
      </c>
      <c r="B749">
        <v>18097355700</v>
      </c>
      <c r="C749">
        <v>2026</v>
      </c>
      <c r="D749">
        <v>0.74758076410139918</v>
      </c>
      <c r="E749">
        <v>-1.4508730114866719</v>
      </c>
      <c r="F749">
        <v>-4.1892823632391073E-2</v>
      </c>
      <c r="G749">
        <v>-0.98863388657492624</v>
      </c>
      <c r="H749">
        <v>-0.75634279849822994</v>
      </c>
      <c r="I749">
        <v>1.0363983296079871</v>
      </c>
      <c r="J749">
        <v>-0.40438496861949791</v>
      </c>
      <c r="K749">
        <v>-4.4428648051102949E-2</v>
      </c>
      <c r="M749">
        <f t="shared" si="34"/>
        <v>-1.9025770431534337</v>
      </c>
      <c r="N749">
        <f t="shared" si="35"/>
        <v>8</v>
      </c>
    </row>
    <row r="750" spans="1:14" x14ac:dyDescent="0.35">
      <c r="A750" t="str">
        <f t="shared" si="33"/>
        <v>18097355700_2027</v>
      </c>
      <c r="B750">
        <v>18097355700</v>
      </c>
      <c r="C750">
        <v>2027</v>
      </c>
      <c r="D750">
        <v>0.59478015720002186</v>
      </c>
      <c r="E750">
        <v>-1.4471484915788759</v>
      </c>
      <c r="F750">
        <v>-0.1126019140315058</v>
      </c>
      <c r="G750">
        <v>-0.97762407037832844</v>
      </c>
      <c r="H750">
        <v>-0.64369440497622066</v>
      </c>
      <c r="I750">
        <v>1.0891492947444941</v>
      </c>
      <c r="J750">
        <v>-0.33536970543558742</v>
      </c>
      <c r="K750">
        <v>2.039496335919045E-2</v>
      </c>
      <c r="M750">
        <f t="shared" si="34"/>
        <v>-1.8121141710968118</v>
      </c>
      <c r="N750">
        <f t="shared" si="35"/>
        <v>8</v>
      </c>
    </row>
    <row r="751" spans="1:14" x14ac:dyDescent="0.35">
      <c r="A751" t="str">
        <f t="shared" si="33"/>
        <v>18097355700_2028</v>
      </c>
      <c r="B751">
        <v>18097355700</v>
      </c>
      <c r="C751">
        <v>2028</v>
      </c>
      <c r="D751">
        <v>0.51816084039500132</v>
      </c>
      <c r="E751">
        <v>-1.4392442795453879</v>
      </c>
      <c r="F751">
        <v>-0.1684231135480824</v>
      </c>
      <c r="G751">
        <v>-0.95229337095936217</v>
      </c>
      <c r="H751">
        <v>-0.51380737405044519</v>
      </c>
      <c r="I751">
        <v>1.1281255072394389</v>
      </c>
      <c r="J751">
        <v>-0.25212446481099671</v>
      </c>
      <c r="K751">
        <v>6.6035790202421743E-2</v>
      </c>
      <c r="M751">
        <f t="shared" si="34"/>
        <v>-1.6135704650774125</v>
      </c>
      <c r="N751">
        <f t="shared" si="35"/>
        <v>8</v>
      </c>
    </row>
    <row r="752" spans="1:14" x14ac:dyDescent="0.35">
      <c r="A752" t="str">
        <f t="shared" si="33"/>
        <v>18097355900_2024</v>
      </c>
      <c r="B752">
        <v>18097355900</v>
      </c>
      <c r="C752">
        <v>2024</v>
      </c>
      <c r="D752">
        <v>0.88292320409077796</v>
      </c>
      <c r="E752">
        <v>1.4442212250661579</v>
      </c>
      <c r="F752">
        <v>-0.14890577964356941</v>
      </c>
      <c r="G752">
        <v>1.942697527374375</v>
      </c>
      <c r="H752">
        <v>-0.13680217293915731</v>
      </c>
      <c r="I752">
        <v>1.4245266893751281</v>
      </c>
      <c r="J752">
        <v>-0.87205700724955482</v>
      </c>
      <c r="K752">
        <v>-2.054335483509101E-2</v>
      </c>
      <c r="M752">
        <f t="shared" si="34"/>
        <v>4.5160603312390659</v>
      </c>
      <c r="N752">
        <f t="shared" si="35"/>
        <v>8</v>
      </c>
    </row>
    <row r="753" spans="1:14" x14ac:dyDescent="0.35">
      <c r="A753" t="str">
        <f t="shared" si="33"/>
        <v>18097355900_2025</v>
      </c>
      <c r="B753">
        <v>18097355900</v>
      </c>
      <c r="C753">
        <v>2025</v>
      </c>
      <c r="D753">
        <v>0.65401679348641661</v>
      </c>
      <c r="E753">
        <v>1.5562534254347069</v>
      </c>
      <c r="F753">
        <v>-0.21082166784886849</v>
      </c>
      <c r="G753">
        <v>2.351159645485168</v>
      </c>
      <c r="H753">
        <v>0.18851461618091769</v>
      </c>
      <c r="I753">
        <v>1.3604068180243041</v>
      </c>
      <c r="J753">
        <v>-0.86060312594606436</v>
      </c>
      <c r="K753">
        <v>-3.3058283552609959E-2</v>
      </c>
      <c r="M753">
        <f t="shared" si="34"/>
        <v>5.0058682212639702</v>
      </c>
      <c r="N753">
        <f t="shared" si="35"/>
        <v>8</v>
      </c>
    </row>
    <row r="754" spans="1:14" x14ac:dyDescent="0.35">
      <c r="A754" t="str">
        <f t="shared" si="33"/>
        <v>18097355900_2026</v>
      </c>
      <c r="B754">
        <v>18097355900</v>
      </c>
      <c r="C754">
        <v>2026</v>
      </c>
      <c r="D754">
        <v>0.62457991114257683</v>
      </c>
      <c r="E754">
        <v>1.679520059395236</v>
      </c>
      <c r="F754">
        <v>-0.26633868553740048</v>
      </c>
      <c r="G754">
        <v>2.8496128949932058</v>
      </c>
      <c r="H754">
        <v>0.45206847497190472</v>
      </c>
      <c r="I754">
        <v>1.4610774651854039</v>
      </c>
      <c r="J754">
        <v>-0.83019979692040757</v>
      </c>
      <c r="K754">
        <v>-6.4275025149229573E-2</v>
      </c>
      <c r="M754">
        <f t="shared" si="34"/>
        <v>5.9060452980812892</v>
      </c>
      <c r="N754">
        <f t="shared" si="35"/>
        <v>8</v>
      </c>
    </row>
    <row r="755" spans="1:14" x14ac:dyDescent="0.35">
      <c r="A755" t="str">
        <f t="shared" si="33"/>
        <v>18097355900_2027</v>
      </c>
      <c r="B755">
        <v>18097355900</v>
      </c>
      <c r="C755">
        <v>2027</v>
      </c>
      <c r="D755">
        <v>0.42102124343920139</v>
      </c>
      <c r="E755">
        <v>1.7765555192478659</v>
      </c>
      <c r="F755">
        <v>-0.31301571786579557</v>
      </c>
      <c r="G755">
        <v>3.3337721126298181</v>
      </c>
      <c r="H755">
        <v>0.64648046481111165</v>
      </c>
      <c r="I755">
        <v>1.442148879241363</v>
      </c>
      <c r="J755">
        <v>-0.78683222797981323</v>
      </c>
      <c r="K755">
        <v>-8.8606910351763199E-2</v>
      </c>
      <c r="M755">
        <f t="shared" si="34"/>
        <v>6.4315233631719879</v>
      </c>
      <c r="N755">
        <f t="shared" si="35"/>
        <v>8</v>
      </c>
    </row>
    <row r="756" spans="1:14" x14ac:dyDescent="0.35">
      <c r="A756" t="str">
        <f t="shared" si="33"/>
        <v>18097355900_2028</v>
      </c>
      <c r="B756">
        <v>18097355900</v>
      </c>
      <c r="C756">
        <v>2028</v>
      </c>
      <c r="D756">
        <v>0.36448330615271962</v>
      </c>
      <c r="E756">
        <v>1.877011264324278</v>
      </c>
      <c r="F756">
        <v>-0.35006744051947047</v>
      </c>
      <c r="G756">
        <v>3.8024717813135669</v>
      </c>
      <c r="H756">
        <v>0.80907371380958837</v>
      </c>
      <c r="I756">
        <v>1.4941992210183781</v>
      </c>
      <c r="J756">
        <v>-0.7305513526502887</v>
      </c>
      <c r="K756">
        <v>-0.1110677441580005</v>
      </c>
      <c r="M756">
        <f t="shared" si="34"/>
        <v>7.1555527492907709</v>
      </c>
      <c r="N756">
        <f t="shared" si="35"/>
        <v>8</v>
      </c>
    </row>
    <row r="757" spans="1:14" x14ac:dyDescent="0.35">
      <c r="A757" t="str">
        <f t="shared" si="33"/>
        <v>18097356200_2024</v>
      </c>
      <c r="B757">
        <v>18097356200</v>
      </c>
      <c r="C757">
        <v>2024</v>
      </c>
      <c r="D757">
        <v>0.8390180237626772</v>
      </c>
      <c r="E757">
        <v>1.3491209683821011E-2</v>
      </c>
      <c r="F757">
        <v>-0.37381307677292031</v>
      </c>
      <c r="G757">
        <v>0.94504184624025578</v>
      </c>
      <c r="H757">
        <v>-0.20222100396131909</v>
      </c>
      <c r="I757">
        <v>-1.7809912567292269E-2</v>
      </c>
      <c r="J757">
        <v>0.91506471667308964</v>
      </c>
      <c r="K757">
        <v>1.7019812716527469</v>
      </c>
      <c r="M757">
        <f t="shared" si="34"/>
        <v>3.820753074711059</v>
      </c>
      <c r="N757">
        <f t="shared" si="35"/>
        <v>8</v>
      </c>
    </row>
    <row r="758" spans="1:14" x14ac:dyDescent="0.35">
      <c r="A758" t="str">
        <f t="shared" si="33"/>
        <v>18097356200_2025</v>
      </c>
      <c r="B758">
        <v>18097356200</v>
      </c>
      <c r="C758">
        <v>2025</v>
      </c>
      <c r="D758">
        <v>0.92932769926113157</v>
      </c>
      <c r="E758">
        <v>-9.3335374705324492E-3</v>
      </c>
      <c r="F758">
        <v>-0.41966870584426558</v>
      </c>
      <c r="G758">
        <v>0.92430803171950837</v>
      </c>
      <c r="H758">
        <v>-0.30998597656486082</v>
      </c>
      <c r="I758">
        <v>-8.7200176296524487E-4</v>
      </c>
      <c r="J758">
        <v>0.76478574617153516</v>
      </c>
      <c r="K758">
        <v>2.619794993784498</v>
      </c>
      <c r="M758">
        <f t="shared" si="34"/>
        <v>4.4983562492940496</v>
      </c>
      <c r="N758">
        <f t="shared" si="35"/>
        <v>8</v>
      </c>
    </row>
    <row r="759" spans="1:14" x14ac:dyDescent="0.35">
      <c r="A759" t="str">
        <f t="shared" si="33"/>
        <v>18097356200_2026</v>
      </c>
      <c r="B759">
        <v>18097356200</v>
      </c>
      <c r="C759">
        <v>2026</v>
      </c>
      <c r="D759">
        <v>0.85171332551117196</v>
      </c>
      <c r="E759">
        <v>-1.20189515961208E-2</v>
      </c>
      <c r="F759">
        <v>-0.46604356288856741</v>
      </c>
      <c r="G759">
        <v>0.86593464035349232</v>
      </c>
      <c r="H759">
        <v>-0.32203373153045789</v>
      </c>
      <c r="I759">
        <v>2.3475660916223141E-2</v>
      </c>
      <c r="J759">
        <v>0.62866115830685199</v>
      </c>
      <c r="K759">
        <v>3.581718793644761</v>
      </c>
      <c r="M759">
        <f t="shared" si="34"/>
        <v>5.151407332717354</v>
      </c>
      <c r="N759">
        <f t="shared" si="35"/>
        <v>8</v>
      </c>
    </row>
    <row r="760" spans="1:14" x14ac:dyDescent="0.35">
      <c r="A760" t="str">
        <f t="shared" si="33"/>
        <v>18097356200_2027</v>
      </c>
      <c r="B760">
        <v>18097356200</v>
      </c>
      <c r="C760">
        <v>2027</v>
      </c>
      <c r="D760">
        <v>0.85802988191679297</v>
      </c>
      <c r="E760">
        <v>-2.3386780764778209E-2</v>
      </c>
      <c r="F760">
        <v>-0.49702684431325228</v>
      </c>
      <c r="G760">
        <v>0.82629009367286843</v>
      </c>
      <c r="H760">
        <v>-0.37307205674323712</v>
      </c>
      <c r="I760">
        <v>4.5862861477481719E-2</v>
      </c>
      <c r="J760">
        <v>0.4872300442819717</v>
      </c>
      <c r="K760">
        <v>4.4707863593889323</v>
      </c>
      <c r="M760">
        <f t="shared" si="34"/>
        <v>5.7947135589167793</v>
      </c>
      <c r="N760">
        <f t="shared" si="35"/>
        <v>8</v>
      </c>
    </row>
    <row r="761" spans="1:14" x14ac:dyDescent="0.35">
      <c r="A761" t="str">
        <f t="shared" si="33"/>
        <v>18097356200_2028</v>
      </c>
      <c r="B761">
        <v>18097356200</v>
      </c>
      <c r="C761">
        <v>2028</v>
      </c>
      <c r="D761">
        <v>0.79235382476639649</v>
      </c>
      <c r="E761">
        <v>-2.7808453194782951E-2</v>
      </c>
      <c r="F761">
        <v>-0.52232389620806408</v>
      </c>
      <c r="G761">
        <v>0.75832853113085363</v>
      </c>
      <c r="H761">
        <v>-0.38527224511337682</v>
      </c>
      <c r="I761">
        <v>6.703167863043627E-2</v>
      </c>
      <c r="J761">
        <v>0.32828896672215829</v>
      </c>
      <c r="K761">
        <v>5.2178229732473591</v>
      </c>
      <c r="M761">
        <f t="shared" si="34"/>
        <v>6.22842137998098</v>
      </c>
      <c r="N761">
        <f t="shared" si="35"/>
        <v>8</v>
      </c>
    </row>
    <row r="762" spans="1:14" x14ac:dyDescent="0.35">
      <c r="A762" t="str">
        <f t="shared" si="33"/>
        <v>18097356400_2024</v>
      </c>
      <c r="B762">
        <v>18097356400</v>
      </c>
      <c r="C762">
        <v>2024</v>
      </c>
      <c r="D762">
        <v>1.493206992274196</v>
      </c>
      <c r="E762">
        <v>0.104593308608136</v>
      </c>
      <c r="F762">
        <v>0.82815495966712882</v>
      </c>
      <c r="G762">
        <v>-0.90559985222978878</v>
      </c>
      <c r="H762">
        <v>-0.10088625462548199</v>
      </c>
      <c r="I762">
        <v>-0.58144380221654557</v>
      </c>
      <c r="J762">
        <v>-1.1188499333123789</v>
      </c>
      <c r="K762">
        <v>-0.20558753170924779</v>
      </c>
      <c r="M762">
        <f t="shared" si="34"/>
        <v>-0.48641211354398239</v>
      </c>
      <c r="N762">
        <f t="shared" si="35"/>
        <v>8</v>
      </c>
    </row>
    <row r="763" spans="1:14" x14ac:dyDescent="0.35">
      <c r="A763" t="str">
        <f t="shared" si="33"/>
        <v>18097356400_2025</v>
      </c>
      <c r="B763">
        <v>18097356400</v>
      </c>
      <c r="C763">
        <v>2025</v>
      </c>
      <c r="D763">
        <v>1.4141331948582569</v>
      </c>
      <c r="E763">
        <v>0.21869207466128021</v>
      </c>
      <c r="F763">
        <v>0.79696173634496603</v>
      </c>
      <c r="G763">
        <v>-0.8050047174420577</v>
      </c>
      <c r="H763">
        <v>-1.6387652450683691E-2</v>
      </c>
      <c r="I763">
        <v>-0.65877140354172381</v>
      </c>
      <c r="J763">
        <v>-1.11535172394549</v>
      </c>
      <c r="K763">
        <v>-4.4476395090797427E-2</v>
      </c>
      <c r="M763">
        <f t="shared" si="34"/>
        <v>-0.2102048866062492</v>
      </c>
      <c r="N763">
        <f t="shared" si="35"/>
        <v>8</v>
      </c>
    </row>
    <row r="764" spans="1:14" x14ac:dyDescent="0.35">
      <c r="A764" t="str">
        <f t="shared" si="33"/>
        <v>18097356400_2026</v>
      </c>
      <c r="B764">
        <v>18097356400</v>
      </c>
      <c r="C764">
        <v>2026</v>
      </c>
      <c r="D764">
        <v>1.244397752574788</v>
      </c>
      <c r="E764">
        <v>0.32297695725742309</v>
      </c>
      <c r="F764">
        <v>0.74234336024391534</v>
      </c>
      <c r="G764">
        <v>-0.82007566815706556</v>
      </c>
      <c r="H764">
        <v>8.9681648702436167E-2</v>
      </c>
      <c r="I764">
        <v>-0.72864700197571153</v>
      </c>
      <c r="J764">
        <v>-1.116414765401603</v>
      </c>
      <c r="K764">
        <v>0.12938248936908861</v>
      </c>
      <c r="M764">
        <f t="shared" si="34"/>
        <v>-0.13635522738672898</v>
      </c>
      <c r="N764">
        <f t="shared" si="35"/>
        <v>8</v>
      </c>
    </row>
    <row r="765" spans="1:14" x14ac:dyDescent="0.35">
      <c r="A765" t="str">
        <f t="shared" si="33"/>
        <v>18097356400_2027</v>
      </c>
      <c r="B765">
        <v>18097356400</v>
      </c>
      <c r="C765">
        <v>2027</v>
      </c>
      <c r="D765">
        <v>1.1258090267331471</v>
      </c>
      <c r="E765">
        <v>0.40914286568188929</v>
      </c>
      <c r="F765">
        <v>0.67179446200035586</v>
      </c>
      <c r="G765">
        <v>-0.76365588860993461</v>
      </c>
      <c r="H765">
        <v>0.16607267652329019</v>
      </c>
      <c r="I765">
        <v>-0.79365523785042436</v>
      </c>
      <c r="J765">
        <v>-1.120023664615478</v>
      </c>
      <c r="K765">
        <v>0.30449199896478052</v>
      </c>
      <c r="M765">
        <f t="shared" si="34"/>
        <v>-2.3761172373570894E-5</v>
      </c>
      <c r="N765">
        <f t="shared" si="35"/>
        <v>8</v>
      </c>
    </row>
    <row r="766" spans="1:14" x14ac:dyDescent="0.35">
      <c r="A766" t="str">
        <f t="shared" si="33"/>
        <v>18097356400_2028</v>
      </c>
      <c r="B766">
        <v>18097356400</v>
      </c>
      <c r="C766">
        <v>2028</v>
      </c>
      <c r="D766">
        <v>0.96394599207882903</v>
      </c>
      <c r="E766">
        <v>0.49503827689627489</v>
      </c>
      <c r="F766">
        <v>0.62057711207403521</v>
      </c>
      <c r="G766">
        <v>-0.7435867169456627</v>
      </c>
      <c r="H766">
        <v>0.2463082949100861</v>
      </c>
      <c r="I766">
        <v>-0.85209117999292028</v>
      </c>
      <c r="J766">
        <v>-1.124626607325717</v>
      </c>
      <c r="K766">
        <v>0.44834806730871052</v>
      </c>
      <c r="M766">
        <f t="shared" si="34"/>
        <v>5.3913239003636038E-2</v>
      </c>
      <c r="N766">
        <f t="shared" si="35"/>
        <v>8</v>
      </c>
    </row>
    <row r="767" spans="1:14" x14ac:dyDescent="0.35">
      <c r="A767" t="str">
        <f t="shared" si="33"/>
        <v>18097356900_2024</v>
      </c>
      <c r="B767">
        <v>18097356900</v>
      </c>
      <c r="C767">
        <v>2024</v>
      </c>
      <c r="D767">
        <v>1.8172893961649921</v>
      </c>
      <c r="E767">
        <v>0.31415746531717959</v>
      </c>
      <c r="F767">
        <v>-0.88785347882250931</v>
      </c>
      <c r="G767">
        <v>-0.63737437435242572</v>
      </c>
      <c r="H767">
        <v>-1.7445248132572559</v>
      </c>
      <c r="I767">
        <v>0.75802409349448363</v>
      </c>
      <c r="J767">
        <v>-0.92348106934849683</v>
      </c>
      <c r="M767">
        <f t="shared" si="34"/>
        <v>-1.3037627808040326</v>
      </c>
      <c r="N767">
        <f t="shared" si="35"/>
        <v>7</v>
      </c>
    </row>
    <row r="768" spans="1:14" x14ac:dyDescent="0.35">
      <c r="A768" t="str">
        <f t="shared" si="33"/>
        <v>18097356900_2025</v>
      </c>
      <c r="B768">
        <v>18097356900</v>
      </c>
      <c r="C768">
        <v>2025</v>
      </c>
      <c r="D768">
        <v>1.6299941068596731</v>
      </c>
      <c r="E768">
        <v>0.45017131592853799</v>
      </c>
      <c r="F768">
        <v>-0.99020957808647403</v>
      </c>
      <c r="G768">
        <v>-0.61425793204245815</v>
      </c>
      <c r="H768">
        <v>-1.724851475888203</v>
      </c>
      <c r="I768">
        <v>0.74425154454913256</v>
      </c>
      <c r="J768">
        <v>-1.0091208286567219</v>
      </c>
      <c r="M768">
        <f t="shared" si="34"/>
        <v>-1.5140228473365132</v>
      </c>
      <c r="N768">
        <f t="shared" si="35"/>
        <v>7</v>
      </c>
    </row>
    <row r="769" spans="1:14" x14ac:dyDescent="0.35">
      <c r="A769" t="str">
        <f t="shared" si="33"/>
        <v>18097356900_2026</v>
      </c>
      <c r="B769">
        <v>18097356900</v>
      </c>
      <c r="C769">
        <v>2026</v>
      </c>
      <c r="D769">
        <v>1.6097983093782771</v>
      </c>
      <c r="E769">
        <v>0.59213542709416678</v>
      </c>
      <c r="F769">
        <v>-1.0246973388745471</v>
      </c>
      <c r="G769">
        <v>-0.58570001654750437</v>
      </c>
      <c r="H769">
        <v>-1.652103940432945</v>
      </c>
      <c r="I769">
        <v>0.74905445303440843</v>
      </c>
      <c r="J769">
        <v>-1.069468524909909</v>
      </c>
      <c r="M769">
        <f t="shared" si="34"/>
        <v>-1.3809816312580532</v>
      </c>
      <c r="N769">
        <f t="shared" si="35"/>
        <v>7</v>
      </c>
    </row>
    <row r="770" spans="1:14" x14ac:dyDescent="0.35">
      <c r="A770" t="str">
        <f t="shared" si="33"/>
        <v>18097356900_2027</v>
      </c>
      <c r="B770">
        <v>18097356900</v>
      </c>
      <c r="C770">
        <v>2027</v>
      </c>
      <c r="D770">
        <v>1.4247924553957421</v>
      </c>
      <c r="E770">
        <v>0.71685810281865603</v>
      </c>
      <c r="F770">
        <v>-1.0175866486243921</v>
      </c>
      <c r="G770">
        <v>-0.55811961656800013</v>
      </c>
      <c r="H770">
        <v>-1.624912402016141</v>
      </c>
      <c r="I770">
        <v>0.73574960264384637</v>
      </c>
      <c r="J770">
        <v>-1.111755899943772</v>
      </c>
      <c r="M770">
        <f t="shared" si="34"/>
        <v>-1.4349744062940608</v>
      </c>
      <c r="N770">
        <f t="shared" si="35"/>
        <v>7</v>
      </c>
    </row>
    <row r="771" spans="1:14" x14ac:dyDescent="0.35">
      <c r="A771" t="str">
        <f t="shared" ref="A771:A834" si="36">TEXT(B771,0)&amp;"_"&amp;TEXT(C771,0)</f>
        <v>18097356900_2028</v>
      </c>
      <c r="B771">
        <v>18097356900</v>
      </c>
      <c r="C771">
        <v>2028</v>
      </c>
      <c r="D771">
        <v>1.338212701145973</v>
      </c>
      <c r="E771">
        <v>0.84156784940698071</v>
      </c>
      <c r="F771">
        <v>-1.004976456916969</v>
      </c>
      <c r="G771">
        <v>-0.52879489342197949</v>
      </c>
      <c r="H771">
        <v>-1.5500607486547791</v>
      </c>
      <c r="I771">
        <v>0.73313401085207663</v>
      </c>
      <c r="J771">
        <v>-1.140722140557783</v>
      </c>
      <c r="M771">
        <f t="shared" ref="M771:M834" si="37">SUM(D771:K771)</f>
        <v>-1.3116396781464803</v>
      </c>
      <c r="N771">
        <f t="shared" ref="N771:N834" si="38">IF(D771=0,0,1)+IF(E771=0,0,1)+IF(F771=0,0,1)+IF(G771=0,0,1)+IF(H771=0,0,1)+IF(I771=0,0,1)++IF(J771=0,0,1)++IF(K771=0,0,1)</f>
        <v>7</v>
      </c>
    </row>
    <row r="772" spans="1:14" x14ac:dyDescent="0.35">
      <c r="A772" t="str">
        <f t="shared" si="36"/>
        <v>18097357000_2024</v>
      </c>
      <c r="B772">
        <v>18097357000</v>
      </c>
      <c r="C772">
        <v>2024</v>
      </c>
      <c r="D772">
        <v>0.5425545236021897</v>
      </c>
      <c r="E772">
        <v>0.4223227967739458</v>
      </c>
      <c r="F772">
        <v>-0.26732655191535742</v>
      </c>
      <c r="G772">
        <v>0.44027635328389653</v>
      </c>
      <c r="I772">
        <v>1.73788938511349</v>
      </c>
      <c r="J772">
        <v>-0.92270184162556823</v>
      </c>
      <c r="K772">
        <v>-0.91886094200464696</v>
      </c>
      <c r="M772">
        <f t="shared" si="37"/>
        <v>1.0341537232279492</v>
      </c>
      <c r="N772">
        <f t="shared" si="38"/>
        <v>7</v>
      </c>
    </row>
    <row r="773" spans="1:14" x14ac:dyDescent="0.35">
      <c r="A773" t="str">
        <f t="shared" si="36"/>
        <v>18097357000_2025</v>
      </c>
      <c r="B773">
        <v>18097357000</v>
      </c>
      <c r="C773">
        <v>2025</v>
      </c>
      <c r="D773">
        <v>0.34922757462645521</v>
      </c>
      <c r="E773">
        <v>0.56173207605990216</v>
      </c>
      <c r="F773">
        <v>-0.46754803292523373</v>
      </c>
      <c r="G773">
        <v>0.72020560501942898</v>
      </c>
      <c r="I773">
        <v>1.8143816702326909</v>
      </c>
      <c r="J773">
        <v>-0.96521242128192397</v>
      </c>
      <c r="K773">
        <v>-0.90733436391945876</v>
      </c>
      <c r="M773">
        <f t="shared" si="37"/>
        <v>1.1054521078118604</v>
      </c>
      <c r="N773">
        <f t="shared" si="38"/>
        <v>7</v>
      </c>
    </row>
    <row r="774" spans="1:14" x14ac:dyDescent="0.35">
      <c r="A774" t="str">
        <f t="shared" si="36"/>
        <v>18097357000_2026</v>
      </c>
      <c r="B774">
        <v>18097357000</v>
      </c>
      <c r="C774">
        <v>2026</v>
      </c>
      <c r="D774">
        <v>0.33575856864575332</v>
      </c>
      <c r="E774">
        <v>0.70386849897390014</v>
      </c>
      <c r="F774">
        <v>-0.51324574429271352</v>
      </c>
      <c r="G774">
        <v>0.95158373172449962</v>
      </c>
      <c r="I774">
        <v>1.8658906592863389</v>
      </c>
      <c r="J774">
        <v>-0.98425456437600278</v>
      </c>
      <c r="K774">
        <v>-0.86924067633931246</v>
      </c>
      <c r="M774">
        <f t="shared" si="37"/>
        <v>1.4903604736224634</v>
      </c>
      <c r="N774">
        <f t="shared" si="38"/>
        <v>7</v>
      </c>
    </row>
    <row r="775" spans="1:14" x14ac:dyDescent="0.35">
      <c r="A775" t="str">
        <f t="shared" si="36"/>
        <v>18097357000_2027</v>
      </c>
      <c r="B775">
        <v>18097357000</v>
      </c>
      <c r="C775">
        <v>2027</v>
      </c>
      <c r="D775">
        <v>0.16884503040505011</v>
      </c>
      <c r="E775">
        <v>0.82725276144065996</v>
      </c>
      <c r="F775">
        <v>-0.59102639656203593</v>
      </c>
      <c r="G775">
        <v>1.2145466766772171</v>
      </c>
      <c r="I775">
        <v>1.925301398271499</v>
      </c>
      <c r="J775">
        <v>-0.98800755953733921</v>
      </c>
      <c r="K775">
        <v>-0.81249533552336062</v>
      </c>
      <c r="M775">
        <f t="shared" si="37"/>
        <v>1.7444165751716902</v>
      </c>
      <c r="N775">
        <f t="shared" si="38"/>
        <v>7</v>
      </c>
    </row>
    <row r="776" spans="1:14" x14ac:dyDescent="0.35">
      <c r="A776" t="str">
        <f t="shared" si="36"/>
        <v>18097357000_2028</v>
      </c>
      <c r="B776">
        <v>18097357000</v>
      </c>
      <c r="C776">
        <v>2028</v>
      </c>
      <c r="D776">
        <v>0.13306047936694501</v>
      </c>
      <c r="E776">
        <v>0.95082678841085722</v>
      </c>
      <c r="F776">
        <v>-0.62786459811499107</v>
      </c>
      <c r="G776">
        <v>1.439802600663425</v>
      </c>
      <c r="I776">
        <v>1.9650201755494749</v>
      </c>
      <c r="J776">
        <v>-0.98045781042626701</v>
      </c>
      <c r="K776">
        <v>-0.74095869648180746</v>
      </c>
      <c r="M776">
        <f t="shared" si="37"/>
        <v>2.1394289389676366</v>
      </c>
      <c r="N776">
        <f t="shared" si="38"/>
        <v>7</v>
      </c>
    </row>
    <row r="777" spans="1:14" x14ac:dyDescent="0.35">
      <c r="A777" t="str">
        <f t="shared" si="36"/>
        <v>18097357100_2024</v>
      </c>
      <c r="B777">
        <v>18097357100</v>
      </c>
      <c r="C777">
        <v>2024</v>
      </c>
      <c r="D777">
        <v>0.68771956581313021</v>
      </c>
      <c r="E777">
        <v>0.95127531624216544</v>
      </c>
      <c r="F777">
        <v>1.0505928911122959</v>
      </c>
      <c r="G777">
        <v>0.70571884540672958</v>
      </c>
      <c r="H777">
        <v>-1.1768143093365371</v>
      </c>
      <c r="I777">
        <v>1.0470896913215291</v>
      </c>
      <c r="J777">
        <v>-0.88584440319086644</v>
      </c>
      <c r="K777">
        <v>-1.229909014626133E-2</v>
      </c>
      <c r="M777">
        <f t="shared" si="37"/>
        <v>2.3674385072221855</v>
      </c>
      <c r="N777">
        <f t="shared" si="38"/>
        <v>8</v>
      </c>
    </row>
    <row r="778" spans="1:14" x14ac:dyDescent="0.35">
      <c r="A778" t="str">
        <f t="shared" si="36"/>
        <v>18097357100_2025</v>
      </c>
      <c r="B778">
        <v>18097357100</v>
      </c>
      <c r="C778">
        <v>2025</v>
      </c>
      <c r="D778">
        <v>0.47515994592575878</v>
      </c>
      <c r="E778">
        <v>1.086389708281206</v>
      </c>
      <c r="F778">
        <v>1.727045707415924</v>
      </c>
      <c r="G778">
        <v>0.95793348542929324</v>
      </c>
      <c r="H778">
        <v>-1.130915286798222</v>
      </c>
      <c r="I778">
        <v>1.100798626503924</v>
      </c>
      <c r="J778">
        <v>-0.87500294610569695</v>
      </c>
      <c r="K778">
        <v>-3.2194860411092589E-2</v>
      </c>
      <c r="M778">
        <f t="shared" si="37"/>
        <v>3.309214380241094</v>
      </c>
      <c r="N778">
        <f t="shared" si="38"/>
        <v>8</v>
      </c>
    </row>
    <row r="779" spans="1:14" x14ac:dyDescent="0.35">
      <c r="A779" t="str">
        <f t="shared" si="36"/>
        <v>18097357100_2026</v>
      </c>
      <c r="B779">
        <v>18097357100</v>
      </c>
      <c r="C779">
        <v>2026</v>
      </c>
      <c r="D779">
        <v>0.45246053072510289</v>
      </c>
      <c r="E779">
        <v>1.22908311196761</v>
      </c>
      <c r="F779">
        <v>2.1820468865323259</v>
      </c>
      <c r="G779">
        <v>1.1740922865842489</v>
      </c>
      <c r="H779">
        <v>-1.070448395458574</v>
      </c>
      <c r="I779">
        <v>1.158719752298552</v>
      </c>
      <c r="J779">
        <v>-0.84523903843972548</v>
      </c>
      <c r="K779">
        <v>-6.9776324332109674E-2</v>
      </c>
      <c r="M779">
        <f t="shared" si="37"/>
        <v>4.2109388098774305</v>
      </c>
      <c r="N779">
        <f t="shared" si="38"/>
        <v>8</v>
      </c>
    </row>
    <row r="780" spans="1:14" x14ac:dyDescent="0.35">
      <c r="A780" t="str">
        <f t="shared" si="36"/>
        <v>18097357100_2027</v>
      </c>
      <c r="B780">
        <v>18097357100</v>
      </c>
      <c r="C780">
        <v>2027</v>
      </c>
      <c r="D780">
        <v>0.2669213943618195</v>
      </c>
      <c r="E780">
        <v>1.348383306310506</v>
      </c>
      <c r="F780">
        <v>2.409570549882956</v>
      </c>
      <c r="G780">
        <v>1.4171522632342171</v>
      </c>
      <c r="H780">
        <v>-1.064335082608304</v>
      </c>
      <c r="I780">
        <v>1.2150734196081321</v>
      </c>
      <c r="J780">
        <v>-0.80248291222930246</v>
      </c>
      <c r="K780">
        <v>-9.9051558252841496E-2</v>
      </c>
      <c r="M780">
        <f t="shared" si="37"/>
        <v>4.6912313803071832</v>
      </c>
      <c r="N780">
        <f t="shared" si="38"/>
        <v>8</v>
      </c>
    </row>
    <row r="781" spans="1:14" x14ac:dyDescent="0.35">
      <c r="A781" t="str">
        <f t="shared" si="36"/>
        <v>18097357100_2028</v>
      </c>
      <c r="B781">
        <v>18097357100</v>
      </c>
      <c r="C781">
        <v>2028</v>
      </c>
      <c r="D781">
        <v>0.22088849395119139</v>
      </c>
      <c r="E781">
        <v>1.4690830805116091</v>
      </c>
      <c r="F781">
        <v>2.5378852910526999</v>
      </c>
      <c r="G781">
        <v>1.615703792737458</v>
      </c>
      <c r="H781">
        <v>-1.028428393211849</v>
      </c>
      <c r="I781">
        <v>1.2598160846877799</v>
      </c>
      <c r="J781">
        <v>-0.74678768713207178</v>
      </c>
      <c r="K781">
        <v>-0.1248487637586624</v>
      </c>
      <c r="M781">
        <f t="shared" si="37"/>
        <v>5.2033118988381553</v>
      </c>
      <c r="N781">
        <f t="shared" si="38"/>
        <v>8</v>
      </c>
    </row>
    <row r="782" spans="1:14" x14ac:dyDescent="0.35">
      <c r="A782" t="str">
        <f t="shared" si="36"/>
        <v>18097357200_2024</v>
      </c>
      <c r="B782">
        <v>18097357200</v>
      </c>
      <c r="C782">
        <v>2024</v>
      </c>
      <c r="D782">
        <v>1.1075860652704239</v>
      </c>
      <c r="E782">
        <v>0.37049692700196563</v>
      </c>
      <c r="F782">
        <v>-0.93015170982471362</v>
      </c>
      <c r="G782">
        <v>0.1248838932050888</v>
      </c>
      <c r="H782">
        <v>-1.4188667396583301</v>
      </c>
      <c r="I782">
        <v>0.6202977736259504</v>
      </c>
      <c r="J782">
        <v>-0.88584440319086644</v>
      </c>
      <c r="K782">
        <v>-1.229909014626133E-2</v>
      </c>
      <c r="M782">
        <f t="shared" si="37"/>
        <v>-1.0238972837167428</v>
      </c>
      <c r="N782">
        <f t="shared" si="38"/>
        <v>8</v>
      </c>
    </row>
    <row r="783" spans="1:14" x14ac:dyDescent="0.35">
      <c r="A783" t="str">
        <f t="shared" si="36"/>
        <v>18097357200_2025</v>
      </c>
      <c r="B783">
        <v>18097357200</v>
      </c>
      <c r="C783">
        <v>2025</v>
      </c>
      <c r="D783">
        <v>0.85399142138535067</v>
      </c>
      <c r="E783">
        <v>0.54792084703518396</v>
      </c>
      <c r="F783">
        <v>-0.9534740596532264</v>
      </c>
      <c r="G783">
        <v>0.24886094344882001</v>
      </c>
      <c r="H783">
        <v>-0.96010696712849397</v>
      </c>
      <c r="I783">
        <v>0.68894340939964638</v>
      </c>
      <c r="J783">
        <v>-0.87500294610569695</v>
      </c>
      <c r="K783">
        <v>-3.2194860411092589E-2</v>
      </c>
      <c r="M783">
        <f t="shared" si="37"/>
        <v>-0.481062212029509</v>
      </c>
      <c r="N783">
        <f t="shared" si="38"/>
        <v>8</v>
      </c>
    </row>
    <row r="784" spans="1:14" x14ac:dyDescent="0.35">
      <c r="A784" t="str">
        <f t="shared" si="36"/>
        <v>18097357200_2026</v>
      </c>
      <c r="B784">
        <v>18097357200</v>
      </c>
      <c r="C784">
        <v>2026</v>
      </c>
      <c r="D784">
        <v>0.81779926128514213</v>
      </c>
      <c r="E784">
        <v>0.70803480801352525</v>
      </c>
      <c r="F784">
        <v>-1.0037990611262231</v>
      </c>
      <c r="G784">
        <v>0.33495723885812961</v>
      </c>
      <c r="H784">
        <v>-0.79667054703366191</v>
      </c>
      <c r="I784">
        <v>0.7231746054196363</v>
      </c>
      <c r="J784">
        <v>-0.84523903843972548</v>
      </c>
      <c r="K784">
        <v>-6.9776324332109674E-2</v>
      </c>
      <c r="M784">
        <f t="shared" si="37"/>
        <v>-0.13151905735528679</v>
      </c>
      <c r="N784">
        <f t="shared" si="38"/>
        <v>8</v>
      </c>
    </row>
    <row r="785" spans="1:14" x14ac:dyDescent="0.35">
      <c r="A785" t="str">
        <f t="shared" si="36"/>
        <v>18097357200_2027</v>
      </c>
      <c r="B785">
        <v>18097357200</v>
      </c>
      <c r="C785">
        <v>2027</v>
      </c>
      <c r="D785">
        <v>0.5893987767734753</v>
      </c>
      <c r="E785">
        <v>0.83783260386446612</v>
      </c>
      <c r="F785">
        <v>-0.99118954803675163</v>
      </c>
      <c r="G785">
        <v>0.42493984810066898</v>
      </c>
      <c r="H785">
        <v>-0.52443339864901439</v>
      </c>
      <c r="I785">
        <v>0.75578331464212101</v>
      </c>
      <c r="J785">
        <v>-0.80248291222930246</v>
      </c>
      <c r="K785">
        <v>-9.9051558252841496E-2</v>
      </c>
      <c r="M785">
        <f t="shared" si="37"/>
        <v>0.19079712621282163</v>
      </c>
      <c r="N785">
        <f t="shared" si="38"/>
        <v>8</v>
      </c>
    </row>
    <row r="786" spans="1:14" x14ac:dyDescent="0.35">
      <c r="A786" t="str">
        <f t="shared" si="36"/>
        <v>18097357200_2028</v>
      </c>
      <c r="B786">
        <v>18097357200</v>
      </c>
      <c r="C786">
        <v>2028</v>
      </c>
      <c r="D786">
        <v>0.52157631114660907</v>
      </c>
      <c r="E786">
        <v>0.96138564856645259</v>
      </c>
      <c r="F786">
        <v>-0.99145342924160895</v>
      </c>
      <c r="G786">
        <v>0.48784607128355317</v>
      </c>
      <c r="H786">
        <v>-0.32989250408832033</v>
      </c>
      <c r="I786">
        <v>0.77541992477509791</v>
      </c>
      <c r="J786">
        <v>-0.74678768713207178</v>
      </c>
      <c r="K786">
        <v>-0.1248487637586624</v>
      </c>
      <c r="M786">
        <f t="shared" si="37"/>
        <v>0.55324557155104936</v>
      </c>
      <c r="N786">
        <f t="shared" si="38"/>
        <v>8</v>
      </c>
    </row>
    <row r="787" spans="1:14" x14ac:dyDescent="0.35">
      <c r="A787" t="str">
        <f t="shared" si="36"/>
        <v>18097357300_2024</v>
      </c>
      <c r="B787">
        <v>18097357300</v>
      </c>
      <c r="C787">
        <v>2024</v>
      </c>
      <c r="D787">
        <v>0.90692697522316501</v>
      </c>
      <c r="E787">
        <v>-1.1427014918863729</v>
      </c>
      <c r="F787">
        <v>0.49958866298560889</v>
      </c>
      <c r="G787">
        <v>-1.356813352919128</v>
      </c>
      <c r="H787">
        <v>-1.0090911208025319</v>
      </c>
      <c r="I787">
        <v>-0.26045586698812889</v>
      </c>
      <c r="J787">
        <v>-0.88584440319086644</v>
      </c>
      <c r="K787">
        <v>-1.229909014626133E-2</v>
      </c>
      <c r="M787">
        <f t="shared" si="37"/>
        <v>-3.2606896877245157</v>
      </c>
      <c r="N787">
        <f t="shared" si="38"/>
        <v>8</v>
      </c>
    </row>
    <row r="788" spans="1:14" x14ac:dyDescent="0.35">
      <c r="A788" t="str">
        <f t="shared" si="36"/>
        <v>18097357300_2025</v>
      </c>
      <c r="B788">
        <v>18097357300</v>
      </c>
      <c r="C788">
        <v>2025</v>
      </c>
      <c r="D788">
        <v>0.67294344623704205</v>
      </c>
      <c r="E788">
        <v>-1.231911518640652</v>
      </c>
      <c r="F788">
        <v>0.26433726222645371</v>
      </c>
      <c r="G788">
        <v>-1.344105626629519</v>
      </c>
      <c r="H788">
        <v>-1.116632889874225</v>
      </c>
      <c r="I788">
        <v>-0.3347697760868491</v>
      </c>
      <c r="J788">
        <v>-0.87500294610569695</v>
      </c>
      <c r="K788">
        <v>-3.2194860411092589E-2</v>
      </c>
      <c r="M788">
        <f t="shared" si="37"/>
        <v>-3.9973369092845386</v>
      </c>
      <c r="N788">
        <f t="shared" si="38"/>
        <v>8</v>
      </c>
    </row>
    <row r="789" spans="1:14" x14ac:dyDescent="0.35">
      <c r="A789" t="str">
        <f t="shared" si="36"/>
        <v>18097357300_2026</v>
      </c>
      <c r="B789">
        <v>18097357300</v>
      </c>
      <c r="C789">
        <v>2026</v>
      </c>
      <c r="D789">
        <v>0.64319962665629071</v>
      </c>
      <c r="E789">
        <v>-1.1193494537993871</v>
      </c>
      <c r="F789">
        <v>0.2023673668893767</v>
      </c>
      <c r="G789">
        <v>-1.303455269363508</v>
      </c>
      <c r="H789">
        <v>-1.155718456067808</v>
      </c>
      <c r="I789">
        <v>-0.37391664388185009</v>
      </c>
      <c r="J789">
        <v>-0.84523903843972548</v>
      </c>
      <c r="K789">
        <v>-6.9776324332109674E-2</v>
      </c>
      <c r="M789">
        <f t="shared" si="37"/>
        <v>-4.0218881923387215</v>
      </c>
      <c r="N789">
        <f t="shared" si="38"/>
        <v>8</v>
      </c>
    </row>
    <row r="790" spans="1:14" x14ac:dyDescent="0.35">
      <c r="A790" t="str">
        <f t="shared" si="36"/>
        <v>18097357300_2027</v>
      </c>
      <c r="B790">
        <v>18097357300</v>
      </c>
      <c r="C790">
        <v>2027</v>
      </c>
      <c r="D790">
        <v>0.43528307862412657</v>
      </c>
      <c r="E790">
        <v>-1.144616803954746</v>
      </c>
      <c r="F790">
        <v>8.8018541241496467E-2</v>
      </c>
      <c r="G790">
        <v>-1.2720847958215931</v>
      </c>
      <c r="H790">
        <v>-1.2187137220397799</v>
      </c>
      <c r="I790">
        <v>-0.41874994139384858</v>
      </c>
      <c r="J790">
        <v>-0.80248291222930246</v>
      </c>
      <c r="K790">
        <v>-9.9051558252841496E-2</v>
      </c>
      <c r="M790">
        <f t="shared" si="37"/>
        <v>-4.4323981138264887</v>
      </c>
      <c r="N790">
        <f t="shared" si="38"/>
        <v>8</v>
      </c>
    </row>
    <row r="791" spans="1:14" x14ac:dyDescent="0.35">
      <c r="A791" t="str">
        <f t="shared" si="36"/>
        <v>18097357300_2028</v>
      </c>
      <c r="B791">
        <v>18097357300</v>
      </c>
      <c r="C791">
        <v>2028</v>
      </c>
      <c r="D791">
        <v>0.37787410056543203</v>
      </c>
      <c r="E791">
        <v>-1.0706310306584941</v>
      </c>
      <c r="F791">
        <v>1.4591815356904949E-2</v>
      </c>
      <c r="G791">
        <v>-1.2205275719975519</v>
      </c>
      <c r="H791">
        <v>-1.2309371324881051</v>
      </c>
      <c r="I791">
        <v>-0.45794149736774342</v>
      </c>
      <c r="J791">
        <v>-0.74678768713207178</v>
      </c>
      <c r="K791">
        <v>-0.1248487637586624</v>
      </c>
      <c r="M791">
        <f t="shared" si="37"/>
        <v>-4.4592077674802919</v>
      </c>
      <c r="N791">
        <f t="shared" si="38"/>
        <v>8</v>
      </c>
    </row>
    <row r="792" spans="1:14" x14ac:dyDescent="0.35">
      <c r="A792" t="str">
        <f t="shared" si="36"/>
        <v>18097357400_2024</v>
      </c>
      <c r="B792">
        <v>18097357400</v>
      </c>
      <c r="C792">
        <v>2024</v>
      </c>
      <c r="D792">
        <v>1.419535066739829</v>
      </c>
      <c r="E792">
        <v>-1.3451124988762091</v>
      </c>
      <c r="F792">
        <v>0.1987801569282642</v>
      </c>
      <c r="G792">
        <v>-1.1711900794570731</v>
      </c>
      <c r="H792">
        <v>-4.6216697695232171E-2</v>
      </c>
      <c r="I792">
        <v>-0.47285143673748881</v>
      </c>
      <c r="J792">
        <v>-0.88584440389612651</v>
      </c>
      <c r="K792">
        <v>-1.229909014593627E-2</v>
      </c>
      <c r="M792">
        <f t="shared" si="37"/>
        <v>-2.3151989831399726</v>
      </c>
      <c r="N792">
        <f t="shared" si="38"/>
        <v>8</v>
      </c>
    </row>
    <row r="793" spans="1:14" x14ac:dyDescent="0.35">
      <c r="A793" t="str">
        <f t="shared" si="36"/>
        <v>18097357400_2025</v>
      </c>
      <c r="B793">
        <v>18097357400</v>
      </c>
      <c r="C793">
        <v>2025</v>
      </c>
      <c r="D793">
        <v>1.13545256691966</v>
      </c>
      <c r="E793">
        <v>-1.3513174807156421</v>
      </c>
      <c r="F793">
        <v>0.1493931526303503</v>
      </c>
      <c r="G793">
        <v>-1.183368422400543</v>
      </c>
      <c r="H793">
        <v>-3.399791143052474E-2</v>
      </c>
      <c r="I793">
        <v>-0.55550314695700398</v>
      </c>
      <c r="J793">
        <v>-0.87500294750118368</v>
      </c>
      <c r="K793">
        <v>-3.2194860410365969E-2</v>
      </c>
      <c r="M793">
        <f t="shared" si="37"/>
        <v>-2.7465390498652531</v>
      </c>
      <c r="N793">
        <f t="shared" si="38"/>
        <v>8</v>
      </c>
    </row>
    <row r="794" spans="1:14" x14ac:dyDescent="0.35">
      <c r="A794" t="str">
        <f t="shared" si="36"/>
        <v>18097357400_2026</v>
      </c>
      <c r="B794">
        <v>18097357400</v>
      </c>
      <c r="C794">
        <v>2026</v>
      </c>
      <c r="D794">
        <v>1.089235666243149</v>
      </c>
      <c r="E794">
        <v>-1.3581522466217959</v>
      </c>
      <c r="F794">
        <v>9.993776789363322E-2</v>
      </c>
      <c r="G794">
        <v>-1.164400217154081</v>
      </c>
      <c r="H794">
        <v>9.7831233089797198E-3</v>
      </c>
      <c r="I794">
        <v>-0.63589653714286798</v>
      </c>
      <c r="J794">
        <v>-0.84523904046561005</v>
      </c>
      <c r="K794">
        <v>-6.9776324331032757E-2</v>
      </c>
      <c r="M794">
        <f t="shared" si="37"/>
        <v>-2.8745078082696254</v>
      </c>
      <c r="N794">
        <f t="shared" si="38"/>
        <v>8</v>
      </c>
    </row>
    <row r="795" spans="1:14" x14ac:dyDescent="0.35">
      <c r="A795" t="str">
        <f t="shared" si="36"/>
        <v>18097357400_2027</v>
      </c>
      <c r="B795">
        <v>18097357400</v>
      </c>
      <c r="C795">
        <v>2027</v>
      </c>
      <c r="D795">
        <v>0.82899041844463728</v>
      </c>
      <c r="E795">
        <v>-1.3582966981718341</v>
      </c>
      <c r="F795">
        <v>4.7177491709073899E-2</v>
      </c>
      <c r="G795">
        <v>-1.1566289490726549</v>
      </c>
      <c r="H795">
        <v>2.9885467254408681E-2</v>
      </c>
      <c r="I795">
        <v>-0.71126401650433024</v>
      </c>
      <c r="J795">
        <v>-0.8024829148917707</v>
      </c>
      <c r="K795">
        <v>-9.9051558251504634E-2</v>
      </c>
      <c r="M795">
        <f t="shared" si="37"/>
        <v>-3.2216707594839749</v>
      </c>
      <c r="N795">
        <f t="shared" si="38"/>
        <v>8</v>
      </c>
    </row>
    <row r="796" spans="1:14" x14ac:dyDescent="0.35">
      <c r="A796" t="str">
        <f t="shared" si="36"/>
        <v>18097357400_2028</v>
      </c>
      <c r="B796">
        <v>18097357400</v>
      </c>
      <c r="C796">
        <v>2028</v>
      </c>
      <c r="D796">
        <v>0.74497890910887021</v>
      </c>
      <c r="E796">
        <v>-1.3555627611629579</v>
      </c>
      <c r="F796">
        <v>6.6181804513119899E-3</v>
      </c>
      <c r="G796">
        <v>-1.124674560979134</v>
      </c>
      <c r="H796">
        <v>6.3605205439900378E-2</v>
      </c>
      <c r="I796">
        <v>-0.78043175899330453</v>
      </c>
      <c r="J796">
        <v>-0.74678769050749294</v>
      </c>
      <c r="K796">
        <v>-0.1248487637571717</v>
      </c>
      <c r="M796">
        <f t="shared" si="37"/>
        <v>-3.3171032403999785</v>
      </c>
      <c r="N796">
        <f t="shared" si="38"/>
        <v>8</v>
      </c>
    </row>
    <row r="797" spans="1:14" x14ac:dyDescent="0.35">
      <c r="A797" t="str">
        <f t="shared" si="36"/>
        <v>18097357500_2024</v>
      </c>
      <c r="B797">
        <v>18097357500</v>
      </c>
      <c r="C797">
        <v>2024</v>
      </c>
      <c r="D797">
        <v>-1.227816225965028</v>
      </c>
      <c r="E797">
        <v>-0.55358639841234536</v>
      </c>
      <c r="F797">
        <v>-0.4336828472934543</v>
      </c>
      <c r="H797">
        <v>0.37573397957108751</v>
      </c>
      <c r="I797">
        <v>1.470895679402265</v>
      </c>
      <c r="J797">
        <v>-0.88584440319086644</v>
      </c>
      <c r="K797">
        <v>-1.229909014626133E-2</v>
      </c>
      <c r="M797">
        <f t="shared" si="37"/>
        <v>-1.266599306034603</v>
      </c>
      <c r="N797">
        <f t="shared" si="38"/>
        <v>7</v>
      </c>
    </row>
    <row r="798" spans="1:14" x14ac:dyDescent="0.35">
      <c r="A798" t="str">
        <f t="shared" si="36"/>
        <v>18097357500_2025</v>
      </c>
      <c r="B798">
        <v>18097357500</v>
      </c>
      <c r="C798">
        <v>2025</v>
      </c>
      <c r="D798">
        <v>-1.253163205031061</v>
      </c>
      <c r="E798">
        <v>-0.55329909113841291</v>
      </c>
      <c r="F798">
        <v>-0.1904816329348811</v>
      </c>
      <c r="H798">
        <v>0.30153075657791722</v>
      </c>
      <c r="I798">
        <v>1.501702503431926</v>
      </c>
      <c r="J798">
        <v>-0.87500294610569695</v>
      </c>
      <c r="K798">
        <v>-3.2194860411092589E-2</v>
      </c>
      <c r="M798">
        <f t="shared" si="37"/>
        <v>-1.1009084756113015</v>
      </c>
      <c r="N798">
        <f t="shared" si="38"/>
        <v>7</v>
      </c>
    </row>
    <row r="799" spans="1:14" x14ac:dyDescent="0.35">
      <c r="A799" t="str">
        <f t="shared" si="36"/>
        <v>18097357500_2026</v>
      </c>
      <c r="B799">
        <v>18097357500</v>
      </c>
      <c r="C799">
        <v>2026</v>
      </c>
      <c r="D799">
        <v>-1.21430591869561</v>
      </c>
      <c r="E799">
        <v>-0.54535202977434782</v>
      </c>
      <c r="F799">
        <v>-0.30912974000235921</v>
      </c>
      <c r="H799">
        <v>0.25083983813773891</v>
      </c>
      <c r="I799">
        <v>1.48191140893403</v>
      </c>
      <c r="J799">
        <v>-0.84523903843972548</v>
      </c>
      <c r="K799">
        <v>-6.9776324332109674E-2</v>
      </c>
      <c r="M799">
        <f t="shared" si="37"/>
        <v>-1.2510518041723837</v>
      </c>
      <c r="N799">
        <f t="shared" si="38"/>
        <v>7</v>
      </c>
    </row>
    <row r="800" spans="1:14" x14ac:dyDescent="0.35">
      <c r="A800" t="str">
        <f t="shared" si="36"/>
        <v>18097357500_2027</v>
      </c>
      <c r="B800">
        <v>18097357500</v>
      </c>
      <c r="C800">
        <v>2027</v>
      </c>
      <c r="D800">
        <v>-1.2043002586108491</v>
      </c>
      <c r="E800">
        <v>-0.53929336276221251</v>
      </c>
      <c r="F800">
        <v>-0.1739683305088181</v>
      </c>
      <c r="H800">
        <v>0.18964971006963791</v>
      </c>
      <c r="I800">
        <v>1.491616803661872</v>
      </c>
      <c r="J800">
        <v>-0.80248291222930246</v>
      </c>
      <c r="K800">
        <v>-9.9051558252841496E-2</v>
      </c>
      <c r="M800">
        <f t="shared" si="37"/>
        <v>-1.1378299086325137</v>
      </c>
      <c r="N800">
        <f t="shared" si="38"/>
        <v>7</v>
      </c>
    </row>
    <row r="801" spans="1:14" x14ac:dyDescent="0.35">
      <c r="A801" t="str">
        <f t="shared" si="36"/>
        <v>18097357500_2028</v>
      </c>
      <c r="B801">
        <v>18097357500</v>
      </c>
      <c r="C801">
        <v>2028</v>
      </c>
      <c r="D801">
        <v>-1.150924221559734</v>
      </c>
      <c r="E801">
        <v>-0.52901761972607952</v>
      </c>
      <c r="F801">
        <v>-0.22393861571054829</v>
      </c>
      <c r="H801">
        <v>0.14830148711529201</v>
      </c>
      <c r="I801">
        <v>1.4718645352275419</v>
      </c>
      <c r="J801">
        <v>-0.74678768713207178</v>
      </c>
      <c r="K801">
        <v>-0.1248487637586624</v>
      </c>
      <c r="M801">
        <f t="shared" si="37"/>
        <v>-1.1553508855442618</v>
      </c>
      <c r="N801">
        <f t="shared" si="38"/>
        <v>7</v>
      </c>
    </row>
    <row r="802" spans="1:14" x14ac:dyDescent="0.35">
      <c r="A802" t="str">
        <f t="shared" si="36"/>
        <v>18097357601_2024</v>
      </c>
      <c r="B802">
        <v>18097357601</v>
      </c>
      <c r="C802">
        <v>2024</v>
      </c>
      <c r="D802">
        <v>1.9506914600032299</v>
      </c>
      <c r="F802">
        <v>0.5394683700639552</v>
      </c>
      <c r="G802">
        <v>-0.63989134659843061</v>
      </c>
      <c r="H802">
        <v>-0.9301086646322364</v>
      </c>
      <c r="I802">
        <v>0.31865592854168823</v>
      </c>
      <c r="J802">
        <v>-0.88584440319086644</v>
      </c>
      <c r="K802">
        <v>-1.229909014626133E-2</v>
      </c>
      <c r="M802">
        <f t="shared" si="37"/>
        <v>0.34067225404107843</v>
      </c>
      <c r="N802">
        <f t="shared" si="38"/>
        <v>7</v>
      </c>
    </row>
    <row r="803" spans="1:14" x14ac:dyDescent="0.35">
      <c r="A803" t="str">
        <f t="shared" si="36"/>
        <v>18097357601_2025</v>
      </c>
      <c r="B803">
        <v>18097357601</v>
      </c>
      <c r="C803">
        <v>2025</v>
      </c>
      <c r="D803">
        <v>1.6146972385892959</v>
      </c>
      <c r="F803">
        <v>0.58387866594959414</v>
      </c>
      <c r="G803">
        <v>-0.63911648462129078</v>
      </c>
      <c r="H803">
        <v>-0.85182637760927382</v>
      </c>
      <c r="I803">
        <v>0.1707800314083022</v>
      </c>
      <c r="J803">
        <v>-0.87500294610569695</v>
      </c>
      <c r="K803">
        <v>-3.2194860411092589E-2</v>
      </c>
      <c r="M803">
        <f t="shared" si="37"/>
        <v>-2.8784732800161854E-2</v>
      </c>
      <c r="N803">
        <f t="shared" si="38"/>
        <v>7</v>
      </c>
    </row>
    <row r="804" spans="1:14" x14ac:dyDescent="0.35">
      <c r="A804" t="str">
        <f t="shared" si="36"/>
        <v>18097357601_2026</v>
      </c>
      <c r="B804">
        <v>18097357601</v>
      </c>
      <c r="C804">
        <v>2026</v>
      </c>
      <c r="D804">
        <v>1.5514111558992361</v>
      </c>
      <c r="F804">
        <v>0.52430733747774094</v>
      </c>
      <c r="G804">
        <v>-0.4679722633290273</v>
      </c>
      <c r="H804">
        <v>-1.00222475351745</v>
      </c>
      <c r="I804">
        <v>1.177173661077344E-5</v>
      </c>
      <c r="J804">
        <v>-0.84523903843972548</v>
      </c>
      <c r="K804">
        <v>-6.9776324332109674E-2</v>
      </c>
      <c r="M804">
        <f t="shared" si="37"/>
        <v>-0.30948211450472485</v>
      </c>
      <c r="N804">
        <f t="shared" si="38"/>
        <v>7</v>
      </c>
    </row>
    <row r="805" spans="1:14" x14ac:dyDescent="0.35">
      <c r="A805" t="str">
        <f t="shared" si="36"/>
        <v>18097357601_2027</v>
      </c>
      <c r="B805">
        <v>18097357601</v>
      </c>
      <c r="C805">
        <v>2027</v>
      </c>
      <c r="D805">
        <v>1.2369437772280241</v>
      </c>
      <c r="F805">
        <v>0.51885094546575905</v>
      </c>
      <c r="G805">
        <v>-0.44963943218061331</v>
      </c>
      <c r="H805">
        <v>-0.91555771328019198</v>
      </c>
      <c r="I805">
        <v>-0.14524731585575759</v>
      </c>
      <c r="J805">
        <v>-0.80248291222930246</v>
      </c>
      <c r="K805">
        <v>-9.9051558252841496E-2</v>
      </c>
      <c r="M805">
        <f t="shared" si="37"/>
        <v>-0.65618420910492359</v>
      </c>
      <c r="N805">
        <f t="shared" si="38"/>
        <v>7</v>
      </c>
    </row>
    <row r="806" spans="1:14" x14ac:dyDescent="0.35">
      <c r="A806" t="str">
        <f t="shared" si="36"/>
        <v>18097357601_2028</v>
      </c>
      <c r="B806">
        <v>18097357601</v>
      </c>
      <c r="C806">
        <v>2028</v>
      </c>
      <c r="D806">
        <v>1.125367114297694</v>
      </c>
      <c r="F806">
        <v>0.46914169416538332</v>
      </c>
      <c r="G806">
        <v>-0.29814185285655342</v>
      </c>
      <c r="H806">
        <v>-1.017475593287124</v>
      </c>
      <c r="I806">
        <v>-0.29881789275512999</v>
      </c>
      <c r="J806">
        <v>-0.74678768713207178</v>
      </c>
      <c r="K806">
        <v>-0.1248487637586624</v>
      </c>
      <c r="M806">
        <f t="shared" si="37"/>
        <v>-0.89156298132646428</v>
      </c>
      <c r="N806">
        <f t="shared" si="38"/>
        <v>7</v>
      </c>
    </row>
    <row r="807" spans="1:14" x14ac:dyDescent="0.35">
      <c r="A807" t="str">
        <f t="shared" si="36"/>
        <v>18097357602_2024</v>
      </c>
      <c r="B807">
        <v>18097357602</v>
      </c>
      <c r="C807">
        <v>2024</v>
      </c>
      <c r="D807">
        <v>-0.65619045768006967</v>
      </c>
      <c r="F807">
        <v>0.52744728461298962</v>
      </c>
      <c r="H807">
        <v>-2.211041923051916</v>
      </c>
      <c r="I807">
        <v>-0.35368066109519192</v>
      </c>
      <c r="J807">
        <v>-0.88584440319086644</v>
      </c>
      <c r="K807">
        <v>-1.229909014626133E-2</v>
      </c>
      <c r="M807">
        <f t="shared" si="37"/>
        <v>-3.5916092505513157</v>
      </c>
      <c r="N807">
        <f t="shared" si="38"/>
        <v>6</v>
      </c>
    </row>
    <row r="808" spans="1:14" x14ac:dyDescent="0.35">
      <c r="A808" t="str">
        <f t="shared" si="36"/>
        <v>18097357602_2025</v>
      </c>
      <c r="B808">
        <v>18097357602</v>
      </c>
      <c r="C808">
        <v>2025</v>
      </c>
      <c r="D808">
        <v>-0.73740472335866059</v>
      </c>
      <c r="F808">
        <v>0.85272435354605136</v>
      </c>
      <c r="H808">
        <v>-1.861469957725826</v>
      </c>
      <c r="I808">
        <v>-0.3803028237291487</v>
      </c>
      <c r="J808">
        <v>-0.87500294610569695</v>
      </c>
      <c r="K808">
        <v>-3.2194860411092589E-2</v>
      </c>
      <c r="M808">
        <f t="shared" si="37"/>
        <v>-3.0336509577843738</v>
      </c>
      <c r="N808">
        <f t="shared" si="38"/>
        <v>6</v>
      </c>
    </row>
    <row r="809" spans="1:14" x14ac:dyDescent="0.35">
      <c r="A809" t="str">
        <f t="shared" si="36"/>
        <v>18097357602_2026</v>
      </c>
      <c r="B809">
        <v>18097357602</v>
      </c>
      <c r="C809">
        <v>2026</v>
      </c>
      <c r="D809">
        <v>-0.71691668079130133</v>
      </c>
      <c r="F809">
        <v>1.1768655836125159</v>
      </c>
      <c r="H809">
        <v>-2.5445452150263148</v>
      </c>
      <c r="I809">
        <v>-0.34574906922186832</v>
      </c>
      <c r="J809">
        <v>-0.84523903843972548</v>
      </c>
      <c r="K809">
        <v>-6.9776324332109674E-2</v>
      </c>
      <c r="M809">
        <f t="shared" si="37"/>
        <v>-3.3453607441988038</v>
      </c>
      <c r="N809">
        <f t="shared" si="38"/>
        <v>6</v>
      </c>
    </row>
    <row r="810" spans="1:14" x14ac:dyDescent="0.35">
      <c r="A810" t="str">
        <f t="shared" si="36"/>
        <v>18097357602_2027</v>
      </c>
      <c r="B810">
        <v>18097357602</v>
      </c>
      <c r="C810">
        <v>2027</v>
      </c>
      <c r="D810">
        <v>-0.76526475955876871</v>
      </c>
      <c r="F810">
        <v>1.4871438887191479</v>
      </c>
      <c r="H810">
        <v>-2.1855962664197182</v>
      </c>
      <c r="I810">
        <v>-0.35914991461559082</v>
      </c>
      <c r="J810">
        <v>-0.80248291222930246</v>
      </c>
      <c r="K810">
        <v>-9.9051558252841496E-2</v>
      </c>
      <c r="M810">
        <f t="shared" si="37"/>
        <v>-2.7244015223570734</v>
      </c>
      <c r="N810">
        <f t="shared" si="38"/>
        <v>6</v>
      </c>
    </row>
    <row r="811" spans="1:14" x14ac:dyDescent="0.35">
      <c r="A811" t="str">
        <f t="shared" si="36"/>
        <v>18097357602_2028</v>
      </c>
      <c r="B811">
        <v>18097357602</v>
      </c>
      <c r="C811">
        <v>2028</v>
      </c>
      <c r="D811">
        <v>-0.74155371971107842</v>
      </c>
      <c r="F811">
        <v>1.8414444826383589</v>
      </c>
      <c r="H811">
        <v>-2.712246748742742</v>
      </c>
      <c r="I811">
        <v>-0.33125866911833618</v>
      </c>
      <c r="J811">
        <v>-0.74678768713207178</v>
      </c>
      <c r="K811">
        <v>-0.1248487637586624</v>
      </c>
      <c r="M811">
        <f t="shared" si="37"/>
        <v>-2.8152511058245322</v>
      </c>
      <c r="N811">
        <f t="shared" si="38"/>
        <v>6</v>
      </c>
    </row>
    <row r="812" spans="1:14" x14ac:dyDescent="0.35">
      <c r="A812" t="str">
        <f t="shared" si="36"/>
        <v>18097357800_2024</v>
      </c>
      <c r="B812">
        <v>18097357800</v>
      </c>
      <c r="C812">
        <v>2024</v>
      </c>
      <c r="D812">
        <v>0.14223988952225269</v>
      </c>
      <c r="E812">
        <v>-0.1106237740478576</v>
      </c>
      <c r="F812">
        <v>0.66453289891883316</v>
      </c>
      <c r="G812">
        <v>-0.75903773801742302</v>
      </c>
      <c r="H812">
        <v>-1.4360085155621569</v>
      </c>
      <c r="I812">
        <v>1.1133785970800669</v>
      </c>
      <c r="J812">
        <v>-0.93448478386722278</v>
      </c>
      <c r="K812">
        <v>-2.2074247313449469</v>
      </c>
      <c r="M812">
        <f t="shared" si="37"/>
        <v>-3.5274281573184543</v>
      </c>
      <c r="N812">
        <f t="shared" si="38"/>
        <v>8</v>
      </c>
    </row>
    <row r="813" spans="1:14" x14ac:dyDescent="0.35">
      <c r="A813" t="str">
        <f t="shared" si="36"/>
        <v>18097357800_2025</v>
      </c>
      <c r="B813">
        <v>18097357800</v>
      </c>
      <c r="C813">
        <v>2025</v>
      </c>
      <c r="D813">
        <v>2.8080869392071799E-3</v>
      </c>
      <c r="E813">
        <v>-6.637768479915096E-2</v>
      </c>
      <c r="F813">
        <v>0.5472600434551389</v>
      </c>
      <c r="G813">
        <v>-0.76340580483829035</v>
      </c>
      <c r="H813">
        <v>-1.3809369286510169</v>
      </c>
      <c r="I813">
        <v>1.14039687473268</v>
      </c>
      <c r="J813">
        <v>-1.0155058938579391</v>
      </c>
      <c r="K813">
        <v>-2.1512352211718362</v>
      </c>
      <c r="M813">
        <f t="shared" si="37"/>
        <v>-3.6869965281912074</v>
      </c>
      <c r="N813">
        <f t="shared" si="38"/>
        <v>8</v>
      </c>
    </row>
    <row r="814" spans="1:14" x14ac:dyDescent="0.35">
      <c r="A814" t="str">
        <f t="shared" si="36"/>
        <v>18097357800_2026</v>
      </c>
      <c r="B814">
        <v>18097357800</v>
      </c>
      <c r="C814">
        <v>2026</v>
      </c>
      <c r="D814">
        <v>8.2425699364109904E-3</v>
      </c>
      <c r="E814">
        <v>-1.846125072468336E-2</v>
      </c>
      <c r="F814">
        <v>0.4327840545885539</v>
      </c>
      <c r="G814">
        <v>-0.73736518381665006</v>
      </c>
      <c r="H814">
        <v>-1.3116784735091891</v>
      </c>
      <c r="I814">
        <v>1.1464204970762739</v>
      </c>
      <c r="J814">
        <v>-1.0738070674368889</v>
      </c>
      <c r="K814">
        <v>-2.0055788067477192</v>
      </c>
      <c r="M814">
        <f t="shared" si="37"/>
        <v>-3.5594436606338915</v>
      </c>
      <c r="N814">
        <f t="shared" si="38"/>
        <v>8</v>
      </c>
    </row>
    <row r="815" spans="1:14" x14ac:dyDescent="0.35">
      <c r="A815" t="str">
        <f t="shared" si="36"/>
        <v>18097357800_2027</v>
      </c>
      <c r="B815">
        <v>18097357800</v>
      </c>
      <c r="C815">
        <v>2027</v>
      </c>
      <c r="D815">
        <v>-0.1054408417894402</v>
      </c>
      <c r="E815">
        <v>2.1932370200849999E-2</v>
      </c>
      <c r="F815">
        <v>0.32234504949702603</v>
      </c>
      <c r="G815">
        <v>-0.72262723205364721</v>
      </c>
      <c r="H815">
        <v>-1.265888063950414</v>
      </c>
      <c r="I815">
        <v>1.1610006665012671</v>
      </c>
      <c r="J815">
        <v>-1.116844580533531</v>
      </c>
      <c r="K815">
        <v>-1.82656602294704</v>
      </c>
      <c r="M815">
        <f t="shared" si="37"/>
        <v>-3.5320886550749293</v>
      </c>
      <c r="N815">
        <f t="shared" si="38"/>
        <v>8</v>
      </c>
    </row>
    <row r="816" spans="1:14" x14ac:dyDescent="0.35">
      <c r="A816" t="str">
        <f t="shared" si="36"/>
        <v>18097357800_2028</v>
      </c>
      <c r="B816">
        <v>18097357800</v>
      </c>
      <c r="C816">
        <v>2028</v>
      </c>
      <c r="D816">
        <v>-0.1176862198448308</v>
      </c>
      <c r="E816">
        <v>6.550946634870139E-2</v>
      </c>
      <c r="F816">
        <v>0.23691668290584139</v>
      </c>
      <c r="G816">
        <v>-0.69693676373572977</v>
      </c>
      <c r="H816">
        <v>-1.1842677441432941</v>
      </c>
      <c r="I816">
        <v>1.163333235322525</v>
      </c>
      <c r="J816">
        <v>-1.149643334156099</v>
      </c>
      <c r="K816">
        <v>-1.616681551067205</v>
      </c>
      <c r="M816">
        <f t="shared" si="37"/>
        <v>-3.299456228370091</v>
      </c>
      <c r="N816">
        <f t="shared" si="38"/>
        <v>8</v>
      </c>
    </row>
    <row r="817" spans="1:14" x14ac:dyDescent="0.35">
      <c r="A817" t="str">
        <f t="shared" si="36"/>
        <v>18097357900_2024</v>
      </c>
      <c r="B817">
        <v>18097357900</v>
      </c>
      <c r="C817">
        <v>2024</v>
      </c>
      <c r="D817">
        <v>2.7932189308247879</v>
      </c>
      <c r="E817">
        <v>-0.1476079221421161</v>
      </c>
      <c r="F817">
        <v>6.948468860480829E-2</v>
      </c>
      <c r="G817">
        <v>-0.1115895528995945</v>
      </c>
      <c r="H817">
        <v>-0.49244012056559983</v>
      </c>
      <c r="I817">
        <v>0.7685346544058157</v>
      </c>
      <c r="J817">
        <v>-0.93076079844315962</v>
      </c>
      <c r="K817">
        <v>-2.7483664533811449</v>
      </c>
      <c r="M817">
        <f t="shared" si="37"/>
        <v>-0.79952657359620338</v>
      </c>
      <c r="N817">
        <f t="shared" si="38"/>
        <v>8</v>
      </c>
    </row>
    <row r="818" spans="1:14" x14ac:dyDescent="0.35">
      <c r="A818" t="str">
        <f t="shared" si="36"/>
        <v>18097357900_2025</v>
      </c>
      <c r="B818">
        <v>18097357900</v>
      </c>
      <c r="C818">
        <v>2025</v>
      </c>
      <c r="D818">
        <v>2.46296135304681</v>
      </c>
      <c r="E818">
        <v>-0.11581427628571971</v>
      </c>
      <c r="F818">
        <v>3.5585595905142077E-2</v>
      </c>
      <c r="G818">
        <v>-9.2416766234751577E-2</v>
      </c>
      <c r="H818">
        <v>-0.26489112224312999</v>
      </c>
      <c r="I818">
        <v>0.78169229830300047</v>
      </c>
      <c r="J818">
        <v>-1.016506516616311</v>
      </c>
      <c r="K818">
        <v>-2.6734273462186842</v>
      </c>
      <c r="M818">
        <f t="shared" si="37"/>
        <v>-0.88281678034364375</v>
      </c>
      <c r="N818">
        <f t="shared" si="38"/>
        <v>8</v>
      </c>
    </row>
    <row r="819" spans="1:14" x14ac:dyDescent="0.35">
      <c r="A819" t="str">
        <f t="shared" si="36"/>
        <v>18097357900_2026</v>
      </c>
      <c r="B819">
        <v>18097357900</v>
      </c>
      <c r="C819">
        <v>2026</v>
      </c>
      <c r="D819">
        <v>2.405112471159387</v>
      </c>
      <c r="E819">
        <v>-7.9350524920520568E-2</v>
      </c>
      <c r="F819">
        <v>9.4621819325935302E-3</v>
      </c>
      <c r="G819">
        <v>-8.5948964842643014E-2</v>
      </c>
      <c r="H819">
        <v>-8.3706178516782234E-2</v>
      </c>
      <c r="I819">
        <v>0.78085878008512266</v>
      </c>
      <c r="J819">
        <v>-1.078754147883914</v>
      </c>
      <c r="K819">
        <v>-2.4826158754429319</v>
      </c>
      <c r="M819">
        <f t="shared" si="37"/>
        <v>-0.61494225842968842</v>
      </c>
      <c r="N819">
        <f t="shared" si="38"/>
        <v>8</v>
      </c>
    </row>
    <row r="820" spans="1:14" x14ac:dyDescent="0.35">
      <c r="A820" t="str">
        <f t="shared" si="36"/>
        <v>18097357900_2027</v>
      </c>
      <c r="B820">
        <v>18097357900</v>
      </c>
      <c r="C820">
        <v>2027</v>
      </c>
      <c r="D820">
        <v>2.0787429487808331</v>
      </c>
      <c r="E820">
        <v>-4.9505494195518383E-2</v>
      </c>
      <c r="F820">
        <v>-2.353970268481002E-2</v>
      </c>
      <c r="G820">
        <v>-7.3467009923616169E-2</v>
      </c>
      <c r="H820">
        <v>1.9955598355437369E-2</v>
      </c>
      <c r="I820">
        <v>0.7861681171666014</v>
      </c>
      <c r="J820">
        <v>-1.12480178581319</v>
      </c>
      <c r="K820">
        <v>-2.2522749672779141</v>
      </c>
      <c r="M820">
        <f t="shared" si="37"/>
        <v>-0.6387222955921763</v>
      </c>
      <c r="N820">
        <f t="shared" si="38"/>
        <v>8</v>
      </c>
    </row>
    <row r="821" spans="1:14" x14ac:dyDescent="0.35">
      <c r="A821" t="str">
        <f t="shared" si="36"/>
        <v>18097357900_2028</v>
      </c>
      <c r="B821">
        <v>18097357900</v>
      </c>
      <c r="C821">
        <v>2028</v>
      </c>
      <c r="D821">
        <v>1.938139119032436</v>
      </c>
      <c r="E821">
        <v>-1.5976336370814678E-2</v>
      </c>
      <c r="F821">
        <v>-4.7491626007278798E-2</v>
      </c>
      <c r="G821">
        <v>-7.0715961829766791E-2</v>
      </c>
      <c r="H821">
        <v>0.104352825282821</v>
      </c>
      <c r="I821">
        <v>0.78316986430633395</v>
      </c>
      <c r="J821">
        <v>-1.159616313834505</v>
      </c>
      <c r="K821">
        <v>-1.984311791516902</v>
      </c>
      <c r="M821">
        <f t="shared" si="37"/>
        <v>-0.4524502209376764</v>
      </c>
      <c r="N821">
        <f t="shared" si="38"/>
        <v>8</v>
      </c>
    </row>
    <row r="822" spans="1:14" x14ac:dyDescent="0.35">
      <c r="A822" t="str">
        <f t="shared" si="36"/>
        <v>18097358000_2024</v>
      </c>
      <c r="B822">
        <v>18097358000</v>
      </c>
      <c r="C822">
        <v>2024</v>
      </c>
      <c r="D822">
        <v>-4.9595453393106087E-2</v>
      </c>
      <c r="E822">
        <v>-0.3913452010703789</v>
      </c>
      <c r="F822">
        <v>0.16420233823269581</v>
      </c>
      <c r="G822">
        <v>-1.588392010102964</v>
      </c>
      <c r="H822">
        <v>-2.9378964338830939E-2</v>
      </c>
      <c r="I822">
        <v>1.6352527831903929</v>
      </c>
      <c r="J822">
        <v>-0.92348106934849683</v>
      </c>
      <c r="M822">
        <f t="shared" si="37"/>
        <v>-1.182737576830688</v>
      </c>
      <c r="N822">
        <f t="shared" si="38"/>
        <v>7</v>
      </c>
    </row>
    <row r="823" spans="1:14" x14ac:dyDescent="0.35">
      <c r="A823" t="str">
        <f t="shared" si="36"/>
        <v>18097358000_2025</v>
      </c>
      <c r="B823">
        <v>18097358000</v>
      </c>
      <c r="C823">
        <v>2025</v>
      </c>
      <c r="D823">
        <v>-0.1247868918913532</v>
      </c>
      <c r="E823">
        <v>-0.31734765662709358</v>
      </c>
      <c r="F823">
        <v>0.18081749343742501</v>
      </c>
      <c r="G823">
        <v>-1.6345147996703531</v>
      </c>
      <c r="H823">
        <v>0.1131768818312161</v>
      </c>
      <c r="I823">
        <v>1.7140724181770519</v>
      </c>
      <c r="J823">
        <v>-1.0091208286567219</v>
      </c>
      <c r="M823">
        <f t="shared" si="37"/>
        <v>-1.0777033833998286</v>
      </c>
      <c r="N823">
        <f t="shared" si="38"/>
        <v>7</v>
      </c>
    </row>
    <row r="824" spans="1:14" x14ac:dyDescent="0.35">
      <c r="A824" t="str">
        <f t="shared" si="36"/>
        <v>18097358000_2026</v>
      </c>
      <c r="B824">
        <v>18097358000</v>
      </c>
      <c r="C824">
        <v>2026</v>
      </c>
      <c r="D824">
        <v>-0.10511246696874579</v>
      </c>
      <c r="E824">
        <v>-0.2439684540570585</v>
      </c>
      <c r="F824">
        <v>0.20074507303709871</v>
      </c>
      <c r="G824">
        <v>-1.633467692276382</v>
      </c>
      <c r="H824">
        <v>0.23706513010038111</v>
      </c>
      <c r="I824">
        <v>1.816733447659626</v>
      </c>
      <c r="J824">
        <v>-1.069468524909909</v>
      </c>
      <c r="M824">
        <f t="shared" si="37"/>
        <v>-0.79747348741498936</v>
      </c>
      <c r="N824">
        <f t="shared" si="38"/>
        <v>7</v>
      </c>
    </row>
    <row r="825" spans="1:14" x14ac:dyDescent="0.35">
      <c r="A825" t="str">
        <f t="shared" si="36"/>
        <v>18097358000_2027</v>
      </c>
      <c r="B825">
        <v>18097358000</v>
      </c>
      <c r="C825">
        <v>2027</v>
      </c>
      <c r="D825">
        <v>-0.1596164742479744</v>
      </c>
      <c r="E825">
        <v>-0.17727529207932041</v>
      </c>
      <c r="F825">
        <v>0.2112026755669196</v>
      </c>
      <c r="G825">
        <v>-1.6347339588986469</v>
      </c>
      <c r="H825">
        <v>0.34178338851255752</v>
      </c>
      <c r="I825">
        <v>1.907440414879473</v>
      </c>
      <c r="J825">
        <v>-1.111755899943772</v>
      </c>
      <c r="M825">
        <f t="shared" si="37"/>
        <v>-0.62295514621076342</v>
      </c>
      <c r="N825">
        <f t="shared" si="38"/>
        <v>7</v>
      </c>
    </row>
    <row r="826" spans="1:14" x14ac:dyDescent="0.35">
      <c r="A826" t="str">
        <f t="shared" si="36"/>
        <v>18097358000_2028</v>
      </c>
      <c r="B826">
        <v>18097358000</v>
      </c>
      <c r="C826">
        <v>2028</v>
      </c>
      <c r="D826">
        <v>-0.1586849514072621</v>
      </c>
      <c r="E826">
        <v>-0.109206712435001</v>
      </c>
      <c r="F826">
        <v>0.22796769333540071</v>
      </c>
      <c r="G826">
        <v>-1.59774053793591</v>
      </c>
      <c r="H826">
        <v>0.43860819003027118</v>
      </c>
      <c r="I826">
        <v>1.9840360449089689</v>
      </c>
      <c r="J826">
        <v>-1.140722140557783</v>
      </c>
      <c r="M826">
        <f t="shared" si="37"/>
        <v>-0.35574241406131524</v>
      </c>
      <c r="N826">
        <f t="shared" si="38"/>
        <v>7</v>
      </c>
    </row>
    <row r="827" spans="1:14" x14ac:dyDescent="0.35">
      <c r="A827" t="str">
        <f t="shared" si="36"/>
        <v>18097358100_2024</v>
      </c>
      <c r="B827">
        <v>18097358100</v>
      </c>
      <c r="C827">
        <v>2024</v>
      </c>
      <c r="D827">
        <v>-6.5344477904262718E-2</v>
      </c>
      <c r="E827">
        <v>-0.81981390781818542</v>
      </c>
      <c r="F827">
        <v>-0.21940166678778941</v>
      </c>
      <c r="G827">
        <v>-0.84841220918521676</v>
      </c>
      <c r="H827">
        <v>-1.0722306314590311</v>
      </c>
      <c r="I827">
        <v>0.67180030226002951</v>
      </c>
      <c r="J827">
        <v>-0.37063530493785202</v>
      </c>
      <c r="K827">
        <v>0.49069317764286963</v>
      </c>
      <c r="M827">
        <f t="shared" si="37"/>
        <v>-2.2333447181894379</v>
      </c>
      <c r="N827">
        <f t="shared" si="38"/>
        <v>8</v>
      </c>
    </row>
    <row r="828" spans="1:14" x14ac:dyDescent="0.35">
      <c r="A828" t="str">
        <f t="shared" si="36"/>
        <v>18097358100_2025</v>
      </c>
      <c r="B828">
        <v>18097358100</v>
      </c>
      <c r="C828">
        <v>2025</v>
      </c>
      <c r="D828">
        <v>-5.4174347155673602E-3</v>
      </c>
      <c r="E828">
        <v>-0.80924291892021372</v>
      </c>
      <c r="F828">
        <v>-0.28626902542553739</v>
      </c>
      <c r="G828">
        <v>-0.85130978820156511</v>
      </c>
      <c r="H828">
        <v>-1.08731834901525</v>
      </c>
      <c r="I828">
        <v>0.63498437054451284</v>
      </c>
      <c r="J828">
        <v>-0.34899593402882823</v>
      </c>
      <c r="K828">
        <v>0.39368624248298562</v>
      </c>
      <c r="M828">
        <f t="shared" si="37"/>
        <v>-2.3598828372794634</v>
      </c>
      <c r="N828">
        <f t="shared" si="38"/>
        <v>8</v>
      </c>
    </row>
    <row r="829" spans="1:14" x14ac:dyDescent="0.35">
      <c r="A829" t="str">
        <f t="shared" si="36"/>
        <v>18097358100_2026</v>
      </c>
      <c r="B829">
        <v>18097358100</v>
      </c>
      <c r="C829">
        <v>2026</v>
      </c>
      <c r="D829">
        <v>-1.1482546764013279E-2</v>
      </c>
      <c r="E829">
        <v>-0.79863363666476395</v>
      </c>
      <c r="F829">
        <v>-0.40079222593881508</v>
      </c>
      <c r="G829">
        <v>-0.83483192827592334</v>
      </c>
      <c r="H829">
        <v>-0.99214517809909875</v>
      </c>
      <c r="I829">
        <v>0.60856316307212599</v>
      </c>
      <c r="J829">
        <v>-0.33338590127574019</v>
      </c>
      <c r="K829">
        <v>0.25727522663862101</v>
      </c>
      <c r="M829">
        <f t="shared" si="37"/>
        <v>-2.5054330273076073</v>
      </c>
      <c r="N829">
        <f t="shared" si="38"/>
        <v>8</v>
      </c>
    </row>
    <row r="830" spans="1:14" x14ac:dyDescent="0.35">
      <c r="A830" t="str">
        <f t="shared" si="36"/>
        <v>18097358100_2027</v>
      </c>
      <c r="B830">
        <v>18097358100</v>
      </c>
      <c r="C830">
        <v>2027</v>
      </c>
      <c r="D830">
        <v>1.7814903547596388E-2</v>
      </c>
      <c r="E830">
        <v>-0.78663387701947163</v>
      </c>
      <c r="F830">
        <v>-0.47157005323452428</v>
      </c>
      <c r="G830">
        <v>-0.8185557633000734</v>
      </c>
      <c r="H830">
        <v>-0.9490433245165586</v>
      </c>
      <c r="I830">
        <v>0.57893140909489937</v>
      </c>
      <c r="J830">
        <v>-0.32003557751420297</v>
      </c>
      <c r="K830">
        <v>0.13273979215458939</v>
      </c>
      <c r="M830">
        <f t="shared" si="37"/>
        <v>-2.6163524907877456</v>
      </c>
      <c r="N830">
        <f t="shared" si="38"/>
        <v>8</v>
      </c>
    </row>
    <row r="831" spans="1:14" x14ac:dyDescent="0.35">
      <c r="A831" t="str">
        <f t="shared" si="36"/>
        <v>18097358100_2028</v>
      </c>
      <c r="B831">
        <v>18097358100</v>
      </c>
      <c r="C831">
        <v>2028</v>
      </c>
      <c r="D831">
        <v>1.70723467048381E-2</v>
      </c>
      <c r="E831">
        <v>-0.77146245703586969</v>
      </c>
      <c r="F831">
        <v>-0.52956344755853457</v>
      </c>
      <c r="G831">
        <v>-0.7921770313243518</v>
      </c>
      <c r="H831">
        <v>-0.86871476823794247</v>
      </c>
      <c r="I831">
        <v>0.54828021201099608</v>
      </c>
      <c r="J831">
        <v>-0.30751408716218021</v>
      </c>
      <c r="K831">
        <v>2.059371871970363E-2</v>
      </c>
      <c r="M831">
        <f t="shared" si="37"/>
        <v>-2.6834855138833409</v>
      </c>
      <c r="N831">
        <f t="shared" si="38"/>
        <v>8</v>
      </c>
    </row>
    <row r="832" spans="1:14" x14ac:dyDescent="0.35">
      <c r="A832" t="str">
        <f t="shared" si="36"/>
        <v>18097360101_2024</v>
      </c>
      <c r="B832">
        <v>18097360101</v>
      </c>
      <c r="C832">
        <v>2024</v>
      </c>
      <c r="D832">
        <v>0.4529136387266417</v>
      </c>
      <c r="E832">
        <v>-1.163599361894617</v>
      </c>
      <c r="F832">
        <v>1.1229323817838359</v>
      </c>
      <c r="G832">
        <v>-1.090366914523079</v>
      </c>
      <c r="H832">
        <v>-0.38312128348380342</v>
      </c>
      <c r="I832">
        <v>-0.402513708501964</v>
      </c>
      <c r="J832">
        <v>-1.7694829107230889</v>
      </c>
      <c r="K832">
        <v>-0.73849621489314898</v>
      </c>
      <c r="M832">
        <f t="shared" si="37"/>
        <v>-3.9717343735092236</v>
      </c>
      <c r="N832">
        <f t="shared" si="38"/>
        <v>8</v>
      </c>
    </row>
    <row r="833" spans="1:14" x14ac:dyDescent="0.35">
      <c r="A833" t="str">
        <f t="shared" si="36"/>
        <v>18097360101_2025</v>
      </c>
      <c r="B833">
        <v>18097360101</v>
      </c>
      <c r="C833">
        <v>2025</v>
      </c>
      <c r="D833">
        <v>0.3469884333909351</v>
      </c>
      <c r="E833">
        <v>-1.14225867907218</v>
      </c>
      <c r="F833">
        <v>1.077039420134174</v>
      </c>
      <c r="G833">
        <v>-1.0346098017595711</v>
      </c>
      <c r="H833">
        <v>-0.28931997164407353</v>
      </c>
      <c r="I833">
        <v>-0.31708414315906019</v>
      </c>
      <c r="J833">
        <v>-1.746118506898743</v>
      </c>
      <c r="K833">
        <v>-0.74542578591381858</v>
      </c>
      <c r="M833">
        <f t="shared" si="37"/>
        <v>-3.8507890349223373</v>
      </c>
      <c r="N833">
        <f t="shared" si="38"/>
        <v>8</v>
      </c>
    </row>
    <row r="834" spans="1:14" x14ac:dyDescent="0.35">
      <c r="A834" t="str">
        <f t="shared" si="36"/>
        <v>18097360101_2026</v>
      </c>
      <c r="B834">
        <v>18097360101</v>
      </c>
      <c r="C834">
        <v>2026</v>
      </c>
      <c r="D834">
        <v>0.2167924518958535</v>
      </c>
      <c r="E834">
        <v>-1.121402792428023</v>
      </c>
      <c r="F834">
        <v>0.98549891727686323</v>
      </c>
      <c r="G834">
        <v>-0.96750200135220898</v>
      </c>
      <c r="H834">
        <v>-0.14316732980936089</v>
      </c>
      <c r="I834">
        <v>-0.2353134056301586</v>
      </c>
      <c r="J834">
        <v>-1.716341805024131</v>
      </c>
      <c r="K834">
        <v>-0.7339297936516973</v>
      </c>
      <c r="M834">
        <f t="shared" si="37"/>
        <v>-3.7153657587228635</v>
      </c>
      <c r="N834">
        <f t="shared" si="38"/>
        <v>8</v>
      </c>
    </row>
    <row r="835" spans="1:14" x14ac:dyDescent="0.35">
      <c r="A835" t="str">
        <f t="shared" ref="A835:A898" si="39">TEXT(B835,0)&amp;"_"&amp;TEXT(C835,0)</f>
        <v>18097360101_2027</v>
      </c>
      <c r="B835">
        <v>18097360101</v>
      </c>
      <c r="C835">
        <v>2027</v>
      </c>
      <c r="D835">
        <v>0.1013483753516581</v>
      </c>
      <c r="E835">
        <v>-1.0972816908785139</v>
      </c>
      <c r="F835">
        <v>0.8730189457840869</v>
      </c>
      <c r="G835">
        <v>-0.90542765332055319</v>
      </c>
      <c r="H835">
        <v>-4.4439466471148881E-2</v>
      </c>
      <c r="I835">
        <v>-0.15256008879299721</v>
      </c>
      <c r="J835">
        <v>-1.672624124253447</v>
      </c>
      <c r="K835">
        <v>-0.70354960275082035</v>
      </c>
      <c r="M835">
        <f t="shared" ref="M835:M898" si="40">SUM(D835:K835)</f>
        <v>-3.6015153053317359</v>
      </c>
      <c r="N835">
        <f t="shared" ref="N835:N898" si="41">IF(D835=0,0,1)+IF(E835=0,0,1)+IF(F835=0,0,1)+IF(G835=0,0,1)+IF(H835=0,0,1)+IF(I835=0,0,1)++IF(J835=0,0,1)++IF(K835=0,0,1)</f>
        <v>8</v>
      </c>
    </row>
    <row r="836" spans="1:14" x14ac:dyDescent="0.35">
      <c r="A836" t="str">
        <f t="shared" si="39"/>
        <v>18097360101_2028</v>
      </c>
      <c r="B836">
        <v>18097360101</v>
      </c>
      <c r="C836">
        <v>2028</v>
      </c>
      <c r="D836">
        <v>-6.3764025612955515E-4</v>
      </c>
      <c r="E836">
        <v>-1.071123682593752</v>
      </c>
      <c r="F836">
        <v>0.78680716468533629</v>
      </c>
      <c r="G836">
        <v>-0.83500510944444095</v>
      </c>
      <c r="H836">
        <v>6.5208745308016305E-2</v>
      </c>
      <c r="I836">
        <v>-7.4049870992556097E-2</v>
      </c>
      <c r="J836">
        <v>-1.6070563157234761</v>
      </c>
      <c r="K836">
        <v>-0.65727119630691011</v>
      </c>
      <c r="M836">
        <f t="shared" si="40"/>
        <v>-3.3931279053239121</v>
      </c>
      <c r="N836">
        <f t="shared" si="41"/>
        <v>8</v>
      </c>
    </row>
    <row r="837" spans="1:14" x14ac:dyDescent="0.35">
      <c r="A837" t="str">
        <f t="shared" si="39"/>
        <v>18097360102_2024</v>
      </c>
      <c r="B837">
        <v>18097360102</v>
      </c>
      <c r="C837">
        <v>2024</v>
      </c>
      <c r="D837">
        <v>0.38744563032207419</v>
      </c>
      <c r="E837">
        <v>-1.324024654255713</v>
      </c>
      <c r="F837">
        <v>0.26966383375388753</v>
      </c>
      <c r="G837">
        <v>-1.126076924454573</v>
      </c>
      <c r="H837">
        <v>-2.1268194402073748</v>
      </c>
      <c r="I837">
        <v>-1.47179947352993</v>
      </c>
      <c r="J837">
        <v>-1.76948291072066</v>
      </c>
      <c r="K837">
        <v>-0.73849621489971118</v>
      </c>
      <c r="M837">
        <f t="shared" si="40"/>
        <v>-7.8995901539919995</v>
      </c>
      <c r="N837">
        <f t="shared" si="41"/>
        <v>8</v>
      </c>
    </row>
    <row r="838" spans="1:14" x14ac:dyDescent="0.35">
      <c r="A838" t="str">
        <f t="shared" si="39"/>
        <v>18097360102_2025</v>
      </c>
      <c r="B838">
        <v>18097360102</v>
      </c>
      <c r="C838">
        <v>2025</v>
      </c>
      <c r="D838">
        <v>0.28546806371226019</v>
      </c>
      <c r="E838">
        <v>-1.3437714559312151</v>
      </c>
      <c r="F838">
        <v>0.23513300962717659</v>
      </c>
      <c r="G838">
        <v>-1.101767736078102</v>
      </c>
      <c r="H838">
        <v>-2.215620260182575</v>
      </c>
      <c r="I838">
        <v>-1.382308416718854</v>
      </c>
      <c r="J838">
        <v>-1.746118506895235</v>
      </c>
      <c r="K838">
        <v>-0.74542578592731179</v>
      </c>
      <c r="M838">
        <f t="shared" si="40"/>
        <v>-8.0144110883938566</v>
      </c>
      <c r="N838">
        <f t="shared" si="41"/>
        <v>8</v>
      </c>
    </row>
    <row r="839" spans="1:14" x14ac:dyDescent="0.35">
      <c r="A839" t="str">
        <f t="shared" si="39"/>
        <v>18097360102_2026</v>
      </c>
      <c r="B839">
        <v>18097360102</v>
      </c>
      <c r="C839">
        <v>2026</v>
      </c>
      <c r="D839">
        <v>0.16074502490371639</v>
      </c>
      <c r="E839">
        <v>-1.36337396540681</v>
      </c>
      <c r="F839">
        <v>0.16929868884006999</v>
      </c>
      <c r="G839">
        <v>-1.0588235616130579</v>
      </c>
      <c r="H839">
        <v>-2.1968656898430639</v>
      </c>
      <c r="I839">
        <v>-1.3175791959404211</v>
      </c>
      <c r="J839">
        <v>-1.716341805019296</v>
      </c>
      <c r="K839">
        <v>-0.73392979366982547</v>
      </c>
      <c r="M839">
        <f t="shared" si="40"/>
        <v>-8.0568702977486879</v>
      </c>
      <c r="N839">
        <f t="shared" si="41"/>
        <v>8</v>
      </c>
    </row>
    <row r="840" spans="1:14" x14ac:dyDescent="0.35">
      <c r="A840" t="str">
        <f t="shared" si="39"/>
        <v>18097360102_2027</v>
      </c>
      <c r="B840">
        <v>18097360102</v>
      </c>
      <c r="C840">
        <v>2027</v>
      </c>
      <c r="D840">
        <v>5.0633354391867183E-2</v>
      </c>
      <c r="E840">
        <v>-1.3756017568982879</v>
      </c>
      <c r="F840">
        <v>0.1099143563717677</v>
      </c>
      <c r="G840">
        <v>-1.0224963082256679</v>
      </c>
      <c r="H840">
        <v>-2.215405654380505</v>
      </c>
      <c r="I840">
        <v>-1.236530480407078</v>
      </c>
      <c r="J840">
        <v>-1.6726241242468951</v>
      </c>
      <c r="K840">
        <v>-0.70354960277132284</v>
      </c>
      <c r="M840">
        <f t="shared" si="40"/>
        <v>-8.0656602161661226</v>
      </c>
      <c r="N840">
        <f t="shared" si="41"/>
        <v>8</v>
      </c>
    </row>
    <row r="841" spans="1:14" x14ac:dyDescent="0.35">
      <c r="A841" t="str">
        <f t="shared" si="39"/>
        <v>18097360102_2028</v>
      </c>
      <c r="B841">
        <v>18097360102</v>
      </c>
      <c r="C841">
        <v>2028</v>
      </c>
      <c r="D841">
        <v>-4.5959636467976892E-2</v>
      </c>
      <c r="E841">
        <v>-1.3843203006125839</v>
      </c>
      <c r="F841">
        <v>6.132855961077633E-2</v>
      </c>
      <c r="G841">
        <v>-0.97309373097017704</v>
      </c>
      <c r="H841">
        <v>-2.1664526477793</v>
      </c>
      <c r="I841">
        <v>-1.1611063980048459</v>
      </c>
      <c r="J841">
        <v>-1.6070563157147131</v>
      </c>
      <c r="K841">
        <v>-0.65727119632774866</v>
      </c>
      <c r="M841">
        <f t="shared" si="40"/>
        <v>-7.9339316662665693</v>
      </c>
      <c r="N841">
        <f t="shared" si="41"/>
        <v>8</v>
      </c>
    </row>
    <row r="842" spans="1:14" x14ac:dyDescent="0.35">
      <c r="A842" t="str">
        <f t="shared" si="39"/>
        <v>18097360201_2024</v>
      </c>
      <c r="B842">
        <v>18097360201</v>
      </c>
      <c r="C842">
        <v>2024</v>
      </c>
      <c r="D842">
        <v>-0.44182285201115529</v>
      </c>
      <c r="E842">
        <v>-1.187070149113695</v>
      </c>
      <c r="F842">
        <v>1.0631709889969581</v>
      </c>
      <c r="G842">
        <v>-0.76896324793194748</v>
      </c>
      <c r="H842">
        <v>0.71770927239313231</v>
      </c>
      <c r="I842">
        <v>-1.5743318159766979</v>
      </c>
      <c r="J842">
        <v>-1.0843871755068559</v>
      </c>
      <c r="K842">
        <v>-0.45004634770061869</v>
      </c>
      <c r="M842">
        <f t="shared" si="40"/>
        <v>-3.7257413268508799</v>
      </c>
      <c r="N842">
        <f t="shared" si="41"/>
        <v>8</v>
      </c>
    </row>
    <row r="843" spans="1:14" x14ac:dyDescent="0.35">
      <c r="A843" t="str">
        <f t="shared" si="39"/>
        <v>18097360201_2025</v>
      </c>
      <c r="B843">
        <v>18097360201</v>
      </c>
      <c r="C843">
        <v>2025</v>
      </c>
      <c r="D843">
        <v>-0.46469232686691331</v>
      </c>
      <c r="E843">
        <v>-1.18923616636028</v>
      </c>
      <c r="F843">
        <v>0.99590782702463143</v>
      </c>
      <c r="G843">
        <v>-0.77125032915468739</v>
      </c>
      <c r="H843">
        <v>0.7189143157724418</v>
      </c>
      <c r="I843">
        <v>-1.619887161330281</v>
      </c>
      <c r="J843">
        <v>-1.115626010550361</v>
      </c>
      <c r="K843">
        <v>-0.49728891488594779</v>
      </c>
      <c r="M843">
        <f t="shared" si="40"/>
        <v>-3.9431587663513969</v>
      </c>
      <c r="N843">
        <f t="shared" si="41"/>
        <v>8</v>
      </c>
    </row>
    <row r="844" spans="1:14" x14ac:dyDescent="0.35">
      <c r="A844" t="str">
        <f t="shared" si="39"/>
        <v>18097360201_2026</v>
      </c>
      <c r="B844">
        <v>18097360201</v>
      </c>
      <c r="C844">
        <v>2026</v>
      </c>
      <c r="D844">
        <v>-0.4724749121777479</v>
      </c>
      <c r="E844">
        <v>-1.191318658559549</v>
      </c>
      <c r="F844">
        <v>1.011998364388992</v>
      </c>
      <c r="G844">
        <v>-0.76423500860670546</v>
      </c>
      <c r="H844">
        <v>0.72684356274589645</v>
      </c>
      <c r="I844">
        <v>-1.647866379236796</v>
      </c>
      <c r="J844">
        <v>-1.1570130372913869</v>
      </c>
      <c r="K844">
        <v>-0.5311477949120138</v>
      </c>
      <c r="M844">
        <f t="shared" si="40"/>
        <v>-4.0252138636493111</v>
      </c>
      <c r="N844">
        <f t="shared" si="41"/>
        <v>8</v>
      </c>
    </row>
    <row r="845" spans="1:14" x14ac:dyDescent="0.35">
      <c r="A845" t="str">
        <f t="shared" si="39"/>
        <v>18097360201_2027</v>
      </c>
      <c r="B845">
        <v>18097360201</v>
      </c>
      <c r="C845">
        <v>2027</v>
      </c>
      <c r="D845">
        <v>-0.47557723059529111</v>
      </c>
      <c r="E845">
        <v>-1.1883617978716809</v>
      </c>
      <c r="F845">
        <v>0.96210291813853643</v>
      </c>
      <c r="G845">
        <v>-0.75809316133884763</v>
      </c>
      <c r="H845">
        <v>0.72105166007487131</v>
      </c>
      <c r="I845">
        <v>-1.6766519065677601</v>
      </c>
      <c r="J845">
        <v>-1.2097931248903511</v>
      </c>
      <c r="K845">
        <v>-0.54222096851556578</v>
      </c>
      <c r="M845">
        <f t="shared" si="40"/>
        <v>-4.1675436115660887</v>
      </c>
      <c r="N845">
        <f t="shared" si="41"/>
        <v>8</v>
      </c>
    </row>
    <row r="846" spans="1:14" x14ac:dyDescent="0.35">
      <c r="A846" t="str">
        <f t="shared" si="39"/>
        <v>18097360201_2028</v>
      </c>
      <c r="B846">
        <v>18097360201</v>
      </c>
      <c r="C846">
        <v>2028</v>
      </c>
      <c r="D846">
        <v>-0.47900530530014679</v>
      </c>
      <c r="E846">
        <v>-1.182382591656</v>
      </c>
      <c r="F846">
        <v>0.94509931606250241</v>
      </c>
      <c r="G846">
        <v>-0.74307813829476177</v>
      </c>
      <c r="H846">
        <v>0.71681525049698402</v>
      </c>
      <c r="I846">
        <v>-1.6931387861821641</v>
      </c>
      <c r="J846">
        <v>-1.2753953579595541</v>
      </c>
      <c r="K846">
        <v>-0.53408655213669132</v>
      </c>
      <c r="M846">
        <f t="shared" si="40"/>
        <v>-4.2451721649698317</v>
      </c>
      <c r="N846">
        <f t="shared" si="41"/>
        <v>8</v>
      </c>
    </row>
    <row r="847" spans="1:14" x14ac:dyDescent="0.35">
      <c r="A847" t="str">
        <f t="shared" si="39"/>
        <v>18097360202_2024</v>
      </c>
      <c r="B847">
        <v>18097360202</v>
      </c>
      <c r="C847">
        <v>2024</v>
      </c>
      <c r="D847">
        <v>-0.87240829118982366</v>
      </c>
      <c r="E847">
        <v>-1.3787393946306941</v>
      </c>
      <c r="F847">
        <v>-1.1279893238020779</v>
      </c>
      <c r="G847">
        <v>-0.66196443039286013</v>
      </c>
      <c r="I847">
        <v>-1.194780553357029</v>
      </c>
      <c r="J847">
        <v>-1.082827724134428</v>
      </c>
      <c r="K847">
        <v>-0.44573655257470801</v>
      </c>
      <c r="M847">
        <f t="shared" si="40"/>
        <v>-6.7644462700816206</v>
      </c>
      <c r="N847">
        <f t="shared" si="41"/>
        <v>7</v>
      </c>
    </row>
    <row r="848" spans="1:14" x14ac:dyDescent="0.35">
      <c r="A848" t="str">
        <f t="shared" si="39"/>
        <v>18097360202_2025</v>
      </c>
      <c r="B848">
        <v>18097360202</v>
      </c>
      <c r="C848">
        <v>2025</v>
      </c>
      <c r="D848">
        <v>-0.87693213207684528</v>
      </c>
      <c r="E848">
        <v>-1.4313946547702501</v>
      </c>
      <c r="F848">
        <v>-1.155851867601434</v>
      </c>
      <c r="G848">
        <v>-0.63272603152364981</v>
      </c>
      <c r="I848">
        <v>-1.131390789043643</v>
      </c>
      <c r="J848">
        <v>-1.1152786391356</v>
      </c>
      <c r="K848">
        <v>-0.50634476212567758</v>
      </c>
      <c r="M848">
        <f t="shared" si="40"/>
        <v>-6.8499188762770986</v>
      </c>
      <c r="N848">
        <f t="shared" si="41"/>
        <v>7</v>
      </c>
    </row>
    <row r="849" spans="1:14" x14ac:dyDescent="0.35">
      <c r="A849" t="str">
        <f t="shared" si="39"/>
        <v>18097360202_2026</v>
      </c>
      <c r="B849">
        <v>18097360202</v>
      </c>
      <c r="C849">
        <v>2026</v>
      </c>
      <c r="D849">
        <v>-0.86383468545176434</v>
      </c>
      <c r="E849">
        <v>-1.490525807429518</v>
      </c>
      <c r="F849">
        <v>-1.1368952683563609</v>
      </c>
      <c r="G849">
        <v>-0.62282089534953378</v>
      </c>
      <c r="I849">
        <v>-1.059115075993956</v>
      </c>
      <c r="J849">
        <v>-1.1579142530381901</v>
      </c>
      <c r="K849">
        <v>-0.55216529663578073</v>
      </c>
      <c r="M849">
        <f t="shared" si="40"/>
        <v>-6.8832712822551043</v>
      </c>
      <c r="N849">
        <f t="shared" si="41"/>
        <v>7</v>
      </c>
    </row>
    <row r="850" spans="1:14" x14ac:dyDescent="0.35">
      <c r="A850" t="str">
        <f t="shared" si="39"/>
        <v>18097360202_2027</v>
      </c>
      <c r="B850">
        <v>18097360202</v>
      </c>
      <c r="C850">
        <v>2027</v>
      </c>
      <c r="D850">
        <v>-0.84334805474104346</v>
      </c>
      <c r="E850">
        <v>-1.5361139392611169</v>
      </c>
      <c r="F850">
        <v>-1.0935409886138581</v>
      </c>
      <c r="G850">
        <v>-0.62361660357215076</v>
      </c>
      <c r="I850">
        <v>-0.9887127904753128</v>
      </c>
      <c r="J850">
        <v>-1.2121595355077941</v>
      </c>
      <c r="K850">
        <v>-0.57229695765714972</v>
      </c>
      <c r="M850">
        <f t="shared" si="40"/>
        <v>-6.869788869828426</v>
      </c>
      <c r="N850">
        <f t="shared" si="41"/>
        <v>7</v>
      </c>
    </row>
    <row r="851" spans="1:14" x14ac:dyDescent="0.35">
      <c r="A851" t="str">
        <f t="shared" si="39"/>
        <v>18097360202_2028</v>
      </c>
      <c r="B851">
        <v>18097360202</v>
      </c>
      <c r="C851">
        <v>2028</v>
      </c>
      <c r="D851">
        <v>-0.81899577041366856</v>
      </c>
      <c r="E851">
        <v>-1.577894015352536</v>
      </c>
      <c r="F851">
        <v>-1.0580557904492229</v>
      </c>
      <c r="G851">
        <v>-0.62349010407291605</v>
      </c>
      <c r="I851">
        <v>-0.91534759019779099</v>
      </c>
      <c r="J851">
        <v>-1.279551099745559</v>
      </c>
      <c r="K851">
        <v>-0.56959480953749497</v>
      </c>
      <c r="M851">
        <f t="shared" si="40"/>
        <v>-6.8429291797691887</v>
      </c>
      <c r="N851">
        <f t="shared" si="41"/>
        <v>7</v>
      </c>
    </row>
    <row r="852" spans="1:14" x14ac:dyDescent="0.35">
      <c r="A852" t="str">
        <f t="shared" si="39"/>
        <v>18097360301_2024</v>
      </c>
      <c r="B852">
        <v>18097360301</v>
      </c>
      <c r="C852">
        <v>2024</v>
      </c>
      <c r="D852">
        <v>-7.2420292852790821E-2</v>
      </c>
      <c r="E852">
        <v>-1.105330697186095</v>
      </c>
      <c r="F852">
        <v>0.17926115422048919</v>
      </c>
      <c r="G852">
        <v>-0.49394398527937189</v>
      </c>
      <c r="I852">
        <v>-1.389255242274495</v>
      </c>
      <c r="J852">
        <v>-0.64618268603843321</v>
      </c>
      <c r="K852">
        <v>-0.98508127777751442</v>
      </c>
      <c r="M852">
        <f t="shared" si="40"/>
        <v>-4.5129530271882112</v>
      </c>
      <c r="N852">
        <f t="shared" si="41"/>
        <v>7</v>
      </c>
    </row>
    <row r="853" spans="1:14" x14ac:dyDescent="0.35">
      <c r="A853" t="str">
        <f t="shared" si="39"/>
        <v>18097360301_2025</v>
      </c>
      <c r="B853">
        <v>18097360301</v>
      </c>
      <c r="C853">
        <v>2025</v>
      </c>
      <c r="D853">
        <v>-0.14355370723058089</v>
      </c>
      <c r="E853">
        <v>-1.1295534930312741</v>
      </c>
      <c r="F853">
        <v>0.16088739867108151</v>
      </c>
      <c r="G853">
        <v>-0.47863885007722218</v>
      </c>
      <c r="I853">
        <v>-1.537393853375643</v>
      </c>
      <c r="J853">
        <v>-0.63350419085729859</v>
      </c>
      <c r="K853">
        <v>-0.98837803697133964</v>
      </c>
      <c r="M853">
        <f t="shared" si="40"/>
        <v>-4.7501347328722767</v>
      </c>
      <c r="N853">
        <f t="shared" si="41"/>
        <v>7</v>
      </c>
    </row>
    <row r="854" spans="1:14" x14ac:dyDescent="0.35">
      <c r="A854" t="str">
        <f t="shared" si="39"/>
        <v>18097360301_2026</v>
      </c>
      <c r="B854">
        <v>18097360301</v>
      </c>
      <c r="C854">
        <v>2026</v>
      </c>
      <c r="D854">
        <v>-0.14732058809081591</v>
      </c>
      <c r="E854">
        <v>-1.1518653708709661</v>
      </c>
      <c r="F854">
        <v>0.1460126414184803</v>
      </c>
      <c r="G854">
        <v>-0.48881356419539479</v>
      </c>
      <c r="I854">
        <v>-1.637713705461427</v>
      </c>
      <c r="J854">
        <v>-0.62623940585371718</v>
      </c>
      <c r="K854">
        <v>-0.95823033596886464</v>
      </c>
      <c r="M854">
        <f t="shared" si="40"/>
        <v>-4.8641703290227056</v>
      </c>
      <c r="N854">
        <f t="shared" si="41"/>
        <v>7</v>
      </c>
    </row>
    <row r="855" spans="1:14" x14ac:dyDescent="0.35">
      <c r="A855" t="str">
        <f t="shared" si="39"/>
        <v>18097360301_2027</v>
      </c>
      <c r="B855">
        <v>18097360301</v>
      </c>
      <c r="C855">
        <v>2027</v>
      </c>
      <c r="D855">
        <v>-0.17874758910821609</v>
      </c>
      <c r="E855">
        <v>-1.1685463264853639</v>
      </c>
      <c r="F855">
        <v>0.1258684995844489</v>
      </c>
      <c r="G855">
        <v>-0.5054169841981474</v>
      </c>
      <c r="I855">
        <v>-1.7474674742299789</v>
      </c>
      <c r="J855">
        <v>-0.62236524943037486</v>
      </c>
      <c r="K855">
        <v>-0.90508027105406097</v>
      </c>
      <c r="M855">
        <f t="shared" si="40"/>
        <v>-5.0017553949216929</v>
      </c>
      <c r="N855">
        <f t="shared" si="41"/>
        <v>7</v>
      </c>
    </row>
    <row r="856" spans="1:14" x14ac:dyDescent="0.35">
      <c r="A856" t="str">
        <f t="shared" si="39"/>
        <v>18097360301_2028</v>
      </c>
      <c r="B856">
        <v>18097360301</v>
      </c>
      <c r="C856">
        <v>2028</v>
      </c>
      <c r="D856">
        <v>-0.19786479387997019</v>
      </c>
      <c r="E856">
        <v>-1.181080924405518</v>
      </c>
      <c r="F856">
        <v>0.1141875822276406</v>
      </c>
      <c r="G856">
        <v>-0.52115937584291172</v>
      </c>
      <c r="I856">
        <v>-1.837088905785764</v>
      </c>
      <c r="J856">
        <v>-0.6204365524179617</v>
      </c>
      <c r="K856">
        <v>-0.83219688843572581</v>
      </c>
      <c r="M856">
        <f t="shared" si="40"/>
        <v>-5.0756398585402112</v>
      </c>
      <c r="N856">
        <f t="shared" si="41"/>
        <v>7</v>
      </c>
    </row>
    <row r="857" spans="1:14" x14ac:dyDescent="0.35">
      <c r="A857" t="str">
        <f t="shared" si="39"/>
        <v>18097360302_2024</v>
      </c>
      <c r="B857">
        <v>18097360302</v>
      </c>
      <c r="C857">
        <v>2024</v>
      </c>
      <c r="D857">
        <v>-0.32975508320852032</v>
      </c>
      <c r="E857">
        <v>-1.3589960830704371</v>
      </c>
      <c r="F857">
        <v>1.767527587158326</v>
      </c>
      <c r="G857">
        <v>-1.357701618237517</v>
      </c>
      <c r="H857">
        <v>-0.17813299129944171</v>
      </c>
      <c r="I857">
        <v>-1.4754840156512981</v>
      </c>
      <c r="J857">
        <v>-0.70823460111669889</v>
      </c>
      <c r="K857">
        <v>-0.972409398107698</v>
      </c>
      <c r="M857">
        <f t="shared" si="40"/>
        <v>-4.6131862035332842</v>
      </c>
      <c r="N857">
        <f t="shared" si="41"/>
        <v>8</v>
      </c>
    </row>
    <row r="858" spans="1:14" x14ac:dyDescent="0.35">
      <c r="A858" t="str">
        <f t="shared" si="39"/>
        <v>18097360302_2025</v>
      </c>
      <c r="B858">
        <v>18097360302</v>
      </c>
      <c r="C858">
        <v>2025</v>
      </c>
      <c r="D858">
        <v>-0.39039028536306858</v>
      </c>
      <c r="E858">
        <v>-1.350780486986906</v>
      </c>
      <c r="F858">
        <v>1.799803337161608</v>
      </c>
      <c r="G858">
        <v>-1.377580674280414</v>
      </c>
      <c r="H858">
        <v>-1.5462387794339441E-2</v>
      </c>
      <c r="I858">
        <v>-1.4219510609528401</v>
      </c>
      <c r="J858">
        <v>-0.69657636630393938</v>
      </c>
      <c r="K858">
        <v>-0.97600505632654644</v>
      </c>
      <c r="M858">
        <f t="shared" si="40"/>
        <v>-4.428942980846446</v>
      </c>
      <c r="N858">
        <f t="shared" si="41"/>
        <v>8</v>
      </c>
    </row>
    <row r="859" spans="1:14" x14ac:dyDescent="0.35">
      <c r="A859" t="str">
        <f t="shared" si="39"/>
        <v>18097360302_2026</v>
      </c>
      <c r="B859">
        <v>18097360302</v>
      </c>
      <c r="C859">
        <v>2026</v>
      </c>
      <c r="D859">
        <v>-0.38715893763458242</v>
      </c>
      <c r="E859">
        <v>-1.342353751760722</v>
      </c>
      <c r="F859">
        <v>1.6693449233061719</v>
      </c>
      <c r="G859">
        <v>-1.3656908871361</v>
      </c>
      <c r="H859">
        <v>0.15006838518636681</v>
      </c>
      <c r="I859">
        <v>-1.368665976737091</v>
      </c>
      <c r="J859">
        <v>-0.69068984735872918</v>
      </c>
      <c r="K859">
        <v>-0.9467271032893334</v>
      </c>
      <c r="M859">
        <f t="shared" si="40"/>
        <v>-4.2818731954240192</v>
      </c>
      <c r="N859">
        <f t="shared" si="41"/>
        <v>8</v>
      </c>
    </row>
    <row r="860" spans="1:14" x14ac:dyDescent="0.35">
      <c r="A860" t="str">
        <f t="shared" si="39"/>
        <v>18097360302_2027</v>
      </c>
      <c r="B860">
        <v>18097360302</v>
      </c>
      <c r="C860">
        <v>2027</v>
      </c>
      <c r="D860">
        <v>-0.4086265507400052</v>
      </c>
      <c r="E860">
        <v>-1.3278653122900681</v>
      </c>
      <c r="F860">
        <v>1.5757930680084939</v>
      </c>
      <c r="G860">
        <v>-1.3594561403571219</v>
      </c>
      <c r="H860">
        <v>0.28082636803366451</v>
      </c>
      <c r="I860">
        <v>-1.321030631428866</v>
      </c>
      <c r="J860">
        <v>-0.68822062584544708</v>
      </c>
      <c r="K860">
        <v>-0.89460980125742107</v>
      </c>
      <c r="M860">
        <f t="shared" si="40"/>
        <v>-4.1431896258767713</v>
      </c>
      <c r="N860">
        <f t="shared" si="41"/>
        <v>8</v>
      </c>
    </row>
    <row r="861" spans="1:14" x14ac:dyDescent="0.35">
      <c r="A861" t="str">
        <f t="shared" si="39"/>
        <v>18097360302_2028</v>
      </c>
      <c r="B861">
        <v>18097360302</v>
      </c>
      <c r="C861">
        <v>2028</v>
      </c>
      <c r="D861">
        <v>-0.41395602446562813</v>
      </c>
      <c r="E861">
        <v>-1.311195404053751</v>
      </c>
      <c r="F861">
        <v>1.476831674965813</v>
      </c>
      <c r="G861">
        <v>-1.3270769078731111</v>
      </c>
      <c r="H861">
        <v>0.40615950414912882</v>
      </c>
      <c r="I861">
        <v>-1.2679979694238559</v>
      </c>
      <c r="J861">
        <v>-0.6877569453183352</v>
      </c>
      <c r="K861">
        <v>-0.8229725918594023</v>
      </c>
      <c r="M861">
        <f t="shared" si="40"/>
        <v>-3.9479646638791417</v>
      </c>
      <c r="N861">
        <f t="shared" si="41"/>
        <v>8</v>
      </c>
    </row>
    <row r="862" spans="1:14" x14ac:dyDescent="0.35">
      <c r="A862" t="str">
        <f t="shared" si="39"/>
        <v>18097360401_2024</v>
      </c>
      <c r="B862">
        <v>18097360401</v>
      </c>
      <c r="C862">
        <v>2024</v>
      </c>
      <c r="D862">
        <v>0.15517336885848121</v>
      </c>
      <c r="E862">
        <v>-0.7853624361965128</v>
      </c>
      <c r="F862">
        <v>0.57904785801764991</v>
      </c>
      <c r="G862">
        <v>-0.7355537336495156</v>
      </c>
      <c r="H862">
        <v>0.72995647932516394</v>
      </c>
      <c r="I862">
        <v>-1.6518025058196479</v>
      </c>
      <c r="J862">
        <v>-0.20933863537807401</v>
      </c>
      <c r="K862">
        <v>0.67352579123795253</v>
      </c>
      <c r="M862">
        <f t="shared" si="40"/>
        <v>-1.2443538136045027</v>
      </c>
      <c r="N862">
        <f t="shared" si="41"/>
        <v>8</v>
      </c>
    </row>
    <row r="863" spans="1:14" x14ac:dyDescent="0.35">
      <c r="A863" t="str">
        <f t="shared" si="39"/>
        <v>18097360401_2025</v>
      </c>
      <c r="B863">
        <v>18097360401</v>
      </c>
      <c r="C863">
        <v>2025</v>
      </c>
      <c r="D863">
        <v>0.20475647371128611</v>
      </c>
      <c r="E863">
        <v>-0.75545404148601991</v>
      </c>
      <c r="F863">
        <v>0.59055873740581089</v>
      </c>
      <c r="G863">
        <v>-0.74389219722827771</v>
      </c>
      <c r="H863">
        <v>0.76362233392581469</v>
      </c>
      <c r="I863">
        <v>-1.7328338879568821</v>
      </c>
      <c r="J863">
        <v>-0.21024857615066961</v>
      </c>
      <c r="K863">
        <v>0.51633147786949407</v>
      </c>
      <c r="M863">
        <f t="shared" si="40"/>
        <v>-1.3671596799094434</v>
      </c>
      <c r="N863">
        <f t="shared" si="41"/>
        <v>8</v>
      </c>
    </row>
    <row r="864" spans="1:14" x14ac:dyDescent="0.35">
      <c r="A864" t="str">
        <f t="shared" si="39"/>
        <v>18097360401_2026</v>
      </c>
      <c r="B864">
        <v>18097360401</v>
      </c>
      <c r="C864">
        <v>2026</v>
      </c>
      <c r="D864">
        <v>0.21356977264645091</v>
      </c>
      <c r="E864">
        <v>-0.72319637015945781</v>
      </c>
      <c r="F864">
        <v>0.41784599144768608</v>
      </c>
      <c r="G864">
        <v>-0.7365828486970829</v>
      </c>
      <c r="H864">
        <v>0.80689205505262274</v>
      </c>
      <c r="I864">
        <v>-1.801298327747495</v>
      </c>
      <c r="J864">
        <v>-0.2217659006693086</v>
      </c>
      <c r="K864">
        <v>0.48946767257726098</v>
      </c>
      <c r="M864">
        <f t="shared" si="40"/>
        <v>-1.5550679555493234</v>
      </c>
      <c r="N864">
        <f t="shared" si="41"/>
        <v>8</v>
      </c>
    </row>
    <row r="865" spans="1:14" x14ac:dyDescent="0.35">
      <c r="A865" t="str">
        <f t="shared" si="39"/>
        <v>18097360401_2027</v>
      </c>
      <c r="B865">
        <v>18097360401</v>
      </c>
      <c r="C865">
        <v>2027</v>
      </c>
      <c r="D865">
        <v>0.2443404483053406</v>
      </c>
      <c r="E865">
        <v>-0.69188991571388425</v>
      </c>
      <c r="F865">
        <v>0.35846589203111839</v>
      </c>
      <c r="G865">
        <v>-0.73201630121519123</v>
      </c>
      <c r="H865">
        <v>0.83070435374444918</v>
      </c>
      <c r="I865">
        <v>-1.872474700647156</v>
      </c>
      <c r="J865">
        <v>-0.240940339953712</v>
      </c>
      <c r="K865">
        <v>0.48740484238712689</v>
      </c>
      <c r="M865">
        <f t="shared" si="40"/>
        <v>-1.6164057210619083</v>
      </c>
      <c r="N865">
        <f t="shared" si="41"/>
        <v>8</v>
      </c>
    </row>
    <row r="866" spans="1:14" x14ac:dyDescent="0.35">
      <c r="A866" t="str">
        <f t="shared" si="39"/>
        <v>18097360401_2028</v>
      </c>
      <c r="B866">
        <v>18097360401</v>
      </c>
      <c r="C866">
        <v>2028</v>
      </c>
      <c r="D866">
        <v>0.2446948178713266</v>
      </c>
      <c r="E866">
        <v>-0.65815777580880186</v>
      </c>
      <c r="F866">
        <v>0.2478837317603656</v>
      </c>
      <c r="G866">
        <v>-0.71840380605835641</v>
      </c>
      <c r="H866">
        <v>0.85063828706395617</v>
      </c>
      <c r="I866">
        <v>-1.9299556612420481</v>
      </c>
      <c r="J866">
        <v>-0.26793313319665357</v>
      </c>
      <c r="K866">
        <v>0.35589390842451057</v>
      </c>
      <c r="M866">
        <f t="shared" si="40"/>
        <v>-1.8753396311857011</v>
      </c>
      <c r="N866">
        <f t="shared" si="41"/>
        <v>8</v>
      </c>
    </row>
    <row r="867" spans="1:14" x14ac:dyDescent="0.35">
      <c r="A867" t="str">
        <f t="shared" si="39"/>
        <v>18097360402_2024</v>
      </c>
      <c r="B867">
        <v>18097360402</v>
      </c>
      <c r="C867">
        <v>2024</v>
      </c>
      <c r="D867">
        <v>-1.37665929255645</v>
      </c>
      <c r="E867">
        <v>-1.0494504397681861</v>
      </c>
      <c r="F867">
        <v>1.761245784663283</v>
      </c>
      <c r="G867">
        <v>-0.87754767374000764</v>
      </c>
      <c r="J867">
        <v>-0.22395993270265341</v>
      </c>
      <c r="K867">
        <v>0.59541816656703717</v>
      </c>
      <c r="M867">
        <f t="shared" si="40"/>
        <v>-1.1709533875369766</v>
      </c>
      <c r="N867">
        <f t="shared" si="41"/>
        <v>6</v>
      </c>
    </row>
    <row r="868" spans="1:14" x14ac:dyDescent="0.35">
      <c r="A868" t="str">
        <f t="shared" si="39"/>
        <v>18097360402_2025</v>
      </c>
      <c r="B868">
        <v>18097360402</v>
      </c>
      <c r="C868">
        <v>2025</v>
      </c>
      <c r="D868">
        <v>-1.337155216407542</v>
      </c>
      <c r="E868">
        <v>-1.0389163850804819</v>
      </c>
      <c r="F868">
        <v>1.8303708978267881</v>
      </c>
      <c r="G868">
        <v>-0.92678176250247801</v>
      </c>
      <c r="J868">
        <v>-0.20526150608579879</v>
      </c>
      <c r="K868">
        <v>0.48461244897933148</v>
      </c>
      <c r="M868">
        <f t="shared" si="40"/>
        <v>-1.1931315232701809</v>
      </c>
      <c r="N868">
        <f t="shared" si="41"/>
        <v>6</v>
      </c>
    </row>
    <row r="869" spans="1:14" x14ac:dyDescent="0.35">
      <c r="A869" t="str">
        <f t="shared" si="39"/>
        <v>18097360402_2026</v>
      </c>
      <c r="B869">
        <v>18097360402</v>
      </c>
      <c r="C869">
        <v>2026</v>
      </c>
      <c r="D869">
        <v>-1.296005693362887</v>
      </c>
      <c r="E869">
        <v>-1.027542146647348</v>
      </c>
      <c r="F869">
        <v>1.8495079414772519</v>
      </c>
      <c r="G869">
        <v>-0.95584230679287618</v>
      </c>
      <c r="J869">
        <v>-0.19258673304361701</v>
      </c>
      <c r="K869">
        <v>0.3345760006592961</v>
      </c>
      <c r="M869">
        <f t="shared" si="40"/>
        <v>-1.2878929377101804</v>
      </c>
      <c r="N869">
        <f t="shared" si="41"/>
        <v>6</v>
      </c>
    </row>
    <row r="870" spans="1:14" x14ac:dyDescent="0.35">
      <c r="A870" t="str">
        <f t="shared" si="39"/>
        <v>18097360402_2027</v>
      </c>
      <c r="B870">
        <v>18097360402</v>
      </c>
      <c r="C870">
        <v>2027</v>
      </c>
      <c r="D870">
        <v>-1.2343056167880579</v>
      </c>
      <c r="E870">
        <v>-1.013296445753356</v>
      </c>
      <c r="F870">
        <v>1.823629041130036</v>
      </c>
      <c r="G870">
        <v>-0.98232464106153716</v>
      </c>
      <c r="J870">
        <v>-0.183108134167114</v>
      </c>
      <c r="K870">
        <v>0.20019037991692459</v>
      </c>
      <c r="M870">
        <f t="shared" si="40"/>
        <v>-1.3892154167231043</v>
      </c>
      <c r="N870">
        <f t="shared" si="41"/>
        <v>6</v>
      </c>
    </row>
    <row r="871" spans="1:14" x14ac:dyDescent="0.35">
      <c r="A871" t="str">
        <f t="shared" si="39"/>
        <v>18097360402_2028</v>
      </c>
      <c r="B871">
        <v>18097360402</v>
      </c>
      <c r="C871">
        <v>2028</v>
      </c>
      <c r="D871">
        <v>-1.171374597010004</v>
      </c>
      <c r="E871">
        <v>-0.99631024920447664</v>
      </c>
      <c r="F871">
        <v>1.8273813726650761</v>
      </c>
      <c r="G871">
        <v>-0.98882012166651956</v>
      </c>
      <c r="J871">
        <v>-0.17562497996575599</v>
      </c>
      <c r="K871">
        <v>8.0432069768273509E-2</v>
      </c>
      <c r="M871">
        <f t="shared" si="40"/>
        <v>-1.4243165054134068</v>
      </c>
      <c r="N871">
        <f t="shared" si="41"/>
        <v>6</v>
      </c>
    </row>
    <row r="872" spans="1:14" x14ac:dyDescent="0.35">
      <c r="A872" t="str">
        <f t="shared" si="39"/>
        <v>18097360405_2024</v>
      </c>
      <c r="B872">
        <v>18097360405</v>
      </c>
      <c r="C872">
        <v>2024</v>
      </c>
      <c r="D872">
        <v>0.18794110678677731</v>
      </c>
      <c r="E872">
        <v>-3.732916226271165E-2</v>
      </c>
      <c r="F872">
        <v>-0.50733296134993577</v>
      </c>
      <c r="G872">
        <v>-3.4151940926261719E-2</v>
      </c>
      <c r="I872">
        <v>-1.2549110807997479</v>
      </c>
      <c r="J872">
        <v>-0.2081426311182725</v>
      </c>
      <c r="K872">
        <v>0.67820839572481217</v>
      </c>
      <c r="M872">
        <f t="shared" si="40"/>
        <v>-1.1757182739453402</v>
      </c>
      <c r="N872">
        <f t="shared" si="41"/>
        <v>7</v>
      </c>
    </row>
    <row r="873" spans="1:14" x14ac:dyDescent="0.35">
      <c r="A873" t="str">
        <f t="shared" si="39"/>
        <v>18097360405_2025</v>
      </c>
      <c r="B873">
        <v>18097360405</v>
      </c>
      <c r="C873">
        <v>2025</v>
      </c>
      <c r="D873">
        <v>0.2387782632329406</v>
      </c>
      <c r="E873">
        <v>-1.9571022462635951E-2</v>
      </c>
      <c r="F873">
        <v>-0.5703223285335064</v>
      </c>
      <c r="G873">
        <v>-1.416792112808654E-2</v>
      </c>
      <c r="I873">
        <v>-1.2290192640687749</v>
      </c>
      <c r="J873">
        <v>-0.20908075318575409</v>
      </c>
      <c r="K873">
        <v>0.52064385801138768</v>
      </c>
      <c r="M873">
        <f t="shared" si="40"/>
        <v>-1.2827391681344298</v>
      </c>
      <c r="N873">
        <f t="shared" si="41"/>
        <v>7</v>
      </c>
    </row>
    <row r="874" spans="1:14" x14ac:dyDescent="0.35">
      <c r="A874" t="str">
        <f t="shared" si="39"/>
        <v>18097360405_2026</v>
      </c>
      <c r="B874">
        <v>18097360405</v>
      </c>
      <c r="C874">
        <v>2026</v>
      </c>
      <c r="D874">
        <v>0.2470495710366522</v>
      </c>
      <c r="E874">
        <v>7.0439939268524803E-3</v>
      </c>
      <c r="F874">
        <v>-0.54552471886040665</v>
      </c>
      <c r="G874">
        <v>-4.8559643489425298E-2</v>
      </c>
      <c r="I874">
        <v>-1.230298271797482</v>
      </c>
      <c r="J874">
        <v>-0.22063208327512759</v>
      </c>
      <c r="K874">
        <v>0.49345579860691302</v>
      </c>
      <c r="M874">
        <f t="shared" si="40"/>
        <v>-1.2974653538520238</v>
      </c>
      <c r="N874">
        <f t="shared" si="41"/>
        <v>7</v>
      </c>
    </row>
    <row r="875" spans="1:14" x14ac:dyDescent="0.35">
      <c r="A875" t="str">
        <f t="shared" si="39"/>
        <v>18097360405_2027</v>
      </c>
      <c r="B875">
        <v>18097360405</v>
      </c>
      <c r="C875">
        <v>2027</v>
      </c>
      <c r="D875">
        <v>0.27778953823547409</v>
      </c>
      <c r="E875">
        <v>2.6341933323849549E-2</v>
      </c>
      <c r="F875">
        <v>-0.56681394767236604</v>
      </c>
      <c r="G875">
        <v>-4.9430540059453007E-2</v>
      </c>
      <c r="I875">
        <v>-1.215497733073323</v>
      </c>
      <c r="J875">
        <v>-0.2398469971340513</v>
      </c>
      <c r="K875">
        <v>0.49111500994027629</v>
      </c>
      <c r="M875">
        <f t="shared" si="40"/>
        <v>-1.2763427364395934</v>
      </c>
      <c r="N875">
        <f t="shared" si="41"/>
        <v>7</v>
      </c>
    </row>
    <row r="876" spans="1:14" x14ac:dyDescent="0.35">
      <c r="A876" t="str">
        <f t="shared" si="39"/>
        <v>18097360405_2028</v>
      </c>
      <c r="B876">
        <v>18097360405</v>
      </c>
      <c r="C876">
        <v>2028</v>
      </c>
      <c r="D876">
        <v>0.27709512925655211</v>
      </c>
      <c r="E876">
        <v>5.0107067924416562E-2</v>
      </c>
      <c r="F876">
        <v>-0.5534019846670778</v>
      </c>
      <c r="G876">
        <v>-7.4087558136107373E-2</v>
      </c>
      <c r="I876">
        <v>-1.2007782164499861</v>
      </c>
      <c r="J876">
        <v>-0.26688906324679268</v>
      </c>
      <c r="K876">
        <v>0.35910572092086313</v>
      </c>
      <c r="M876">
        <f t="shared" si="40"/>
        <v>-1.4088489043981323</v>
      </c>
      <c r="N876">
        <f t="shared" si="41"/>
        <v>7</v>
      </c>
    </row>
    <row r="877" spans="1:14" x14ac:dyDescent="0.35">
      <c r="A877" t="str">
        <f t="shared" si="39"/>
        <v>18097360406_2024</v>
      </c>
      <c r="B877">
        <v>18097360406</v>
      </c>
      <c r="C877">
        <v>2024</v>
      </c>
      <c r="D877">
        <v>-0.78187043379686016</v>
      </c>
      <c r="F877">
        <v>1.0733317483171161</v>
      </c>
      <c r="J877">
        <v>-0.22395993270265341</v>
      </c>
      <c r="K877">
        <v>0.59541816656703717</v>
      </c>
      <c r="M877">
        <f t="shared" si="40"/>
        <v>0.66291954838463973</v>
      </c>
      <c r="N877">
        <f t="shared" si="41"/>
        <v>4</v>
      </c>
    </row>
    <row r="878" spans="1:14" x14ac:dyDescent="0.35">
      <c r="A878" t="str">
        <f t="shared" si="39"/>
        <v>18097360406_2025</v>
      </c>
      <c r="B878">
        <v>18097360406</v>
      </c>
      <c r="C878">
        <v>2025</v>
      </c>
      <c r="D878">
        <v>-0.72678830054202115</v>
      </c>
      <c r="F878">
        <v>0.877565801733453</v>
      </c>
      <c r="J878">
        <v>-0.20526150608579879</v>
      </c>
      <c r="K878">
        <v>0.48461244897933148</v>
      </c>
      <c r="M878">
        <f t="shared" si="40"/>
        <v>0.43012844408496453</v>
      </c>
      <c r="N878">
        <f t="shared" si="41"/>
        <v>4</v>
      </c>
    </row>
    <row r="879" spans="1:14" x14ac:dyDescent="0.35">
      <c r="A879" t="str">
        <f t="shared" si="39"/>
        <v>18097360406_2026</v>
      </c>
      <c r="B879">
        <v>18097360406</v>
      </c>
      <c r="C879">
        <v>2026</v>
      </c>
      <c r="D879">
        <v>-0.70840234574597249</v>
      </c>
      <c r="F879">
        <v>0.9842162383429548</v>
      </c>
      <c r="J879">
        <v>-0.19258673304361701</v>
      </c>
      <c r="K879">
        <v>0.3345760006592961</v>
      </c>
      <c r="M879">
        <f t="shared" si="40"/>
        <v>0.4178031602126614</v>
      </c>
      <c r="N879">
        <f t="shared" si="41"/>
        <v>4</v>
      </c>
    </row>
    <row r="880" spans="1:14" x14ac:dyDescent="0.35">
      <c r="A880" t="str">
        <f t="shared" si="39"/>
        <v>18097360406_2027</v>
      </c>
      <c r="B880">
        <v>18097360406</v>
      </c>
      <c r="C880">
        <v>2027</v>
      </c>
      <c r="D880">
        <v>-0.65393861998774883</v>
      </c>
      <c r="F880">
        <v>0.76511901766848112</v>
      </c>
      <c r="J880">
        <v>-0.183108134167114</v>
      </c>
      <c r="K880">
        <v>0.20019037991692459</v>
      </c>
      <c r="M880">
        <f t="shared" si="40"/>
        <v>0.12826264343054289</v>
      </c>
      <c r="N880">
        <f t="shared" si="41"/>
        <v>4</v>
      </c>
    </row>
    <row r="881" spans="1:14" x14ac:dyDescent="0.35">
      <c r="A881" t="str">
        <f t="shared" si="39"/>
        <v>18097360406_2028</v>
      </c>
      <c r="B881">
        <v>18097360406</v>
      </c>
      <c r="C881">
        <v>2028</v>
      </c>
      <c r="D881">
        <v>-0.61919221429049698</v>
      </c>
      <c r="F881">
        <v>0.84776321315804271</v>
      </c>
      <c r="J881">
        <v>-0.17562497996575599</v>
      </c>
      <c r="K881">
        <v>8.0432069768273509E-2</v>
      </c>
      <c r="M881">
        <f t="shared" si="40"/>
        <v>0.13337808867006323</v>
      </c>
      <c r="N881">
        <f t="shared" si="41"/>
        <v>4</v>
      </c>
    </row>
    <row r="882" spans="1:14" x14ac:dyDescent="0.35">
      <c r="A882" t="str">
        <f t="shared" si="39"/>
        <v>18097360407_2024</v>
      </c>
      <c r="B882">
        <v>18097360407</v>
      </c>
      <c r="C882">
        <v>2024</v>
      </c>
      <c r="D882">
        <v>-1.1439793121983219</v>
      </c>
      <c r="E882">
        <v>-1.067106293892442</v>
      </c>
      <c r="F882">
        <v>0.18123422430590011</v>
      </c>
      <c r="G882">
        <v>-7.6084630444348544E-2</v>
      </c>
      <c r="I882">
        <v>-1.145909858918984</v>
      </c>
      <c r="J882">
        <v>-0.22376418958154279</v>
      </c>
      <c r="K882">
        <v>0.60617225781322337</v>
      </c>
      <c r="M882">
        <f t="shared" si="40"/>
        <v>-2.869437802916516</v>
      </c>
      <c r="N882">
        <f t="shared" si="41"/>
        <v>7</v>
      </c>
    </row>
    <row r="883" spans="1:14" x14ac:dyDescent="0.35">
      <c r="A883" t="str">
        <f t="shared" si="39"/>
        <v>18097360407_2025</v>
      </c>
      <c r="B883">
        <v>18097360407</v>
      </c>
      <c r="C883">
        <v>2025</v>
      </c>
      <c r="D883">
        <v>-1.099041127632497</v>
      </c>
      <c r="E883">
        <v>-1.005343544384262</v>
      </c>
      <c r="F883">
        <v>0.19525839202560419</v>
      </c>
      <c r="G883">
        <v>-1.5842464710306099E-2</v>
      </c>
      <c r="I883">
        <v>-1.195631265932007</v>
      </c>
      <c r="J883">
        <v>-0.20541271105550829</v>
      </c>
      <c r="K883">
        <v>0.50502248032157704</v>
      </c>
      <c r="M883">
        <f t="shared" si="40"/>
        <v>-2.8209902413673991</v>
      </c>
      <c r="N883">
        <f t="shared" si="41"/>
        <v>7</v>
      </c>
    </row>
    <row r="884" spans="1:14" x14ac:dyDescent="0.35">
      <c r="A884" t="str">
        <f t="shared" si="39"/>
        <v>18097360407_2026</v>
      </c>
      <c r="B884">
        <v>18097360407</v>
      </c>
      <c r="C884">
        <v>2026</v>
      </c>
      <c r="D884">
        <v>-1.0665754517242689</v>
      </c>
      <c r="E884">
        <v>-0.94576794782723361</v>
      </c>
      <c r="F884">
        <v>0.15330950701915569</v>
      </c>
      <c r="G884">
        <v>-3.2670170799495871E-2</v>
      </c>
      <c r="I884">
        <v>-1.206048920247603</v>
      </c>
      <c r="J884">
        <v>-0.193195472018415</v>
      </c>
      <c r="K884">
        <v>0.36407843680285867</v>
      </c>
      <c r="M884">
        <f t="shared" si="40"/>
        <v>-2.9268700187950021</v>
      </c>
      <c r="N884">
        <f t="shared" si="41"/>
        <v>7</v>
      </c>
    </row>
    <row r="885" spans="1:14" x14ac:dyDescent="0.35">
      <c r="A885" t="str">
        <f t="shared" si="39"/>
        <v>18097360407_2027</v>
      </c>
      <c r="B885">
        <v>18097360407</v>
      </c>
      <c r="C885">
        <v>2027</v>
      </c>
      <c r="D885">
        <v>-1.007915221662091</v>
      </c>
      <c r="E885">
        <v>-0.88606774050849457</v>
      </c>
      <c r="F885">
        <v>0.1198612241034598</v>
      </c>
      <c r="G885">
        <v>1.4570754949976179E-2</v>
      </c>
      <c r="I885">
        <v>-1.2325825277536031</v>
      </c>
      <c r="J885">
        <v>-0.18425843949490789</v>
      </c>
      <c r="K885">
        <v>0.23682082039042091</v>
      </c>
      <c r="M885">
        <f t="shared" si="40"/>
        <v>-2.9395711299752398</v>
      </c>
      <c r="N885">
        <f t="shared" si="41"/>
        <v>7</v>
      </c>
    </row>
    <row r="886" spans="1:14" x14ac:dyDescent="0.35">
      <c r="A886" t="str">
        <f t="shared" si="39"/>
        <v>18097360407_2028</v>
      </c>
      <c r="B886">
        <v>18097360407</v>
      </c>
      <c r="C886">
        <v>2028</v>
      </c>
      <c r="D886">
        <v>-0.9560120561365214</v>
      </c>
      <c r="E886">
        <v>-0.82611044495285735</v>
      </c>
      <c r="F886">
        <v>9.1646123702961366E-2</v>
      </c>
      <c r="G886">
        <v>-3.5020429235023301E-3</v>
      </c>
      <c r="I886">
        <v>-1.2409885557467639</v>
      </c>
      <c r="J886">
        <v>-0.17743026319367711</v>
      </c>
      <c r="K886">
        <v>0.1210719850742716</v>
      </c>
      <c r="M886">
        <f t="shared" si="40"/>
        <v>-2.9913252541760893</v>
      </c>
      <c r="N886">
        <f t="shared" si="41"/>
        <v>7</v>
      </c>
    </row>
    <row r="887" spans="1:14" x14ac:dyDescent="0.35">
      <c r="A887" t="str">
        <f t="shared" si="39"/>
        <v>18097360501_2024</v>
      </c>
      <c r="B887">
        <v>18097360501</v>
      </c>
      <c r="C887">
        <v>2024</v>
      </c>
      <c r="D887">
        <v>0.44075988318994808</v>
      </c>
      <c r="E887">
        <v>-0.66038753453542176</v>
      </c>
      <c r="F887">
        <v>-0.70398862140176144</v>
      </c>
      <c r="G887">
        <v>0.21740780270169119</v>
      </c>
      <c r="H887">
        <v>1.1934546265067769</v>
      </c>
      <c r="I887">
        <v>-0.50790688469525602</v>
      </c>
      <c r="J887">
        <v>-0.2081426311182725</v>
      </c>
      <c r="K887">
        <v>0.67820839572481217</v>
      </c>
      <c r="M887">
        <f t="shared" si="40"/>
        <v>0.44940503637251661</v>
      </c>
      <c r="N887">
        <f t="shared" si="41"/>
        <v>8</v>
      </c>
    </row>
    <row r="888" spans="1:14" x14ac:dyDescent="0.35">
      <c r="A888" t="str">
        <f t="shared" si="39"/>
        <v>18097360501_2025</v>
      </c>
      <c r="B888">
        <v>18097360501</v>
      </c>
      <c r="C888">
        <v>2025</v>
      </c>
      <c r="D888">
        <v>0.49441515526150082</v>
      </c>
      <c r="E888">
        <v>-0.6995096321485671</v>
      </c>
      <c r="F888">
        <v>-0.72358801463890587</v>
      </c>
      <c r="G888">
        <v>0.1989766667031643</v>
      </c>
      <c r="H888">
        <v>1.20022918555951</v>
      </c>
      <c r="I888">
        <v>-0.54347955212445054</v>
      </c>
      <c r="J888">
        <v>-0.20908075318575409</v>
      </c>
      <c r="K888">
        <v>0.52064385801138768</v>
      </c>
      <c r="M888">
        <f t="shared" si="40"/>
        <v>0.23860691343788515</v>
      </c>
      <c r="N888">
        <f t="shared" si="41"/>
        <v>8</v>
      </c>
    </row>
    <row r="889" spans="1:14" x14ac:dyDescent="0.35">
      <c r="A889" t="str">
        <f t="shared" si="39"/>
        <v>18097360501_2026</v>
      </c>
      <c r="B889">
        <v>18097360501</v>
      </c>
      <c r="C889">
        <v>2026</v>
      </c>
      <c r="D889">
        <v>0.49647501925433069</v>
      </c>
      <c r="E889">
        <v>-0.67391453631252929</v>
      </c>
      <c r="F889">
        <v>-0.72434789205250372</v>
      </c>
      <c r="G889">
        <v>0.2007419894412916</v>
      </c>
      <c r="H889">
        <v>1.1883912998768249</v>
      </c>
      <c r="I889">
        <v>-0.56765499599086078</v>
      </c>
      <c r="J889">
        <v>-0.22063208327512759</v>
      </c>
      <c r="K889">
        <v>0.49345579860691302</v>
      </c>
      <c r="M889">
        <f t="shared" si="40"/>
        <v>0.19251459954833883</v>
      </c>
      <c r="N889">
        <f t="shared" si="41"/>
        <v>8</v>
      </c>
    </row>
    <row r="890" spans="1:14" x14ac:dyDescent="0.35">
      <c r="A890" t="str">
        <f t="shared" si="39"/>
        <v>18097360501_2027</v>
      </c>
      <c r="B890">
        <v>18097360501</v>
      </c>
      <c r="C890">
        <v>2027</v>
      </c>
      <c r="D890">
        <v>0.52260923595347863</v>
      </c>
      <c r="E890">
        <v>-0.67126420960755429</v>
      </c>
      <c r="F890">
        <v>-0.71748192468445116</v>
      </c>
      <c r="G890">
        <v>0.20078809677469961</v>
      </c>
      <c r="H890">
        <v>1.1720468150666381</v>
      </c>
      <c r="I890">
        <v>-0.59008337640123898</v>
      </c>
      <c r="J890">
        <v>-0.2398469971340513</v>
      </c>
      <c r="K890">
        <v>0.49111500994027629</v>
      </c>
      <c r="M890">
        <f t="shared" si="40"/>
        <v>0.16788264990779694</v>
      </c>
      <c r="N890">
        <f t="shared" si="41"/>
        <v>8</v>
      </c>
    </row>
    <row r="891" spans="1:14" x14ac:dyDescent="0.35">
      <c r="A891" t="str">
        <f t="shared" si="39"/>
        <v>18097360501_2028</v>
      </c>
      <c r="B891">
        <v>18097360501</v>
      </c>
      <c r="C891">
        <v>2028</v>
      </c>
      <c r="D891">
        <v>0.51128383203870464</v>
      </c>
      <c r="E891">
        <v>-0.65646034870475301</v>
      </c>
      <c r="F891">
        <v>-0.71102739591478514</v>
      </c>
      <c r="G891">
        <v>0.1879079600700207</v>
      </c>
      <c r="H891">
        <v>1.1470882685415269</v>
      </c>
      <c r="I891">
        <v>-0.60902152341595417</v>
      </c>
      <c r="J891">
        <v>-0.26688906324679268</v>
      </c>
      <c r="K891">
        <v>0.35910572092086313</v>
      </c>
      <c r="M891">
        <f t="shared" si="40"/>
        <v>-3.8012549711169574E-2</v>
      </c>
      <c r="N891">
        <f t="shared" si="41"/>
        <v>8</v>
      </c>
    </row>
    <row r="892" spans="1:14" x14ac:dyDescent="0.35">
      <c r="A892" t="str">
        <f t="shared" si="39"/>
        <v>18097360502_2024</v>
      </c>
      <c r="B892">
        <v>18097360502</v>
      </c>
      <c r="C892">
        <v>2024</v>
      </c>
      <c r="D892">
        <v>0.16085846380307259</v>
      </c>
      <c r="E892">
        <v>-0.40459035362020568</v>
      </c>
      <c r="F892">
        <v>0.33484712631764801</v>
      </c>
      <c r="G892">
        <v>-0.16372523867043171</v>
      </c>
      <c r="H892">
        <v>-0.1106089337066853</v>
      </c>
      <c r="I892">
        <v>-1.08472077730564</v>
      </c>
      <c r="J892">
        <v>-0.21332923779566729</v>
      </c>
      <c r="K892">
        <v>0.65790044739085773</v>
      </c>
      <c r="M892">
        <f t="shared" si="40"/>
        <v>-0.8233685035870516</v>
      </c>
      <c r="N892">
        <f t="shared" si="41"/>
        <v>8</v>
      </c>
    </row>
    <row r="893" spans="1:14" x14ac:dyDescent="0.35">
      <c r="A893" t="str">
        <f t="shared" si="39"/>
        <v>18097360502_2025</v>
      </c>
      <c r="B893">
        <v>18097360502</v>
      </c>
      <c r="C893">
        <v>2025</v>
      </c>
      <c r="D893">
        <v>0.20757844448264179</v>
      </c>
      <c r="E893">
        <v>-0.35252817426347932</v>
      </c>
      <c r="F893">
        <v>0.42980400268336549</v>
      </c>
      <c r="G893">
        <v>-0.24692976200615499</v>
      </c>
      <c r="H893">
        <v>-0.23207482440164659</v>
      </c>
      <c r="I893">
        <v>-1.1707516111303959</v>
      </c>
      <c r="J893">
        <v>-0.21414479122743391</v>
      </c>
      <c r="K893">
        <v>0.50194352315049184</v>
      </c>
      <c r="M893">
        <f t="shared" si="40"/>
        <v>-1.0771031927126116</v>
      </c>
      <c r="N893">
        <f t="shared" si="41"/>
        <v>8</v>
      </c>
    </row>
    <row r="894" spans="1:14" x14ac:dyDescent="0.35">
      <c r="A894" t="str">
        <f t="shared" si="39"/>
        <v>18097360502_2026</v>
      </c>
      <c r="B894">
        <v>18097360502</v>
      </c>
      <c r="C894">
        <v>2026</v>
      </c>
      <c r="D894">
        <v>0.2153984451570439</v>
      </c>
      <c r="E894">
        <v>-0.2975098752435954</v>
      </c>
      <c r="F894">
        <v>0.45754401690482333</v>
      </c>
      <c r="G894">
        <v>-0.27328648320535248</v>
      </c>
      <c r="H894">
        <v>-0.30720813815934589</v>
      </c>
      <c r="I894">
        <v>-1.234297800603106</v>
      </c>
      <c r="J894">
        <v>-0.225548077941019</v>
      </c>
      <c r="K894">
        <v>0.4761608194803621</v>
      </c>
      <c r="M894">
        <f t="shared" si="40"/>
        <v>-1.1887470936101894</v>
      </c>
      <c r="N894">
        <f t="shared" si="41"/>
        <v>8</v>
      </c>
    </row>
    <row r="895" spans="1:14" x14ac:dyDescent="0.35">
      <c r="A895" t="str">
        <f t="shared" si="39"/>
        <v>18097360502_2027</v>
      </c>
      <c r="B895">
        <v>18097360502</v>
      </c>
      <c r="C895">
        <v>2027</v>
      </c>
      <c r="D895">
        <v>0.244208660313219</v>
      </c>
      <c r="E895">
        <v>-0.2481997557196633</v>
      </c>
      <c r="F895">
        <v>0.45062625755226438</v>
      </c>
      <c r="G895">
        <v>-0.31252197772804702</v>
      </c>
      <c r="H895">
        <v>-0.39473098449186511</v>
      </c>
      <c r="I895">
        <v>-1.292403189853309</v>
      </c>
      <c r="J895">
        <v>-0.24458672239250839</v>
      </c>
      <c r="K895">
        <v>0.47502200208266188</v>
      </c>
      <c r="M895">
        <f t="shared" si="40"/>
        <v>-1.3225857102372476</v>
      </c>
      <c r="N895">
        <f t="shared" si="41"/>
        <v>8</v>
      </c>
    </row>
    <row r="896" spans="1:14" x14ac:dyDescent="0.35">
      <c r="A896" t="str">
        <f t="shared" si="39"/>
        <v>18097360502_2028</v>
      </c>
      <c r="B896">
        <v>18097360502</v>
      </c>
      <c r="C896">
        <v>2028</v>
      </c>
      <c r="D896">
        <v>0.2432520826732982</v>
      </c>
      <c r="E896">
        <v>-0.1966347229774465</v>
      </c>
      <c r="F896">
        <v>0.4482914141023458</v>
      </c>
      <c r="G896">
        <v>-0.34306475174514439</v>
      </c>
      <c r="H896">
        <v>-0.44640617683125089</v>
      </c>
      <c r="I896">
        <v>-1.339404165215426</v>
      </c>
      <c r="J896">
        <v>-0.27141414121653179</v>
      </c>
      <c r="K896">
        <v>0.34517261529576743</v>
      </c>
      <c r="M896">
        <f t="shared" si="40"/>
        <v>-1.5602078459143882</v>
      </c>
      <c r="N896">
        <f t="shared" si="41"/>
        <v>8</v>
      </c>
    </row>
    <row r="897" spans="1:14" x14ac:dyDescent="0.35">
      <c r="A897" t="str">
        <f t="shared" si="39"/>
        <v>18097360601_2024</v>
      </c>
      <c r="B897">
        <v>18097360601</v>
      </c>
      <c r="C897">
        <v>2024</v>
      </c>
      <c r="D897">
        <v>0.75250827903617079</v>
      </c>
      <c r="E897">
        <v>-0.43509723336598027</v>
      </c>
      <c r="F897">
        <v>-0.64474659024817538</v>
      </c>
      <c r="G897">
        <v>0.26189090967390971</v>
      </c>
      <c r="H897">
        <v>0.73580966249709823</v>
      </c>
      <c r="I897">
        <v>9.4671863035493478E-2</v>
      </c>
      <c r="J897">
        <v>-0.64618268603843321</v>
      </c>
      <c r="K897">
        <v>-0.98508127777751442</v>
      </c>
      <c r="M897">
        <f t="shared" si="40"/>
        <v>-0.86622707318743108</v>
      </c>
      <c r="N897">
        <f t="shared" si="41"/>
        <v>8</v>
      </c>
    </row>
    <row r="898" spans="1:14" x14ac:dyDescent="0.35">
      <c r="A898" t="str">
        <f t="shared" si="39"/>
        <v>18097360601_2025</v>
      </c>
      <c r="B898">
        <v>18097360601</v>
      </c>
      <c r="C898">
        <v>2025</v>
      </c>
      <c r="D898">
        <v>0.63313541652872307</v>
      </c>
      <c r="E898">
        <v>-0.42884195583471429</v>
      </c>
      <c r="F898">
        <v>-0.5953115517849713</v>
      </c>
      <c r="G898">
        <v>0.23382318146163569</v>
      </c>
      <c r="H898">
        <v>0.63475879491835896</v>
      </c>
      <c r="I898">
        <v>4.0238191764073679E-2</v>
      </c>
      <c r="J898">
        <v>-0.63350419085729859</v>
      </c>
      <c r="K898">
        <v>-0.98837803697133964</v>
      </c>
      <c r="M898">
        <f t="shared" si="40"/>
        <v>-1.1040801507755322</v>
      </c>
      <c r="N898">
        <f t="shared" si="41"/>
        <v>8</v>
      </c>
    </row>
    <row r="899" spans="1:14" x14ac:dyDescent="0.35">
      <c r="A899" t="str">
        <f t="shared" ref="A899:A962" si="42">TEXT(B899,0)&amp;"_"&amp;TEXT(C899,0)</f>
        <v>18097360601_2026</v>
      </c>
      <c r="B899">
        <v>18097360601</v>
      </c>
      <c r="C899">
        <v>2026</v>
      </c>
      <c r="D899">
        <v>0.60020840086146177</v>
      </c>
      <c r="E899">
        <v>-0.418888049423145</v>
      </c>
      <c r="F899">
        <v>-0.54384537852030335</v>
      </c>
      <c r="G899">
        <v>0.1961332613076737</v>
      </c>
      <c r="H899">
        <v>0.56378656804902183</v>
      </c>
      <c r="I899">
        <v>-1.9379125894768239E-2</v>
      </c>
      <c r="J899">
        <v>-0.62623940585371718</v>
      </c>
      <c r="K899">
        <v>-0.95823033596886464</v>
      </c>
      <c r="M899">
        <f t="shared" ref="M899:M962" si="43">SUM(D899:K899)</f>
        <v>-1.2064540654426412</v>
      </c>
      <c r="N899">
        <f t="shared" ref="N899:N962" si="44">IF(D899=0,0,1)+IF(E899=0,0,1)+IF(F899=0,0,1)+IF(G899=0,0,1)+IF(H899=0,0,1)+IF(I899=0,0,1)++IF(J899=0,0,1)++IF(K899=0,0,1)</f>
        <v>8</v>
      </c>
    </row>
    <row r="900" spans="1:14" x14ac:dyDescent="0.35">
      <c r="A900" t="str">
        <f t="shared" si="42"/>
        <v>18097360601_2027</v>
      </c>
      <c r="B900">
        <v>18097360601</v>
      </c>
      <c r="C900">
        <v>2027</v>
      </c>
      <c r="D900">
        <v>0.52147787261730527</v>
      </c>
      <c r="E900">
        <v>-0.41123110695295562</v>
      </c>
      <c r="F900">
        <v>-0.4935758798558853</v>
      </c>
      <c r="G900">
        <v>0.16863333268974021</v>
      </c>
      <c r="H900">
        <v>0.48354582801081741</v>
      </c>
      <c r="I900">
        <v>-7.2469949483922477E-2</v>
      </c>
      <c r="J900">
        <v>-0.62236524943037486</v>
      </c>
      <c r="K900">
        <v>-0.90508027105406097</v>
      </c>
      <c r="M900">
        <f t="shared" si="43"/>
        <v>-1.3310654234593362</v>
      </c>
      <c r="N900">
        <f t="shared" si="44"/>
        <v>8</v>
      </c>
    </row>
    <row r="901" spans="1:14" x14ac:dyDescent="0.35">
      <c r="A901" t="str">
        <f t="shared" si="42"/>
        <v>18097360601_2028</v>
      </c>
      <c r="B901">
        <v>18097360601</v>
      </c>
      <c r="C901">
        <v>2028</v>
      </c>
      <c r="D901">
        <v>0.45350476813052809</v>
      </c>
      <c r="E901">
        <v>-0.39935400924812842</v>
      </c>
      <c r="F901">
        <v>-0.45023790618727522</v>
      </c>
      <c r="G901">
        <v>0.12892365055286739</v>
      </c>
      <c r="H901">
        <v>0.4198333002411419</v>
      </c>
      <c r="I901">
        <v>-0.12533854659453941</v>
      </c>
      <c r="J901">
        <v>-0.6204365524179617</v>
      </c>
      <c r="K901">
        <v>-0.83219688843572581</v>
      </c>
      <c r="M901">
        <f t="shared" si="43"/>
        <v>-1.4253021839590931</v>
      </c>
      <c r="N901">
        <f t="shared" si="44"/>
        <v>8</v>
      </c>
    </row>
    <row r="902" spans="1:14" x14ac:dyDescent="0.35">
      <c r="A902" t="str">
        <f t="shared" si="42"/>
        <v>18097360602_2024</v>
      </c>
      <c r="B902">
        <v>18097360602</v>
      </c>
      <c r="C902">
        <v>2024</v>
      </c>
      <c r="D902">
        <v>2.1382433633449782</v>
      </c>
      <c r="E902">
        <v>-0.91313488904153084</v>
      </c>
      <c r="F902">
        <v>0.72874914060056362</v>
      </c>
      <c r="G902">
        <v>-0.8955340552544081</v>
      </c>
      <c r="H902">
        <v>0.90792110341910959</v>
      </c>
      <c r="I902">
        <v>-0.31876362173714679</v>
      </c>
      <c r="J902">
        <v>-0.64618268603843321</v>
      </c>
      <c r="K902">
        <v>-0.98508127777751442</v>
      </c>
      <c r="M902">
        <f t="shared" si="43"/>
        <v>1.6217077515618072E-2</v>
      </c>
      <c r="N902">
        <f t="shared" si="44"/>
        <v>8</v>
      </c>
    </row>
    <row r="903" spans="1:14" x14ac:dyDescent="0.35">
      <c r="A903" t="str">
        <f t="shared" si="42"/>
        <v>18097360602_2025</v>
      </c>
      <c r="B903">
        <v>18097360602</v>
      </c>
      <c r="C903">
        <v>2025</v>
      </c>
      <c r="D903">
        <v>1.937836964194779</v>
      </c>
      <c r="E903">
        <v>-0.93304066630952276</v>
      </c>
      <c r="F903">
        <v>0.67176740388787637</v>
      </c>
      <c r="G903">
        <v>-0.93543267244980544</v>
      </c>
      <c r="H903">
        <v>0.80878143306764361</v>
      </c>
      <c r="I903">
        <v>-0.365232224831054</v>
      </c>
      <c r="J903">
        <v>-0.63350419085729859</v>
      </c>
      <c r="K903">
        <v>-0.98837803697133964</v>
      </c>
      <c r="M903">
        <f t="shared" si="43"/>
        <v>-0.43720199026872142</v>
      </c>
      <c r="N903">
        <f t="shared" si="44"/>
        <v>8</v>
      </c>
    </row>
    <row r="904" spans="1:14" x14ac:dyDescent="0.35">
      <c r="A904" t="str">
        <f t="shared" si="42"/>
        <v>18097360602_2026</v>
      </c>
      <c r="B904">
        <v>18097360602</v>
      </c>
      <c r="C904">
        <v>2026</v>
      </c>
      <c r="D904">
        <v>1.855925879614593</v>
      </c>
      <c r="E904">
        <v>-0.95550842991343043</v>
      </c>
      <c r="F904">
        <v>0.62978951432918018</v>
      </c>
      <c r="G904">
        <v>-0.96248220517113081</v>
      </c>
      <c r="H904">
        <v>0.70424064857038826</v>
      </c>
      <c r="I904">
        <v>-0.42303422309052441</v>
      </c>
      <c r="J904">
        <v>-0.62623940585371718</v>
      </c>
      <c r="K904">
        <v>-0.95823033596886464</v>
      </c>
      <c r="M904">
        <f t="shared" si="43"/>
        <v>-0.73553855748350594</v>
      </c>
      <c r="N904">
        <f t="shared" si="44"/>
        <v>8</v>
      </c>
    </row>
    <row r="905" spans="1:14" x14ac:dyDescent="0.35">
      <c r="A905" t="str">
        <f t="shared" si="42"/>
        <v>18097360602_2027</v>
      </c>
      <c r="B905">
        <v>18097360602</v>
      </c>
      <c r="C905">
        <v>2027</v>
      </c>
      <c r="D905">
        <v>1.697733878496829</v>
      </c>
      <c r="E905">
        <v>-0.97646724748859037</v>
      </c>
      <c r="F905">
        <v>0.5626440633515426</v>
      </c>
      <c r="G905">
        <v>-0.98590643951949164</v>
      </c>
      <c r="H905">
        <v>0.58672884791823499</v>
      </c>
      <c r="I905">
        <v>-0.47088651817768012</v>
      </c>
      <c r="J905">
        <v>-0.62236524943037486</v>
      </c>
      <c r="K905">
        <v>-0.90508027105406097</v>
      </c>
      <c r="M905">
        <f t="shared" si="43"/>
        <v>-1.1135989359035912</v>
      </c>
      <c r="N905">
        <f t="shared" si="44"/>
        <v>8</v>
      </c>
    </row>
    <row r="906" spans="1:14" x14ac:dyDescent="0.35">
      <c r="A906" t="str">
        <f t="shared" si="42"/>
        <v>18097360602_2028</v>
      </c>
      <c r="B906">
        <v>18097360602</v>
      </c>
      <c r="C906">
        <v>2028</v>
      </c>
      <c r="D906">
        <v>1.547691375231067</v>
      </c>
      <c r="E906">
        <v>-0.99386602234633836</v>
      </c>
      <c r="F906">
        <v>0.51651041131366804</v>
      </c>
      <c r="G906">
        <v>-0.99007180010038998</v>
      </c>
      <c r="H906">
        <v>0.47940158761514862</v>
      </c>
      <c r="I906">
        <v>-0.51773221181703599</v>
      </c>
      <c r="J906">
        <v>-0.6204365524179617</v>
      </c>
      <c r="K906">
        <v>-0.83219688843572581</v>
      </c>
      <c r="M906">
        <f t="shared" si="43"/>
        <v>-1.4107001009575684</v>
      </c>
      <c r="N906">
        <f t="shared" si="44"/>
        <v>8</v>
      </c>
    </row>
    <row r="907" spans="1:14" x14ac:dyDescent="0.35">
      <c r="A907" t="str">
        <f t="shared" si="42"/>
        <v>18097360700_2024</v>
      </c>
      <c r="B907">
        <v>18097360700</v>
      </c>
      <c r="C907">
        <v>2024</v>
      </c>
      <c r="D907">
        <v>-0.6235787792044869</v>
      </c>
      <c r="E907">
        <v>0.50008366449268427</v>
      </c>
      <c r="F907">
        <v>-0.79664513086619271</v>
      </c>
      <c r="G907">
        <v>0.33555989164456479</v>
      </c>
      <c r="H907">
        <v>0.75429368712453659</v>
      </c>
      <c r="I907">
        <v>1.1612961274466009</v>
      </c>
      <c r="J907">
        <v>-0.64618268603843321</v>
      </c>
      <c r="K907">
        <v>-0.98508127777751442</v>
      </c>
      <c r="M907">
        <f t="shared" si="43"/>
        <v>-0.30025450317824065</v>
      </c>
      <c r="N907">
        <f t="shared" si="44"/>
        <v>8</v>
      </c>
    </row>
    <row r="908" spans="1:14" x14ac:dyDescent="0.35">
      <c r="A908" t="str">
        <f t="shared" si="42"/>
        <v>18097360700_2025</v>
      </c>
      <c r="B908">
        <v>18097360700</v>
      </c>
      <c r="C908">
        <v>2025</v>
      </c>
      <c r="D908">
        <v>-0.66248193708832959</v>
      </c>
      <c r="E908">
        <v>0.47100105601299652</v>
      </c>
      <c r="F908">
        <v>-0.74786136933326008</v>
      </c>
      <c r="G908">
        <v>0.2961633015066763</v>
      </c>
      <c r="H908">
        <v>0.77504930344214784</v>
      </c>
      <c r="I908">
        <v>1.0987469379500521</v>
      </c>
      <c r="J908">
        <v>-0.63350419085729859</v>
      </c>
      <c r="K908">
        <v>-0.98837803697133964</v>
      </c>
      <c r="M908">
        <f t="shared" si="43"/>
        <v>-0.39126493533835505</v>
      </c>
      <c r="N908">
        <f t="shared" si="44"/>
        <v>8</v>
      </c>
    </row>
    <row r="909" spans="1:14" x14ac:dyDescent="0.35">
      <c r="A909" t="str">
        <f t="shared" si="42"/>
        <v>18097360700_2026</v>
      </c>
      <c r="B909">
        <v>18097360700</v>
      </c>
      <c r="C909">
        <v>2026</v>
      </c>
      <c r="D909">
        <v>-0.64676615332770826</v>
      </c>
      <c r="E909">
        <v>0.45265379547692508</v>
      </c>
      <c r="F909">
        <v>-0.69619194360421488</v>
      </c>
      <c r="G909">
        <v>0.2356616227481266</v>
      </c>
      <c r="H909">
        <v>0.79811729361460848</v>
      </c>
      <c r="I909">
        <v>1.1278873406208849</v>
      </c>
      <c r="J909">
        <v>-0.62623940585371718</v>
      </c>
      <c r="K909">
        <v>-0.95823033596886464</v>
      </c>
      <c r="M909">
        <f t="shared" si="43"/>
        <v>-0.31310778629395986</v>
      </c>
      <c r="N909">
        <f t="shared" si="44"/>
        <v>8</v>
      </c>
    </row>
    <row r="910" spans="1:14" x14ac:dyDescent="0.35">
      <c r="A910" t="str">
        <f t="shared" si="42"/>
        <v>18097360700_2027</v>
      </c>
      <c r="B910">
        <v>18097360700</v>
      </c>
      <c r="C910">
        <v>2027</v>
      </c>
      <c r="D910">
        <v>-0.64658825651208029</v>
      </c>
      <c r="E910">
        <v>0.42576041189604802</v>
      </c>
      <c r="F910">
        <v>-0.64228417619989642</v>
      </c>
      <c r="G910">
        <v>0.1898667696699366</v>
      </c>
      <c r="H910">
        <v>0.80622444487371436</v>
      </c>
      <c r="I910">
        <v>1.105717396995483</v>
      </c>
      <c r="J910">
        <v>-0.62236524943037486</v>
      </c>
      <c r="K910">
        <v>-0.90508027105406097</v>
      </c>
      <c r="M910">
        <f t="shared" si="43"/>
        <v>-0.28874892976123057</v>
      </c>
      <c r="N910">
        <f t="shared" si="44"/>
        <v>8</v>
      </c>
    </row>
    <row r="911" spans="1:14" x14ac:dyDescent="0.35">
      <c r="A911" t="str">
        <f t="shared" si="42"/>
        <v>18097360700_2028</v>
      </c>
      <c r="B911">
        <v>18097360700</v>
      </c>
      <c r="C911">
        <v>2028</v>
      </c>
      <c r="D911">
        <v>-0.63306345574548906</v>
      </c>
      <c r="E911">
        <v>0.40655245670382278</v>
      </c>
      <c r="F911">
        <v>-0.59757165715510496</v>
      </c>
      <c r="G911">
        <v>0.13290178533941269</v>
      </c>
      <c r="H911">
        <v>0.81233988381893107</v>
      </c>
      <c r="I911">
        <v>1.1042958188359</v>
      </c>
      <c r="J911">
        <v>-0.6204365524179617</v>
      </c>
      <c r="K911">
        <v>-0.83219688843572581</v>
      </c>
      <c r="M911">
        <f t="shared" si="43"/>
        <v>-0.22717860905621501</v>
      </c>
      <c r="N911">
        <f t="shared" si="44"/>
        <v>8</v>
      </c>
    </row>
    <row r="912" spans="1:14" x14ac:dyDescent="0.35">
      <c r="A912" t="str">
        <f t="shared" si="42"/>
        <v>18097360800_2024</v>
      </c>
      <c r="B912">
        <v>18097360800</v>
      </c>
      <c r="C912">
        <v>2024</v>
      </c>
      <c r="D912">
        <v>7.1097987780019412E-2</v>
      </c>
      <c r="E912">
        <v>-0.69121717860432508</v>
      </c>
      <c r="F912">
        <v>1.080328105022784</v>
      </c>
      <c r="G912">
        <v>-0.92837383661292039</v>
      </c>
      <c r="H912">
        <v>-1.1164800986649139</v>
      </c>
      <c r="I912">
        <v>-1.0079582549305699</v>
      </c>
      <c r="J912">
        <v>-0.64618268603843321</v>
      </c>
      <c r="K912">
        <v>-0.98508127777751442</v>
      </c>
      <c r="M912">
        <f t="shared" si="43"/>
        <v>-4.2238672398258732</v>
      </c>
      <c r="N912">
        <f t="shared" si="44"/>
        <v>8</v>
      </c>
    </row>
    <row r="913" spans="1:14" x14ac:dyDescent="0.35">
      <c r="A913" t="str">
        <f t="shared" si="42"/>
        <v>18097360800_2025</v>
      </c>
      <c r="B913">
        <v>18097360800</v>
      </c>
      <c r="C913">
        <v>2025</v>
      </c>
      <c r="D913">
        <v>-8.4279713169257003E-3</v>
      </c>
      <c r="E913">
        <v>-0.64983160308990096</v>
      </c>
      <c r="F913">
        <v>0.96040171704580002</v>
      </c>
      <c r="G913">
        <v>-0.93252035571523317</v>
      </c>
      <c r="H913">
        <v>-1.148442802621646</v>
      </c>
      <c r="I913">
        <v>-1.119542836998876</v>
      </c>
      <c r="J913">
        <v>-0.63350419085729859</v>
      </c>
      <c r="K913">
        <v>-0.98837803697133964</v>
      </c>
      <c r="M913">
        <f t="shared" si="43"/>
        <v>-4.5202460805254203</v>
      </c>
      <c r="N913">
        <f t="shared" si="44"/>
        <v>8</v>
      </c>
    </row>
    <row r="914" spans="1:14" x14ac:dyDescent="0.35">
      <c r="A914" t="str">
        <f t="shared" si="42"/>
        <v>18097360800_2026</v>
      </c>
      <c r="B914">
        <v>18097360800</v>
      </c>
      <c r="C914">
        <v>2026</v>
      </c>
      <c r="D914">
        <v>-1.7268028718139511E-2</v>
      </c>
      <c r="E914">
        <v>-0.6216888929761456</v>
      </c>
      <c r="F914">
        <v>0.82046135869867676</v>
      </c>
      <c r="G914">
        <v>-0.92165992760469917</v>
      </c>
      <c r="H914">
        <v>-1.0968476780335761</v>
      </c>
      <c r="I914">
        <v>-1.213576859929997</v>
      </c>
      <c r="J914">
        <v>-0.62623940585371718</v>
      </c>
      <c r="K914">
        <v>-0.95823033596886464</v>
      </c>
      <c r="M914">
        <f t="shared" si="43"/>
        <v>-4.6350497703864626</v>
      </c>
      <c r="N914">
        <f t="shared" si="44"/>
        <v>8</v>
      </c>
    </row>
    <row r="915" spans="1:14" x14ac:dyDescent="0.35">
      <c r="A915" t="str">
        <f t="shared" si="42"/>
        <v>18097360800_2027</v>
      </c>
      <c r="B915">
        <v>18097360800</v>
      </c>
      <c r="C915">
        <v>2027</v>
      </c>
      <c r="D915">
        <v>-5.6924742215363561E-2</v>
      </c>
      <c r="E915">
        <v>-0.58837045413663458</v>
      </c>
      <c r="F915">
        <v>0.67685394608455507</v>
      </c>
      <c r="G915">
        <v>-0.91340152457090162</v>
      </c>
      <c r="H915">
        <v>-1.074968693191275</v>
      </c>
      <c r="I915">
        <v>-1.306193360534788</v>
      </c>
      <c r="J915">
        <v>-0.62236524943037486</v>
      </c>
      <c r="K915">
        <v>-0.90508027105406097</v>
      </c>
      <c r="M915">
        <f t="shared" si="43"/>
        <v>-4.7904503490488439</v>
      </c>
      <c r="N915">
        <f t="shared" si="44"/>
        <v>8</v>
      </c>
    </row>
    <row r="916" spans="1:14" x14ac:dyDescent="0.35">
      <c r="A916" t="str">
        <f t="shared" si="42"/>
        <v>18097360800_2028</v>
      </c>
      <c r="B916">
        <v>18097360800</v>
      </c>
      <c r="C916">
        <v>2028</v>
      </c>
      <c r="D916">
        <v>-8.4541729013945383E-2</v>
      </c>
      <c r="E916">
        <v>-0.55562548444552962</v>
      </c>
      <c r="F916">
        <v>0.56446551630151187</v>
      </c>
      <c r="G916">
        <v>-0.89226555188258849</v>
      </c>
      <c r="H916">
        <v>-1.014939719350874</v>
      </c>
      <c r="I916">
        <v>-1.386591451479589</v>
      </c>
      <c r="J916">
        <v>-0.6204365524179617</v>
      </c>
      <c r="K916">
        <v>-0.83219688843572581</v>
      </c>
      <c r="M916">
        <f t="shared" si="43"/>
        <v>-4.8221318607247019</v>
      </c>
      <c r="N916">
        <f t="shared" si="44"/>
        <v>8</v>
      </c>
    </row>
    <row r="917" spans="1:14" x14ac:dyDescent="0.35">
      <c r="A917" t="str">
        <f t="shared" si="42"/>
        <v>18097360900_2024</v>
      </c>
      <c r="B917">
        <v>18097360900</v>
      </c>
      <c r="C917">
        <v>2024</v>
      </c>
      <c r="D917">
        <v>1.903918944148056</v>
      </c>
      <c r="E917">
        <v>-0.45092061479790141</v>
      </c>
      <c r="F917">
        <v>0.5171828067930252</v>
      </c>
      <c r="G917">
        <v>-0.94783939317211219</v>
      </c>
      <c r="H917">
        <v>1.203866573140991</v>
      </c>
      <c r="I917">
        <v>8.6123849658331086E-2</v>
      </c>
      <c r="J917">
        <v>-1.201577411393054</v>
      </c>
      <c r="K917">
        <v>-0.86876094160095474</v>
      </c>
      <c r="M917">
        <f t="shared" si="43"/>
        <v>0.24199381277638032</v>
      </c>
      <c r="N917">
        <f t="shared" si="44"/>
        <v>8</v>
      </c>
    </row>
    <row r="918" spans="1:14" x14ac:dyDescent="0.35">
      <c r="A918" t="str">
        <f t="shared" si="42"/>
        <v>18097360900_2025</v>
      </c>
      <c r="B918">
        <v>18097360900</v>
      </c>
      <c r="C918">
        <v>2025</v>
      </c>
      <c r="D918">
        <v>1.6733235105830471</v>
      </c>
      <c r="E918">
        <v>-0.56278731123102832</v>
      </c>
      <c r="F918">
        <v>0.50043550251154567</v>
      </c>
      <c r="G918">
        <v>-1.0026232910841679</v>
      </c>
      <c r="H918">
        <v>1.4075040471600631</v>
      </c>
      <c r="I918">
        <v>0.17014040661852281</v>
      </c>
      <c r="J918">
        <v>-1.1957710598299041</v>
      </c>
      <c r="K918">
        <v>-0.87483305487704199</v>
      </c>
      <c r="M918">
        <f t="shared" si="43"/>
        <v>0.1153887498510362</v>
      </c>
      <c r="N918">
        <f t="shared" si="44"/>
        <v>8</v>
      </c>
    </row>
    <row r="919" spans="1:14" x14ac:dyDescent="0.35">
      <c r="A919" t="str">
        <f t="shared" si="42"/>
        <v>18097360900_2026</v>
      </c>
      <c r="B919">
        <v>18097360900</v>
      </c>
      <c r="C919">
        <v>2026</v>
      </c>
      <c r="D919">
        <v>1.528832673337007</v>
      </c>
      <c r="E919">
        <v>-0.47506156509417669</v>
      </c>
      <c r="F919">
        <v>0.46457022567656109</v>
      </c>
      <c r="G919">
        <v>-1.0338575518103059</v>
      </c>
      <c r="H919">
        <v>1.3578439574848351</v>
      </c>
      <c r="I919">
        <v>0.1571352977022879</v>
      </c>
      <c r="J919">
        <v>-1.1956795713393129</v>
      </c>
      <c r="K919">
        <v>-0.85342576280771554</v>
      </c>
      <c r="M919">
        <f t="shared" si="43"/>
        <v>-4.9642296850819889E-2</v>
      </c>
      <c r="N919">
        <f t="shared" si="44"/>
        <v>8</v>
      </c>
    </row>
    <row r="920" spans="1:14" x14ac:dyDescent="0.35">
      <c r="A920" t="str">
        <f t="shared" si="42"/>
        <v>18097360900_2027</v>
      </c>
      <c r="B920">
        <v>18097360900</v>
      </c>
      <c r="C920">
        <v>2027</v>
      </c>
      <c r="D920">
        <v>1.31074419172942</v>
      </c>
      <c r="E920">
        <v>-0.54093941831737169</v>
      </c>
      <c r="F920">
        <v>0.41613959216127627</v>
      </c>
      <c r="G920">
        <v>-1.06236326155206</v>
      </c>
      <c r="H920">
        <v>1.2537650974066941</v>
      </c>
      <c r="I920">
        <v>0.2000903143497097</v>
      </c>
      <c r="J920">
        <v>-1.1975478901482719</v>
      </c>
      <c r="K920">
        <v>-0.81049889332935643</v>
      </c>
      <c r="M920">
        <f t="shared" si="43"/>
        <v>-0.43061026769995991</v>
      </c>
      <c r="N920">
        <f t="shared" si="44"/>
        <v>8</v>
      </c>
    </row>
    <row r="921" spans="1:14" x14ac:dyDescent="0.35">
      <c r="A921" t="str">
        <f t="shared" si="42"/>
        <v>18097360900_2028</v>
      </c>
      <c r="B921">
        <v>18097360900</v>
      </c>
      <c r="C921">
        <v>2028</v>
      </c>
      <c r="D921">
        <v>1.138286587355839</v>
      </c>
      <c r="E921">
        <v>-0.48370800928975621</v>
      </c>
      <c r="F921">
        <v>0.38189314705121807</v>
      </c>
      <c r="G921">
        <v>-1.067923060012308</v>
      </c>
      <c r="H921">
        <v>1.1513900059464439</v>
      </c>
      <c r="I921">
        <v>0.2083110061414544</v>
      </c>
      <c r="J921">
        <v>-1.199345867326554</v>
      </c>
      <c r="K921">
        <v>-0.74956791780312271</v>
      </c>
      <c r="M921">
        <f t="shared" si="43"/>
        <v>-0.62066410793678561</v>
      </c>
      <c r="N921">
        <f t="shared" si="44"/>
        <v>8</v>
      </c>
    </row>
    <row r="922" spans="1:14" x14ac:dyDescent="0.35">
      <c r="A922" t="str">
        <f t="shared" si="42"/>
        <v>18097361000_2024</v>
      </c>
      <c r="B922">
        <v>18097361000</v>
      </c>
      <c r="C922">
        <v>2024</v>
      </c>
      <c r="D922">
        <v>-0.54639246678908482</v>
      </c>
      <c r="E922">
        <v>1.4695145822300659</v>
      </c>
      <c r="F922">
        <v>-1.1622110270571691</v>
      </c>
      <c r="G922">
        <v>0.84634000474266446</v>
      </c>
      <c r="I922">
        <v>1.4792892831454969</v>
      </c>
      <c r="J922">
        <v>-0.64618268603843321</v>
      </c>
      <c r="K922">
        <v>-0.98508127777751442</v>
      </c>
      <c r="M922">
        <f t="shared" si="43"/>
        <v>0.45527641245602579</v>
      </c>
      <c r="N922">
        <f t="shared" si="44"/>
        <v>7</v>
      </c>
    </row>
    <row r="923" spans="1:14" x14ac:dyDescent="0.35">
      <c r="A923" t="str">
        <f t="shared" si="42"/>
        <v>18097361000_2025</v>
      </c>
      <c r="B923">
        <v>18097361000</v>
      </c>
      <c r="C923">
        <v>2025</v>
      </c>
      <c r="D923">
        <v>-0.58980927662345006</v>
      </c>
      <c r="E923">
        <v>1.4229940563290771</v>
      </c>
      <c r="F923">
        <v>-1.0899935538285681</v>
      </c>
      <c r="G923">
        <v>0.79513754617198429</v>
      </c>
      <c r="I923">
        <v>1.4695194831083449</v>
      </c>
      <c r="J923">
        <v>-0.63350419085729859</v>
      </c>
      <c r="K923">
        <v>-0.98837803697133964</v>
      </c>
      <c r="M923">
        <f t="shared" si="43"/>
        <v>0.38596602732874985</v>
      </c>
      <c r="N923">
        <f t="shared" si="44"/>
        <v>7</v>
      </c>
    </row>
    <row r="924" spans="1:14" x14ac:dyDescent="0.35">
      <c r="A924" t="str">
        <f t="shared" si="42"/>
        <v>18097361000_2026</v>
      </c>
      <c r="B924">
        <v>18097361000</v>
      </c>
      <c r="C924">
        <v>2026</v>
      </c>
      <c r="D924">
        <v>-0.57682191553059015</v>
      </c>
      <c r="E924">
        <v>1.424736641458906</v>
      </c>
      <c r="F924">
        <v>-1.0413912439279329</v>
      </c>
      <c r="G924">
        <v>0.71669162699702182</v>
      </c>
      <c r="I924">
        <v>1.4359548107178</v>
      </c>
      <c r="J924">
        <v>-0.62623940585371718</v>
      </c>
      <c r="K924">
        <v>-0.95823033596886464</v>
      </c>
      <c r="M924">
        <f t="shared" si="43"/>
        <v>0.37470017789262267</v>
      </c>
      <c r="N924">
        <f t="shared" si="44"/>
        <v>7</v>
      </c>
    </row>
    <row r="925" spans="1:14" x14ac:dyDescent="0.35">
      <c r="A925" t="str">
        <f t="shared" si="42"/>
        <v>18097361000_2027</v>
      </c>
      <c r="B925">
        <v>18097361000</v>
      </c>
      <c r="C925">
        <v>2027</v>
      </c>
      <c r="D925">
        <v>-0.58107009071140925</v>
      </c>
      <c r="E925">
        <v>1.3945134943344</v>
      </c>
      <c r="F925">
        <v>-0.97139362333514923</v>
      </c>
      <c r="G925">
        <v>0.65642681355875687</v>
      </c>
      <c r="I925">
        <v>1.413047420878653</v>
      </c>
      <c r="J925">
        <v>-0.62236524943037486</v>
      </c>
      <c r="K925">
        <v>-0.90508027105406097</v>
      </c>
      <c r="M925">
        <f t="shared" si="43"/>
        <v>0.38407849424081542</v>
      </c>
      <c r="N925">
        <f t="shared" si="44"/>
        <v>7</v>
      </c>
    </row>
    <row r="926" spans="1:14" x14ac:dyDescent="0.35">
      <c r="A926" t="str">
        <f t="shared" si="42"/>
        <v>18097361000_2028</v>
      </c>
      <c r="B926">
        <v>18097361000</v>
      </c>
      <c r="C926">
        <v>2028</v>
      </c>
      <c r="D926">
        <v>-0.57211659817227267</v>
      </c>
      <c r="E926">
        <v>1.380192841510139</v>
      </c>
      <c r="F926">
        <v>-0.92020744284618206</v>
      </c>
      <c r="G926">
        <v>0.57460728678338868</v>
      </c>
      <c r="I926">
        <v>1.3773063975452899</v>
      </c>
      <c r="J926">
        <v>-0.6204365524179617</v>
      </c>
      <c r="K926">
        <v>-0.83219688843572581</v>
      </c>
      <c r="M926">
        <f t="shared" si="43"/>
        <v>0.38714904396667538</v>
      </c>
      <c r="N926">
        <f t="shared" si="44"/>
        <v>7</v>
      </c>
    </row>
    <row r="927" spans="1:14" x14ac:dyDescent="0.35">
      <c r="A927" t="str">
        <f t="shared" si="42"/>
        <v>18097361100_2024</v>
      </c>
      <c r="B927">
        <v>18097361100</v>
      </c>
      <c r="C927">
        <v>2024</v>
      </c>
      <c r="D927">
        <v>0.41380562022936151</v>
      </c>
      <c r="E927">
        <v>0.6835432526462194</v>
      </c>
      <c r="F927">
        <v>-0.39100578900257071</v>
      </c>
      <c r="G927">
        <v>0.35635671062039498</v>
      </c>
      <c r="H927">
        <v>0.85610006436296804</v>
      </c>
      <c r="I927">
        <v>1.435147069959686</v>
      </c>
      <c r="J927">
        <v>-0.6468707805081626</v>
      </c>
      <c r="M927">
        <f t="shared" si="43"/>
        <v>2.7070761483078964</v>
      </c>
      <c r="N927">
        <f t="shared" si="44"/>
        <v>7</v>
      </c>
    </row>
    <row r="928" spans="1:14" x14ac:dyDescent="0.35">
      <c r="A928" t="str">
        <f t="shared" si="42"/>
        <v>18097361100_2025</v>
      </c>
      <c r="B928">
        <v>18097361100</v>
      </c>
      <c r="C928">
        <v>2025</v>
      </c>
      <c r="D928">
        <v>0.3140794128127129</v>
      </c>
      <c r="E928">
        <v>0.65999459533696991</v>
      </c>
      <c r="F928">
        <v>-0.44189973253975312</v>
      </c>
      <c r="G928">
        <v>0.39438436086741469</v>
      </c>
      <c r="H928">
        <v>0.94624742747939017</v>
      </c>
      <c r="I928">
        <v>1.4785964835189691</v>
      </c>
      <c r="J928">
        <v>-0.63406187332644004</v>
      </c>
      <c r="M928">
        <f t="shared" si="43"/>
        <v>2.7173406741492636</v>
      </c>
      <c r="N928">
        <f t="shared" si="44"/>
        <v>7</v>
      </c>
    </row>
    <row r="929" spans="1:14" x14ac:dyDescent="0.35">
      <c r="A929" t="str">
        <f t="shared" si="42"/>
        <v>18097361100_2026</v>
      </c>
      <c r="B929">
        <v>18097361100</v>
      </c>
      <c r="C929">
        <v>2026</v>
      </c>
      <c r="D929">
        <v>0.2931477319656372</v>
      </c>
      <c r="E929">
        <v>0.65245235938980506</v>
      </c>
      <c r="F929">
        <v>-0.46246901264918688</v>
      </c>
      <c r="G929">
        <v>0.38203802199589282</v>
      </c>
      <c r="H929">
        <v>1.025631416048522</v>
      </c>
      <c r="I929">
        <v>1.5041751991021639</v>
      </c>
      <c r="J929">
        <v>-0.62667900519069497</v>
      </c>
      <c r="M929">
        <f t="shared" si="43"/>
        <v>2.7682967106621392</v>
      </c>
      <c r="N929">
        <f t="shared" si="44"/>
        <v>7</v>
      </c>
    </row>
    <row r="930" spans="1:14" x14ac:dyDescent="0.35">
      <c r="A930" t="str">
        <f t="shared" si="42"/>
        <v>18097361100_2027</v>
      </c>
      <c r="B930">
        <v>18097361100</v>
      </c>
      <c r="C930">
        <v>2027</v>
      </c>
      <c r="D930">
        <v>0.23367544179254779</v>
      </c>
      <c r="E930">
        <v>0.63504386164236548</v>
      </c>
      <c r="F930">
        <v>-0.48126566530702819</v>
      </c>
      <c r="G930">
        <v>0.36662489721476688</v>
      </c>
      <c r="H930">
        <v>1.0853693620169831</v>
      </c>
      <c r="I930">
        <v>1.5417165943925379</v>
      </c>
      <c r="J930">
        <v>-0.62265394402271401</v>
      </c>
      <c r="M930">
        <f t="shared" si="43"/>
        <v>2.7585105477294589</v>
      </c>
      <c r="N930">
        <f t="shared" si="44"/>
        <v>7</v>
      </c>
    </row>
    <row r="931" spans="1:14" x14ac:dyDescent="0.35">
      <c r="A931" t="str">
        <f t="shared" si="42"/>
        <v>18097361100_2028</v>
      </c>
      <c r="B931">
        <v>18097361100</v>
      </c>
      <c r="C931">
        <v>2028</v>
      </c>
      <c r="D931">
        <v>0.185767422035441</v>
      </c>
      <c r="E931">
        <v>0.62540921699740892</v>
      </c>
      <c r="F931">
        <v>-0.49498402288108778</v>
      </c>
      <c r="G931">
        <v>0.32195265064924178</v>
      </c>
      <c r="H931">
        <v>1.130767333026955</v>
      </c>
      <c r="I931">
        <v>1.5640063296984119</v>
      </c>
      <c r="J931">
        <v>-0.62053824174706163</v>
      </c>
      <c r="M931">
        <f t="shared" si="43"/>
        <v>2.7123806877793091</v>
      </c>
      <c r="N931">
        <f t="shared" si="44"/>
        <v>7</v>
      </c>
    </row>
    <row r="932" spans="1:14" x14ac:dyDescent="0.35">
      <c r="A932" t="str">
        <f t="shared" si="42"/>
        <v>18097361200_2024</v>
      </c>
      <c r="B932">
        <v>18097361200</v>
      </c>
      <c r="C932">
        <v>2024</v>
      </c>
      <c r="D932">
        <v>0.17417520419242999</v>
      </c>
      <c r="E932">
        <v>0.1740013978885345</v>
      </c>
      <c r="F932">
        <v>-0.88779490863591748</v>
      </c>
      <c r="G932">
        <v>0.1065749839772145</v>
      </c>
      <c r="H932">
        <v>0.221671613208625</v>
      </c>
      <c r="I932">
        <v>1.1499501214812711</v>
      </c>
      <c r="J932">
        <v>-0.64666691907496576</v>
      </c>
      <c r="M932">
        <f t="shared" si="43"/>
        <v>0.29191149303719177</v>
      </c>
      <c r="N932">
        <f t="shared" si="44"/>
        <v>7</v>
      </c>
    </row>
    <row r="933" spans="1:14" x14ac:dyDescent="0.35">
      <c r="A933" t="str">
        <f t="shared" si="42"/>
        <v>18097361200_2025</v>
      </c>
      <c r="B933">
        <v>18097361200</v>
      </c>
      <c r="C933">
        <v>2025</v>
      </c>
      <c r="D933">
        <v>8.6054976697033478E-2</v>
      </c>
      <c r="E933">
        <v>0.21633620334108419</v>
      </c>
      <c r="F933">
        <v>-0.92834418420918519</v>
      </c>
      <c r="G933">
        <v>0.15189142556557489</v>
      </c>
      <c r="H933">
        <v>0.31927528831951252</v>
      </c>
      <c r="I933">
        <v>1.1211775316919761</v>
      </c>
      <c r="J933">
        <v>-0.63302324297163726</v>
      </c>
      <c r="M933">
        <f t="shared" si="43"/>
        <v>0.33336799843435883</v>
      </c>
      <c r="N933">
        <f t="shared" si="44"/>
        <v>7</v>
      </c>
    </row>
    <row r="934" spans="1:14" x14ac:dyDescent="0.35">
      <c r="A934" t="str">
        <f t="shared" si="42"/>
        <v>18097361200_2026</v>
      </c>
      <c r="B934">
        <v>18097361200</v>
      </c>
      <c r="C934">
        <v>2026</v>
      </c>
      <c r="D934">
        <v>7.4040804948061714E-2</v>
      </c>
      <c r="E934">
        <v>0.271406922949818</v>
      </c>
      <c r="F934">
        <v>-0.94285630894072281</v>
      </c>
      <c r="G934">
        <v>0.1686132152611447</v>
      </c>
      <c r="H934">
        <v>0.1603521292564484</v>
      </c>
      <c r="I934">
        <v>1.102716005208273</v>
      </c>
      <c r="J934">
        <v>-0.62440673173863215</v>
      </c>
      <c r="M934">
        <f t="shared" si="43"/>
        <v>0.20986603694439077</v>
      </c>
      <c r="N934">
        <f t="shared" si="44"/>
        <v>7</v>
      </c>
    </row>
    <row r="935" spans="1:14" x14ac:dyDescent="0.35">
      <c r="A935" t="str">
        <f t="shared" si="42"/>
        <v>18097361200_2027</v>
      </c>
      <c r="B935">
        <v>18097361200</v>
      </c>
      <c r="C935">
        <v>2027</v>
      </c>
      <c r="D935">
        <v>2.6514082230615181E-2</v>
      </c>
      <c r="E935">
        <v>0.31443235198403852</v>
      </c>
      <c r="F935">
        <v>-0.93499561432819556</v>
      </c>
      <c r="G935">
        <v>0.19525143644717191</v>
      </c>
      <c r="H935">
        <v>0.20608237174268701</v>
      </c>
      <c r="I935">
        <v>1.0820112518431559</v>
      </c>
      <c r="J935">
        <v>-0.61891713149861061</v>
      </c>
      <c r="M935">
        <f t="shared" si="43"/>
        <v>0.2703787484208624</v>
      </c>
      <c r="N935">
        <f t="shared" si="44"/>
        <v>7</v>
      </c>
    </row>
    <row r="936" spans="1:14" x14ac:dyDescent="0.35">
      <c r="A936" t="str">
        <f t="shared" si="42"/>
        <v>18097361200_2028</v>
      </c>
      <c r="B936">
        <v>18097361200</v>
      </c>
      <c r="C936">
        <v>2028</v>
      </c>
      <c r="D936">
        <v>-7.1409246939398499E-3</v>
      </c>
      <c r="E936">
        <v>0.36141005409389509</v>
      </c>
      <c r="F936">
        <v>-0.92754199864329656</v>
      </c>
      <c r="G936">
        <v>0.2039910469211183</v>
      </c>
      <c r="H936">
        <v>0.1047822774800945</v>
      </c>
      <c r="I936">
        <v>1.0552670988264889</v>
      </c>
      <c r="J936">
        <v>-0.61500231374547576</v>
      </c>
      <c r="M936">
        <f t="shared" si="43"/>
        <v>0.17576524023888462</v>
      </c>
      <c r="N936">
        <f t="shared" si="44"/>
        <v>7</v>
      </c>
    </row>
    <row r="937" spans="1:14" x14ac:dyDescent="0.35">
      <c r="A937" t="str">
        <f t="shared" si="42"/>
        <v>18097361300_2024</v>
      </c>
      <c r="B937">
        <v>18097361300</v>
      </c>
      <c r="C937">
        <v>2024</v>
      </c>
      <c r="D937">
        <v>-0.20990839956113419</v>
      </c>
      <c r="E937">
        <v>-1.0874114915903059</v>
      </c>
      <c r="F937">
        <v>-1.209076353293753</v>
      </c>
      <c r="G937">
        <v>-0.14167774316478421</v>
      </c>
      <c r="H937">
        <v>1.129670154641031</v>
      </c>
      <c r="I937">
        <v>0.7730521251282042</v>
      </c>
      <c r="J937">
        <v>-0.64618268603843321</v>
      </c>
      <c r="K937">
        <v>-0.98508127777751442</v>
      </c>
      <c r="M937">
        <f t="shared" si="43"/>
        <v>-2.3766156716566895</v>
      </c>
      <c r="N937">
        <f t="shared" si="44"/>
        <v>8</v>
      </c>
    </row>
    <row r="938" spans="1:14" x14ac:dyDescent="0.35">
      <c r="A938" t="str">
        <f t="shared" si="42"/>
        <v>18097361300_2025</v>
      </c>
      <c r="B938">
        <v>18097361300</v>
      </c>
      <c r="C938">
        <v>2025</v>
      </c>
      <c r="D938">
        <v>-0.27300188969407613</v>
      </c>
      <c r="E938">
        <v>-1.0702836522943231</v>
      </c>
      <c r="F938">
        <v>-1.170736103377888</v>
      </c>
      <c r="G938">
        <v>-0.12953548848970239</v>
      </c>
      <c r="H938">
        <v>1.1349902583492799</v>
      </c>
      <c r="I938">
        <v>0.70306234289096903</v>
      </c>
      <c r="J938">
        <v>-0.63350419085729859</v>
      </c>
      <c r="K938">
        <v>-0.98837803697133964</v>
      </c>
      <c r="M938">
        <f t="shared" si="43"/>
        <v>-2.4273867604443788</v>
      </c>
      <c r="N938">
        <f t="shared" si="44"/>
        <v>8</v>
      </c>
    </row>
    <row r="939" spans="1:14" x14ac:dyDescent="0.35">
      <c r="A939" t="str">
        <f t="shared" si="42"/>
        <v>18097361300_2026</v>
      </c>
      <c r="B939">
        <v>18097361300</v>
      </c>
      <c r="C939">
        <v>2026</v>
      </c>
      <c r="D939">
        <v>-0.2719087574726487</v>
      </c>
      <c r="E939">
        <v>-1.060953556130646</v>
      </c>
      <c r="F939">
        <v>-1.1344630203360739</v>
      </c>
      <c r="G939">
        <v>-0.15763926772739811</v>
      </c>
      <c r="H939">
        <v>1.1988864781196971</v>
      </c>
      <c r="I939">
        <v>0.6382384369867331</v>
      </c>
      <c r="J939">
        <v>-0.62623940585371718</v>
      </c>
      <c r="K939">
        <v>-0.95823033596886464</v>
      </c>
      <c r="M939">
        <f t="shared" si="43"/>
        <v>-2.372309428382918</v>
      </c>
      <c r="N939">
        <f t="shared" si="44"/>
        <v>8</v>
      </c>
    </row>
    <row r="940" spans="1:14" x14ac:dyDescent="0.35">
      <c r="A940" t="str">
        <f t="shared" si="42"/>
        <v>18097361300_2027</v>
      </c>
      <c r="B940">
        <v>18097361300</v>
      </c>
      <c r="C940">
        <v>2027</v>
      </c>
      <c r="D940">
        <v>-0.29545182813650189</v>
      </c>
      <c r="E940">
        <v>-1.0458370319734229</v>
      </c>
      <c r="F940">
        <v>-1.0780456376205461</v>
      </c>
      <c r="G940">
        <v>-0.17015664883291109</v>
      </c>
      <c r="H940">
        <v>1.1987152933127889</v>
      </c>
      <c r="I940">
        <v>0.57647901074151942</v>
      </c>
      <c r="J940">
        <v>-0.62236524943037486</v>
      </c>
      <c r="K940">
        <v>-0.90508027105406097</v>
      </c>
      <c r="M940">
        <f t="shared" si="43"/>
        <v>-2.3417423629935095</v>
      </c>
      <c r="N940">
        <f t="shared" si="44"/>
        <v>8</v>
      </c>
    </row>
    <row r="941" spans="1:14" x14ac:dyDescent="0.35">
      <c r="A941" t="str">
        <f t="shared" si="42"/>
        <v>18097361300_2028</v>
      </c>
      <c r="B941">
        <v>18097361300</v>
      </c>
      <c r="C941">
        <v>2028</v>
      </c>
      <c r="D941">
        <v>-0.30642638642158537</v>
      </c>
      <c r="E941">
        <v>-1.028883565839573</v>
      </c>
      <c r="F941">
        <v>-1.035973946095174</v>
      </c>
      <c r="G941">
        <v>-0.18963491589063569</v>
      </c>
      <c r="H941">
        <v>1.1513900059464439</v>
      </c>
      <c r="I941">
        <v>0.51194197132005104</v>
      </c>
      <c r="J941">
        <v>-0.6204365524179617</v>
      </c>
      <c r="K941">
        <v>-0.83219688843572581</v>
      </c>
      <c r="M941">
        <f t="shared" si="43"/>
        <v>-2.3502202778341603</v>
      </c>
      <c r="N941">
        <f t="shared" si="44"/>
        <v>8</v>
      </c>
    </row>
    <row r="942" spans="1:14" x14ac:dyDescent="0.35">
      <c r="A942" t="str">
        <f t="shared" si="42"/>
        <v>18097361401_2024</v>
      </c>
      <c r="B942">
        <v>18097361401</v>
      </c>
      <c r="C942">
        <v>2024</v>
      </c>
      <c r="D942">
        <v>0.40152982427317763</v>
      </c>
      <c r="E942">
        <v>-0.46206342727299909</v>
      </c>
      <c r="F942">
        <v>9.4370208811513784E-2</v>
      </c>
      <c r="I942">
        <v>-1.2084901739715781</v>
      </c>
      <c r="J942">
        <v>0.91959485109763284</v>
      </c>
      <c r="K942">
        <v>1.2282493417113429</v>
      </c>
      <c r="M942">
        <f t="shared" si="43"/>
        <v>0.97319062464909001</v>
      </c>
      <c r="N942">
        <f t="shared" si="44"/>
        <v>6</v>
      </c>
    </row>
    <row r="943" spans="1:14" x14ac:dyDescent="0.35">
      <c r="A943" t="str">
        <f t="shared" si="42"/>
        <v>18097361401_2025</v>
      </c>
      <c r="B943">
        <v>18097361401</v>
      </c>
      <c r="C943">
        <v>2025</v>
      </c>
      <c r="D943">
        <v>0.58413463953146239</v>
      </c>
      <c r="E943">
        <v>-0.55952323636333556</v>
      </c>
      <c r="F943">
        <v>0.40602348940838018</v>
      </c>
      <c r="I943">
        <v>-1.3760925471311869</v>
      </c>
      <c r="J943">
        <v>0.94320014343556602</v>
      </c>
      <c r="K943">
        <v>1.0529796726720899</v>
      </c>
      <c r="M943">
        <f t="shared" si="43"/>
        <v>1.050722161552976</v>
      </c>
      <c r="N943">
        <f t="shared" si="44"/>
        <v>6</v>
      </c>
    </row>
    <row r="944" spans="1:14" x14ac:dyDescent="0.35">
      <c r="A944" t="str">
        <f t="shared" si="42"/>
        <v>18097361401_2026</v>
      </c>
      <c r="B944">
        <v>18097361401</v>
      </c>
      <c r="C944">
        <v>2026</v>
      </c>
      <c r="D944">
        <v>0.68335321247086978</v>
      </c>
      <c r="E944">
        <v>-0.59862347212239209</v>
      </c>
      <c r="F944">
        <v>0.40398035817285038</v>
      </c>
      <c r="I944">
        <v>-1.4783177573626129</v>
      </c>
      <c r="J944">
        <v>0.96111089342904765</v>
      </c>
      <c r="K944">
        <v>0.81837795618673081</v>
      </c>
      <c r="M944">
        <f t="shared" si="43"/>
        <v>0.78988119077449359</v>
      </c>
      <c r="N944">
        <f t="shared" si="44"/>
        <v>6</v>
      </c>
    </row>
    <row r="945" spans="1:14" x14ac:dyDescent="0.35">
      <c r="A945" t="str">
        <f t="shared" si="42"/>
        <v>18097361401_2027</v>
      </c>
      <c r="B945">
        <v>18097361401</v>
      </c>
      <c r="C945">
        <v>2027</v>
      </c>
      <c r="D945">
        <v>0.84504562550675122</v>
      </c>
      <c r="E945">
        <v>-0.65395138648822848</v>
      </c>
      <c r="F945">
        <v>0.58498481613920505</v>
      </c>
      <c r="I945">
        <v>-1.6221291830685489</v>
      </c>
      <c r="J945">
        <v>0.97736697561939156</v>
      </c>
      <c r="K945">
        <v>0.60225256350304324</v>
      </c>
      <c r="M945">
        <f t="shared" si="43"/>
        <v>0.73356941121161368</v>
      </c>
      <c r="N945">
        <f t="shared" si="44"/>
        <v>6</v>
      </c>
    </row>
    <row r="946" spans="1:14" x14ac:dyDescent="0.35">
      <c r="A946" t="str">
        <f t="shared" si="42"/>
        <v>18097361401_2028</v>
      </c>
      <c r="B946">
        <v>18097361401</v>
      </c>
      <c r="C946">
        <v>2028</v>
      </c>
      <c r="D946">
        <v>0.9351924264107192</v>
      </c>
      <c r="E946">
        <v>-0.69563898922635781</v>
      </c>
      <c r="F946">
        <v>0.63695851088110389</v>
      </c>
      <c r="I946">
        <v>-1.710638761178831</v>
      </c>
      <c r="J946">
        <v>0.99299238917448895</v>
      </c>
      <c r="K946">
        <v>0.40320757321264061</v>
      </c>
      <c r="M946">
        <f t="shared" si="43"/>
        <v>0.56207314927376384</v>
      </c>
      <c r="N946">
        <f t="shared" si="44"/>
        <v>6</v>
      </c>
    </row>
    <row r="947" spans="1:14" x14ac:dyDescent="0.35">
      <c r="A947" t="str">
        <f t="shared" si="42"/>
        <v>18097361402_2024</v>
      </c>
      <c r="B947">
        <v>18097361402</v>
      </c>
      <c r="C947">
        <v>2024</v>
      </c>
      <c r="D947">
        <v>1.891787810807942</v>
      </c>
      <c r="E947">
        <v>-0.94255579388877919</v>
      </c>
      <c r="F947">
        <v>-0.5978501421568615</v>
      </c>
      <c r="G947">
        <v>0.33880233392435111</v>
      </c>
      <c r="H947">
        <v>0.66218969916318426</v>
      </c>
      <c r="I947">
        <v>0.94439331350713485</v>
      </c>
      <c r="J947">
        <v>-0.27302532076167552</v>
      </c>
      <c r="K947">
        <v>0.2458445352939656</v>
      </c>
      <c r="M947">
        <f t="shared" si="43"/>
        <v>2.2695864358892615</v>
      </c>
      <c r="N947">
        <f t="shared" si="44"/>
        <v>8</v>
      </c>
    </row>
    <row r="948" spans="1:14" x14ac:dyDescent="0.35">
      <c r="A948" t="str">
        <f t="shared" si="42"/>
        <v>18097361402_2025</v>
      </c>
      <c r="B948">
        <v>18097361402</v>
      </c>
      <c r="C948">
        <v>2025</v>
      </c>
      <c r="D948">
        <v>1.5890707499086349</v>
      </c>
      <c r="E948">
        <v>-0.83653670928357093</v>
      </c>
      <c r="F948">
        <v>-0.42746435705330033</v>
      </c>
      <c r="G948">
        <v>0.3996217488505861</v>
      </c>
      <c r="H948">
        <v>0.52823249267889261</v>
      </c>
      <c r="I948">
        <v>0.81151335971857208</v>
      </c>
      <c r="J948">
        <v>-0.2200782954299112</v>
      </c>
      <c r="K948">
        <v>0.22401121153516859</v>
      </c>
      <c r="M948">
        <f t="shared" si="43"/>
        <v>2.0683702009250715</v>
      </c>
      <c r="N948">
        <f t="shared" si="44"/>
        <v>8</v>
      </c>
    </row>
    <row r="949" spans="1:14" x14ac:dyDescent="0.35">
      <c r="A949" t="str">
        <f t="shared" si="42"/>
        <v>18097361402_2026</v>
      </c>
      <c r="B949">
        <v>18097361402</v>
      </c>
      <c r="C949">
        <v>2026</v>
      </c>
      <c r="D949">
        <v>1.566230843139149</v>
      </c>
      <c r="E949">
        <v>-0.90897830538886515</v>
      </c>
      <c r="F949">
        <v>-0.39213077293563048</v>
      </c>
      <c r="G949">
        <v>0.44515702651828798</v>
      </c>
      <c r="H949">
        <v>0.49499003084212989</v>
      </c>
      <c r="I949">
        <v>0.91506209602721444</v>
      </c>
      <c r="J949">
        <v>-0.16354698403471021</v>
      </c>
      <c r="K949">
        <v>0.17055380732040279</v>
      </c>
      <c r="M949">
        <f t="shared" si="43"/>
        <v>2.1273377414879784</v>
      </c>
      <c r="N949">
        <f t="shared" si="44"/>
        <v>8</v>
      </c>
    </row>
    <row r="950" spans="1:14" x14ac:dyDescent="0.35">
      <c r="A950" t="str">
        <f t="shared" si="42"/>
        <v>18097361402_2027</v>
      </c>
      <c r="B950">
        <v>18097361402</v>
      </c>
      <c r="C950">
        <v>2027</v>
      </c>
      <c r="D950">
        <v>1.297716502483796</v>
      </c>
      <c r="E950">
        <v>-0.80668318303202446</v>
      </c>
      <c r="F950">
        <v>-0.2484929837208166</v>
      </c>
      <c r="G950">
        <v>0.49606822089120672</v>
      </c>
      <c r="H950">
        <v>0.37997029421797018</v>
      </c>
      <c r="I950">
        <v>0.79044529887985338</v>
      </c>
      <c r="J950">
        <v>-0.1014772837322606</v>
      </c>
      <c r="K950">
        <v>0.12093287104997789</v>
      </c>
      <c r="M950">
        <f t="shared" si="43"/>
        <v>1.9284797370377025</v>
      </c>
      <c r="N950">
        <f t="shared" si="44"/>
        <v>8</v>
      </c>
    </row>
    <row r="951" spans="1:14" x14ac:dyDescent="0.35">
      <c r="A951" t="str">
        <f t="shared" si="42"/>
        <v>18097361402_2028</v>
      </c>
      <c r="B951">
        <v>18097361402</v>
      </c>
      <c r="C951">
        <v>2028</v>
      </c>
      <c r="D951">
        <v>1.203722769043853</v>
      </c>
      <c r="E951">
        <v>-0.86866665071215576</v>
      </c>
      <c r="F951">
        <v>-0.2053869686151942</v>
      </c>
      <c r="G951">
        <v>0.52265482145515718</v>
      </c>
      <c r="H951">
        <v>0.35161944376255361</v>
      </c>
      <c r="I951">
        <v>0.87648023687727705</v>
      </c>
      <c r="J951">
        <v>-2.9695981725844839E-2</v>
      </c>
      <c r="K951">
        <v>6.986115396180069E-2</v>
      </c>
      <c r="M951">
        <f t="shared" si="43"/>
        <v>1.9205888240474465</v>
      </c>
      <c r="N951">
        <f t="shared" si="44"/>
        <v>8</v>
      </c>
    </row>
    <row r="952" spans="1:14" x14ac:dyDescent="0.35">
      <c r="A952" t="str">
        <f t="shared" si="42"/>
        <v>18097361601_2024</v>
      </c>
      <c r="B952">
        <v>18097361601</v>
      </c>
      <c r="C952">
        <v>2024</v>
      </c>
      <c r="D952">
        <v>0.1873581595232357</v>
      </c>
      <c r="E952">
        <v>5.8596100927349543E-2</v>
      </c>
      <c r="F952">
        <v>-0.45533632479603692</v>
      </c>
      <c r="G952">
        <v>0.75760667851218233</v>
      </c>
      <c r="I952">
        <v>-0.66605597553575224</v>
      </c>
      <c r="J952">
        <v>0.43249849642555099</v>
      </c>
      <c r="K952">
        <v>1.2081885239350549</v>
      </c>
      <c r="M952">
        <f t="shared" si="43"/>
        <v>1.5228556589915843</v>
      </c>
      <c r="N952">
        <f t="shared" si="44"/>
        <v>7</v>
      </c>
    </row>
    <row r="953" spans="1:14" x14ac:dyDescent="0.35">
      <c r="A953" t="str">
        <f t="shared" si="42"/>
        <v>18097361601_2025</v>
      </c>
      <c r="B953">
        <v>18097361601</v>
      </c>
      <c r="C953">
        <v>2025</v>
      </c>
      <c r="D953">
        <v>0.2792648456167483</v>
      </c>
      <c r="E953">
        <v>1.9349623467448441E-2</v>
      </c>
      <c r="F953">
        <v>0.56843516165084729</v>
      </c>
      <c r="G953">
        <v>0.64433188346584036</v>
      </c>
      <c r="I953">
        <v>-0.75193747132392319</v>
      </c>
      <c r="J953">
        <v>0.44449754694269372</v>
      </c>
      <c r="K953">
        <v>1.2873064939927481</v>
      </c>
      <c r="M953">
        <f t="shared" si="43"/>
        <v>2.4912480838124029</v>
      </c>
      <c r="N953">
        <f t="shared" si="44"/>
        <v>7</v>
      </c>
    </row>
    <row r="954" spans="1:14" x14ac:dyDescent="0.35">
      <c r="A954" t="str">
        <f t="shared" si="42"/>
        <v>18097361601_2026</v>
      </c>
      <c r="B954">
        <v>18097361601</v>
      </c>
      <c r="C954">
        <v>2026</v>
      </c>
      <c r="D954">
        <v>0.35299611766262617</v>
      </c>
      <c r="E954">
        <v>-1.4179665281064751E-2</v>
      </c>
      <c r="F954">
        <v>2.395886430675386</v>
      </c>
      <c r="G954">
        <v>0.61362352363333372</v>
      </c>
      <c r="I954">
        <v>-0.78072923501261948</v>
      </c>
      <c r="J954">
        <v>0.4482321704820641</v>
      </c>
      <c r="K954">
        <v>1.3163760542408269</v>
      </c>
      <c r="M954">
        <f t="shared" si="43"/>
        <v>4.3322053964005525</v>
      </c>
      <c r="N954">
        <f t="shared" si="44"/>
        <v>7</v>
      </c>
    </row>
    <row r="955" spans="1:14" x14ac:dyDescent="0.35">
      <c r="A955" t="str">
        <f t="shared" si="42"/>
        <v>18097361601_2027</v>
      </c>
      <c r="B955">
        <v>18097361601</v>
      </c>
      <c r="C955">
        <v>2027</v>
      </c>
      <c r="D955">
        <v>0.44596645548873859</v>
      </c>
      <c r="E955">
        <v>-5.0936857010569048E-2</v>
      </c>
      <c r="F955">
        <v>4.1164003157565574</v>
      </c>
      <c r="G955">
        <v>0.50205741259651671</v>
      </c>
      <c r="I955">
        <v>-0.82497515515881792</v>
      </c>
      <c r="J955">
        <v>0.44727512549444248</v>
      </c>
      <c r="K955">
        <v>1.331076885665085</v>
      </c>
      <c r="M955">
        <f t="shared" si="43"/>
        <v>5.9668641828319533</v>
      </c>
      <c r="N955">
        <f t="shared" si="44"/>
        <v>7</v>
      </c>
    </row>
    <row r="956" spans="1:14" x14ac:dyDescent="0.35">
      <c r="A956" t="str">
        <f t="shared" si="42"/>
        <v>18097361601_2028</v>
      </c>
      <c r="B956">
        <v>18097361601</v>
      </c>
      <c r="C956">
        <v>2028</v>
      </c>
      <c r="D956">
        <v>0.49869757438190471</v>
      </c>
      <c r="E956">
        <v>-8.043843679814125E-2</v>
      </c>
      <c r="F956">
        <v>3.7836437258703062</v>
      </c>
      <c r="G956">
        <v>0.46072880848555597</v>
      </c>
      <c r="I956">
        <v>-0.85690799475646773</v>
      </c>
      <c r="J956">
        <v>0.44202530419418778</v>
      </c>
      <c r="K956">
        <v>1.2978212142502279</v>
      </c>
      <c r="M956">
        <f t="shared" si="43"/>
        <v>5.5455701956275743</v>
      </c>
      <c r="N956">
        <f t="shared" si="44"/>
        <v>7</v>
      </c>
    </row>
    <row r="957" spans="1:14" x14ac:dyDescent="0.35">
      <c r="A957" t="str">
        <f t="shared" si="42"/>
        <v>18097361602_2024</v>
      </c>
      <c r="B957">
        <v>18097361602</v>
      </c>
      <c r="C957">
        <v>2024</v>
      </c>
      <c r="D957">
        <v>-0.34798890340871902</v>
      </c>
      <c r="E957">
        <v>0.48183589227947288</v>
      </c>
      <c r="G957">
        <v>-0.50611737767737697</v>
      </c>
      <c r="J957">
        <v>0.9228773138270312</v>
      </c>
      <c r="K957">
        <v>1.2324784627312591</v>
      </c>
      <c r="M957">
        <f t="shared" si="43"/>
        <v>1.783085387751667</v>
      </c>
      <c r="N957">
        <f t="shared" si="44"/>
        <v>5</v>
      </c>
    </row>
    <row r="958" spans="1:14" x14ac:dyDescent="0.35">
      <c r="A958" t="str">
        <f t="shared" si="42"/>
        <v>18097361602_2025</v>
      </c>
      <c r="B958">
        <v>18097361602</v>
      </c>
      <c r="C958">
        <v>2025</v>
      </c>
      <c r="D958">
        <v>-0.2169241374921583</v>
      </c>
      <c r="E958">
        <v>0.92934418274060315</v>
      </c>
      <c r="G958">
        <v>-0.40932621644822731</v>
      </c>
      <c r="J958">
        <v>0.94653607119088523</v>
      </c>
      <c r="K958">
        <v>1.05630920921299</v>
      </c>
      <c r="M958">
        <f t="shared" si="43"/>
        <v>2.3059391092040924</v>
      </c>
      <c r="N958">
        <f t="shared" si="44"/>
        <v>5</v>
      </c>
    </row>
    <row r="959" spans="1:14" x14ac:dyDescent="0.35">
      <c r="A959" t="str">
        <f t="shared" si="42"/>
        <v>18097361602_2026</v>
      </c>
      <c r="B959">
        <v>18097361602</v>
      </c>
      <c r="C959">
        <v>2026</v>
      </c>
      <c r="D959">
        <v>-0.1318718767400695</v>
      </c>
      <c r="E959">
        <v>0.51261625976697733</v>
      </c>
      <c r="G959">
        <v>-0.99645294174364318</v>
      </c>
      <c r="J959">
        <v>0.96451433213760041</v>
      </c>
      <c r="K959">
        <v>0.82058815092136428</v>
      </c>
      <c r="M959">
        <f t="shared" si="43"/>
        <v>1.1693939243422293</v>
      </c>
      <c r="N959">
        <f t="shared" si="44"/>
        <v>5</v>
      </c>
    </row>
    <row r="960" spans="1:14" x14ac:dyDescent="0.35">
      <c r="A960" t="str">
        <f t="shared" si="42"/>
        <v>18097361602_2027</v>
      </c>
      <c r="B960">
        <v>18097361602</v>
      </c>
      <c r="C960">
        <v>2027</v>
      </c>
      <c r="D960">
        <v>-1.8952939570894801E-3</v>
      </c>
      <c r="E960">
        <v>0.91752111572437278</v>
      </c>
      <c r="G960">
        <v>-0.92587530645622163</v>
      </c>
      <c r="J960">
        <v>0.9808547080726816</v>
      </c>
      <c r="K960">
        <v>0.60341021871459699</v>
      </c>
      <c r="M960">
        <f t="shared" si="43"/>
        <v>1.5740154420983403</v>
      </c>
      <c r="N960">
        <f t="shared" si="44"/>
        <v>5</v>
      </c>
    </row>
    <row r="961" spans="1:14" x14ac:dyDescent="0.35">
      <c r="A961" t="str">
        <f t="shared" si="42"/>
        <v>18097361602_2028</v>
      </c>
      <c r="B961">
        <v>18097361602</v>
      </c>
      <c r="C961">
        <v>2028</v>
      </c>
      <c r="D961">
        <v>8.6184589467547659E-2</v>
      </c>
      <c r="E961">
        <v>0.53600070896968866</v>
      </c>
      <c r="G961">
        <v>-1.241553306151244</v>
      </c>
      <c r="J961">
        <v>0.99658435561699776</v>
      </c>
      <c r="K961">
        <v>0.4034743948117821</v>
      </c>
      <c r="M961">
        <f t="shared" si="43"/>
        <v>0.78069074271477223</v>
      </c>
      <c r="N961">
        <f t="shared" si="44"/>
        <v>5</v>
      </c>
    </row>
    <row r="962" spans="1:14" x14ac:dyDescent="0.35">
      <c r="A962" t="str">
        <f t="shared" si="42"/>
        <v>18097370201_2024</v>
      </c>
      <c r="B962">
        <v>18097370201</v>
      </c>
      <c r="C962">
        <v>2024</v>
      </c>
      <c r="D962">
        <v>0.69244352627914152</v>
      </c>
      <c r="E962">
        <v>-1.36029094971028</v>
      </c>
      <c r="F962">
        <v>1.46652055205612</v>
      </c>
      <c r="G962">
        <v>-0.44982943249755691</v>
      </c>
      <c r="H962">
        <v>0.117193298827309</v>
      </c>
      <c r="I962">
        <v>0.85605258798420725</v>
      </c>
      <c r="J962">
        <v>-0.37316460616389752</v>
      </c>
      <c r="K962">
        <v>0.48909809520550868</v>
      </c>
      <c r="M962">
        <f t="shared" si="43"/>
        <v>1.4380230719805518</v>
      </c>
      <c r="N962">
        <f t="shared" si="44"/>
        <v>8</v>
      </c>
    </row>
    <row r="963" spans="1:14" x14ac:dyDescent="0.35">
      <c r="A963" t="str">
        <f t="shared" ref="A963:A1026" si="45">TEXT(B963,0)&amp;"_"&amp;TEXT(C963,0)</f>
        <v>18097370201_2025</v>
      </c>
      <c r="B963">
        <v>18097370201</v>
      </c>
      <c r="C963">
        <v>2025</v>
      </c>
      <c r="D963">
        <v>0.76552689703349297</v>
      </c>
      <c r="E963">
        <v>-1.3786366994324391</v>
      </c>
      <c r="F963">
        <v>2.1494946064106362</v>
      </c>
      <c r="G963">
        <v>-0.47717695649337299</v>
      </c>
      <c r="H963">
        <v>7.1420524692439175E-2</v>
      </c>
      <c r="I963">
        <v>0.76036443837352863</v>
      </c>
      <c r="J963">
        <v>-0.35164400939017382</v>
      </c>
      <c r="K963">
        <v>0.39229442984792978</v>
      </c>
      <c r="M963">
        <f t="shared" ref="M963:M1026" si="46">SUM(D963:K963)</f>
        <v>1.9316432310420408</v>
      </c>
      <c r="N963">
        <f t="shared" ref="N963:N1026" si="47">IF(D963=0,0,1)+IF(E963=0,0,1)+IF(F963=0,0,1)+IF(G963=0,0,1)+IF(H963=0,0,1)+IF(I963=0,0,1)++IF(J963=0,0,1)++IF(K963=0,0,1)</f>
        <v>8</v>
      </c>
    </row>
    <row r="964" spans="1:14" x14ac:dyDescent="0.35">
      <c r="A964" t="str">
        <f t="shared" si="45"/>
        <v>18097370201_2026</v>
      </c>
      <c r="B964">
        <v>18097370201</v>
      </c>
      <c r="C964">
        <v>2026</v>
      </c>
      <c r="D964">
        <v>0.7316003435761802</v>
      </c>
      <c r="E964">
        <v>-1.4111311871522021</v>
      </c>
      <c r="F964">
        <v>2.729249974848956</v>
      </c>
      <c r="G964">
        <v>-0.50202479093172936</v>
      </c>
      <c r="H964">
        <v>5.6310816080453747E-2</v>
      </c>
      <c r="I964">
        <v>0.68876608907839898</v>
      </c>
      <c r="J964">
        <v>-0.33617348448492113</v>
      </c>
      <c r="K964">
        <v>0.25616880277727211</v>
      </c>
      <c r="M964">
        <f t="shared" si="46"/>
        <v>2.2127665637924085</v>
      </c>
      <c r="N964">
        <f t="shared" si="47"/>
        <v>8</v>
      </c>
    </row>
    <row r="965" spans="1:14" x14ac:dyDescent="0.35">
      <c r="A965" t="str">
        <f t="shared" si="45"/>
        <v>18097370201_2027</v>
      </c>
      <c r="B965">
        <v>18097370201</v>
      </c>
      <c r="C965">
        <v>2027</v>
      </c>
      <c r="D965">
        <v>0.74404254092887523</v>
      </c>
      <c r="E965">
        <v>-1.4307434590117061</v>
      </c>
      <c r="F965">
        <v>3.179249170369784</v>
      </c>
      <c r="G965">
        <v>-0.52212411299089567</v>
      </c>
      <c r="H965">
        <v>2.481510410634525E-2</v>
      </c>
      <c r="I965">
        <v>0.60740805716691093</v>
      </c>
      <c r="J965">
        <v>-0.32298543766100579</v>
      </c>
      <c r="K965">
        <v>0.1319315015383071</v>
      </c>
      <c r="M965">
        <f t="shared" si="46"/>
        <v>2.4115933644466154</v>
      </c>
      <c r="N965">
        <f t="shared" si="47"/>
        <v>8</v>
      </c>
    </row>
    <row r="966" spans="1:14" x14ac:dyDescent="0.35">
      <c r="A966" t="str">
        <f t="shared" si="45"/>
        <v>18097370201_2028</v>
      </c>
      <c r="B966">
        <v>18097370201</v>
      </c>
      <c r="C966">
        <v>2028</v>
      </c>
      <c r="D966">
        <v>0.70651592263219998</v>
      </c>
      <c r="E966">
        <v>-1.447946872547353</v>
      </c>
      <c r="F966">
        <v>3.6173996470878458</v>
      </c>
      <c r="G966">
        <v>-0.53676454464168966</v>
      </c>
      <c r="H966">
        <v>1.325114640373814E-2</v>
      </c>
      <c r="I966">
        <v>0.53156940157643584</v>
      </c>
      <c r="J966">
        <v>-0.31065399484767442</v>
      </c>
      <c r="K966">
        <v>2.0078514124678731E-2</v>
      </c>
      <c r="M966">
        <f t="shared" si="46"/>
        <v>2.5934492197881811</v>
      </c>
      <c r="N966">
        <f t="shared" si="47"/>
        <v>8</v>
      </c>
    </row>
    <row r="967" spans="1:14" x14ac:dyDescent="0.35">
      <c r="A967" t="str">
        <f t="shared" si="45"/>
        <v>18097370203_2024</v>
      </c>
      <c r="B967">
        <v>18097370203</v>
      </c>
      <c r="C967">
        <v>2024</v>
      </c>
      <c r="D967">
        <v>-0.25701379156361143</v>
      </c>
      <c r="E967">
        <v>-0.1860047718614726</v>
      </c>
      <c r="F967">
        <v>1.2259883647040171</v>
      </c>
      <c r="I967">
        <v>-0.2799695125489543</v>
      </c>
      <c r="J967">
        <v>-1.1383796116818581</v>
      </c>
      <c r="M967">
        <f t="shared" si="46"/>
        <v>-0.63537932295187938</v>
      </c>
      <c r="N967">
        <f t="shared" si="47"/>
        <v>5</v>
      </c>
    </row>
    <row r="968" spans="1:14" x14ac:dyDescent="0.35">
      <c r="A968" t="str">
        <f t="shared" si="45"/>
        <v>18097370203_2025</v>
      </c>
      <c r="B968">
        <v>18097370203</v>
      </c>
      <c r="C968">
        <v>2025</v>
      </c>
      <c r="D968">
        <v>-0.29566850333687222</v>
      </c>
      <c r="E968">
        <v>-0.18554839656182401</v>
      </c>
      <c r="F968">
        <v>1.305720385256891</v>
      </c>
      <c r="I968">
        <v>-0.42468996665383391</v>
      </c>
      <c r="J968">
        <v>-1.1526670684342311</v>
      </c>
      <c r="M968">
        <f t="shared" si="46"/>
        <v>-0.75285354972987006</v>
      </c>
      <c r="N968">
        <f t="shared" si="47"/>
        <v>5</v>
      </c>
    </row>
    <row r="969" spans="1:14" x14ac:dyDescent="0.35">
      <c r="A969" t="str">
        <f t="shared" si="45"/>
        <v>18097370203_2026</v>
      </c>
      <c r="B969">
        <v>18097370203</v>
      </c>
      <c r="C969">
        <v>2026</v>
      </c>
      <c r="D969">
        <v>-0.32061082634257038</v>
      </c>
      <c r="E969">
        <v>-2.0526452513810679E-2</v>
      </c>
      <c r="F969">
        <v>1.338424923537356</v>
      </c>
      <c r="I969">
        <v>-0.53235939906730334</v>
      </c>
      <c r="J969">
        <v>-1.176121687243985</v>
      </c>
      <c r="M969">
        <f t="shared" si="46"/>
        <v>-0.71119344163031351</v>
      </c>
      <c r="N969">
        <f t="shared" si="47"/>
        <v>5</v>
      </c>
    </row>
    <row r="970" spans="1:14" x14ac:dyDescent="0.35">
      <c r="A970" t="str">
        <f t="shared" si="45"/>
        <v>18097370203_2027</v>
      </c>
      <c r="B970">
        <v>18097370203</v>
      </c>
      <c r="C970">
        <v>2027</v>
      </c>
      <c r="D970">
        <v>-0.34607266307809281</v>
      </c>
      <c r="E970">
        <v>-1.7332430801562011E-2</v>
      </c>
      <c r="F970">
        <v>1.336043441293516</v>
      </c>
      <c r="I970">
        <v>-0.64907391427142092</v>
      </c>
      <c r="J970">
        <v>-1.2076296148116079</v>
      </c>
      <c r="M970">
        <f t="shared" si="46"/>
        <v>-0.88406518166916759</v>
      </c>
      <c r="N970">
        <f t="shared" si="47"/>
        <v>5</v>
      </c>
    </row>
    <row r="971" spans="1:14" x14ac:dyDescent="0.35">
      <c r="A971" t="str">
        <f t="shared" si="45"/>
        <v>18097370203_2028</v>
      </c>
      <c r="B971">
        <v>18097370203</v>
      </c>
      <c r="C971">
        <v>2028</v>
      </c>
      <c r="D971">
        <v>-0.36597721335338751</v>
      </c>
      <c r="E971">
        <v>0.12999833125439511</v>
      </c>
      <c r="F971">
        <v>1.3550320502308399</v>
      </c>
      <c r="I971">
        <v>-0.75170913371641079</v>
      </c>
      <c r="J971">
        <v>-1.2468569565879379</v>
      </c>
      <c r="M971">
        <f t="shared" si="46"/>
        <v>-0.8795129221725011</v>
      </c>
      <c r="N971">
        <f t="shared" si="47"/>
        <v>5</v>
      </c>
    </row>
    <row r="972" spans="1:14" x14ac:dyDescent="0.35">
      <c r="A972" t="str">
        <f t="shared" si="45"/>
        <v>18097370204_2024</v>
      </c>
      <c r="B972">
        <v>18097370204</v>
      </c>
      <c r="C972">
        <v>2024</v>
      </c>
      <c r="D972">
        <v>0.61061690431632432</v>
      </c>
      <c r="E972">
        <v>-1.321338892694069</v>
      </c>
      <c r="F972">
        <v>-2.7903817264715341E-2</v>
      </c>
      <c r="I972">
        <v>1.6097456708648861</v>
      </c>
      <c r="J972">
        <v>-0.37063530493785202</v>
      </c>
      <c r="K972">
        <v>0.49069317764286963</v>
      </c>
      <c r="M972">
        <f t="shared" si="46"/>
        <v>0.99117773792744357</v>
      </c>
      <c r="N972">
        <f t="shared" si="47"/>
        <v>6</v>
      </c>
    </row>
    <row r="973" spans="1:14" x14ac:dyDescent="0.35">
      <c r="A973" t="str">
        <f t="shared" si="45"/>
        <v>18097370204_2025</v>
      </c>
      <c r="B973">
        <v>18097370204</v>
      </c>
      <c r="C973">
        <v>2025</v>
      </c>
      <c r="D973">
        <v>0.68276823399069064</v>
      </c>
      <c r="E973">
        <v>-1.2084933985353259</v>
      </c>
      <c r="F973">
        <v>-0.33547869734973818</v>
      </c>
      <c r="I973">
        <v>1.4692079767059349</v>
      </c>
      <c r="J973">
        <v>-0.34899593402882823</v>
      </c>
      <c r="K973">
        <v>0.39368624248298562</v>
      </c>
      <c r="M973">
        <f t="shared" si="46"/>
        <v>0.65269442326571903</v>
      </c>
      <c r="N973">
        <f t="shared" si="47"/>
        <v>6</v>
      </c>
    </row>
    <row r="974" spans="1:14" x14ac:dyDescent="0.35">
      <c r="A974" t="str">
        <f t="shared" si="45"/>
        <v>18097370204_2026</v>
      </c>
      <c r="B974">
        <v>18097370204</v>
      </c>
      <c r="C974">
        <v>2026</v>
      </c>
      <c r="D974">
        <v>0.65200271768712226</v>
      </c>
      <c r="E974">
        <v>-1.279412638411549</v>
      </c>
      <c r="F974">
        <v>-0.1812245001809713</v>
      </c>
      <c r="I974">
        <v>1.4573270709602111</v>
      </c>
      <c r="J974">
        <v>-0.33338590127574019</v>
      </c>
      <c r="K974">
        <v>0.25727522663862101</v>
      </c>
      <c r="M974">
        <f t="shared" si="46"/>
        <v>0.57258197541769396</v>
      </c>
      <c r="N974">
        <f t="shared" si="47"/>
        <v>6</v>
      </c>
    </row>
    <row r="975" spans="1:14" x14ac:dyDescent="0.35">
      <c r="A975" t="str">
        <f t="shared" si="45"/>
        <v>18097370204_2027</v>
      </c>
      <c r="B975">
        <v>18097370204</v>
      </c>
      <c r="C975">
        <v>2027</v>
      </c>
      <c r="D975">
        <v>0.66660167088937528</v>
      </c>
      <c r="E975">
        <v>-1.1858801946430739</v>
      </c>
      <c r="F975">
        <v>-0.38285126550992471</v>
      </c>
      <c r="I975">
        <v>1.357972668151378</v>
      </c>
      <c r="J975">
        <v>-0.32003557751420297</v>
      </c>
      <c r="K975">
        <v>0.13273979215458939</v>
      </c>
      <c r="M975">
        <f t="shared" si="46"/>
        <v>0.2685470935281411</v>
      </c>
      <c r="N975">
        <f t="shared" si="47"/>
        <v>6</v>
      </c>
    </row>
    <row r="976" spans="1:14" x14ac:dyDescent="0.35">
      <c r="A976" t="str">
        <f t="shared" si="45"/>
        <v>18097370204_2028</v>
      </c>
      <c r="B976">
        <v>18097370204</v>
      </c>
      <c r="C976">
        <v>2028</v>
      </c>
      <c r="D976">
        <v>0.63322361960555296</v>
      </c>
      <c r="E976">
        <v>-1.229739391869177</v>
      </c>
      <c r="F976">
        <v>-0.28959766725434588</v>
      </c>
      <c r="I976">
        <v>1.312021746307535</v>
      </c>
      <c r="J976">
        <v>-0.30751408716218021</v>
      </c>
      <c r="K976">
        <v>2.059371871970363E-2</v>
      </c>
      <c r="M976">
        <f t="shared" si="46"/>
        <v>0.13898793834708847</v>
      </c>
      <c r="N976">
        <f t="shared" si="47"/>
        <v>6</v>
      </c>
    </row>
    <row r="977" spans="1:14" x14ac:dyDescent="0.35">
      <c r="A977" t="str">
        <f t="shared" si="45"/>
        <v>18097370303_2024</v>
      </c>
      <c r="B977">
        <v>18097370303</v>
      </c>
      <c r="C977">
        <v>2024</v>
      </c>
      <c r="D977">
        <v>-1.648317054559669</v>
      </c>
      <c r="E977">
        <v>-0.72948836441890519</v>
      </c>
      <c r="F977">
        <v>-0.77549509816865347</v>
      </c>
      <c r="G977">
        <v>1.359028034192896</v>
      </c>
      <c r="I977">
        <v>0.1170243125203318</v>
      </c>
      <c r="J977">
        <v>-1.012628798830989</v>
      </c>
      <c r="M977">
        <f t="shared" si="46"/>
        <v>-2.6898769692649886</v>
      </c>
      <c r="N977">
        <f t="shared" si="47"/>
        <v>6</v>
      </c>
    </row>
    <row r="978" spans="1:14" x14ac:dyDescent="0.35">
      <c r="A978" t="str">
        <f t="shared" si="45"/>
        <v>18097370303_2025</v>
      </c>
      <c r="B978">
        <v>18097370303</v>
      </c>
      <c r="C978">
        <v>2025</v>
      </c>
      <c r="D978">
        <v>-1.6245014705655361</v>
      </c>
      <c r="E978">
        <v>-0.73259154580472019</v>
      </c>
      <c r="F978">
        <v>-0.67772617980844507</v>
      </c>
      <c r="G978">
        <v>0.8594236724000226</v>
      </c>
      <c r="I978">
        <v>1.2258976717639369E-2</v>
      </c>
      <c r="J978">
        <v>-1.022462820247688</v>
      </c>
      <c r="M978">
        <f t="shared" si="46"/>
        <v>-3.1855993673087277</v>
      </c>
      <c r="N978">
        <f t="shared" si="47"/>
        <v>6</v>
      </c>
    </row>
    <row r="979" spans="1:14" x14ac:dyDescent="0.35">
      <c r="A979" t="str">
        <f t="shared" si="45"/>
        <v>18097370303_2026</v>
      </c>
      <c r="B979">
        <v>18097370303</v>
      </c>
      <c r="C979">
        <v>2026</v>
      </c>
      <c r="D979">
        <v>-1.57475274674914</v>
      </c>
      <c r="E979">
        <v>-0.77811169992623075</v>
      </c>
      <c r="F979">
        <v>-0.71462211587851832</v>
      </c>
      <c r="G979">
        <v>1.5222340803849761</v>
      </c>
      <c r="I979">
        <v>-0.14695515970300871</v>
      </c>
      <c r="J979">
        <v>-1.0419409998334761</v>
      </c>
      <c r="M979">
        <f t="shared" si="46"/>
        <v>-2.7341486417053975</v>
      </c>
      <c r="N979">
        <f t="shared" si="47"/>
        <v>6</v>
      </c>
    </row>
    <row r="980" spans="1:14" x14ac:dyDescent="0.35">
      <c r="A980" t="str">
        <f t="shared" si="45"/>
        <v>18097370303_2027</v>
      </c>
      <c r="B980">
        <v>18097370303</v>
      </c>
      <c r="C980">
        <v>2027</v>
      </c>
      <c r="D980">
        <v>-1.515718103816426</v>
      </c>
      <c r="E980">
        <v>-0.80423232330873984</v>
      </c>
      <c r="F980">
        <v>-0.64387800107220083</v>
      </c>
      <c r="G980">
        <v>1.0909341843691891</v>
      </c>
      <c r="I980">
        <v>-0.26568954717822202</v>
      </c>
      <c r="J980">
        <v>-1.0690768578688441</v>
      </c>
      <c r="M980">
        <f t="shared" si="46"/>
        <v>-3.2076606488752439</v>
      </c>
      <c r="N980">
        <f t="shared" si="47"/>
        <v>6</v>
      </c>
    </row>
    <row r="981" spans="1:14" x14ac:dyDescent="0.35">
      <c r="A981" t="str">
        <f t="shared" si="45"/>
        <v>18097370303_2028</v>
      </c>
      <c r="B981">
        <v>18097370303</v>
      </c>
      <c r="C981">
        <v>2028</v>
      </c>
      <c r="D981">
        <v>-1.4422937509199729</v>
      </c>
      <c r="E981">
        <v>-0.83057387024007989</v>
      </c>
      <c r="F981">
        <v>-0.6515863080654376</v>
      </c>
      <c r="G981">
        <v>1.626321088033049</v>
      </c>
      <c r="I981">
        <v>-0.39906957589550529</v>
      </c>
      <c r="J981">
        <v>-1.103604512549454</v>
      </c>
      <c r="M981">
        <f t="shared" si="46"/>
        <v>-2.8008069296374005</v>
      </c>
      <c r="N981">
        <f t="shared" si="47"/>
        <v>6</v>
      </c>
    </row>
    <row r="982" spans="1:14" x14ac:dyDescent="0.35">
      <c r="A982" t="str">
        <f t="shared" si="45"/>
        <v>18097370304_2024</v>
      </c>
      <c r="B982">
        <v>18097370304</v>
      </c>
      <c r="C982">
        <v>2024</v>
      </c>
      <c r="D982">
        <v>-0.63197879786410882</v>
      </c>
      <c r="E982">
        <v>-4.5692459509444859E-2</v>
      </c>
      <c r="F982">
        <v>-1.1514040241360539</v>
      </c>
      <c r="G982">
        <v>0.75480831841404183</v>
      </c>
      <c r="I982">
        <v>0.57050832915740302</v>
      </c>
      <c r="J982">
        <v>-0.37063530493785202</v>
      </c>
      <c r="K982">
        <v>0.49069317764286963</v>
      </c>
      <c r="M982">
        <f t="shared" si="46"/>
        <v>-0.38370076123314506</v>
      </c>
      <c r="N982">
        <f t="shared" si="47"/>
        <v>7</v>
      </c>
    </row>
    <row r="983" spans="1:14" x14ac:dyDescent="0.35">
      <c r="A983" t="str">
        <f t="shared" si="45"/>
        <v>18097370304_2025</v>
      </c>
      <c r="B983">
        <v>18097370304</v>
      </c>
      <c r="C983">
        <v>2025</v>
      </c>
      <c r="D983">
        <v>-0.58229887022968529</v>
      </c>
      <c r="E983">
        <v>-0.47110408319545299</v>
      </c>
      <c r="F983">
        <v>-1.0290140618742649</v>
      </c>
      <c r="G983">
        <v>0.5555356623802653</v>
      </c>
      <c r="I983">
        <v>0.55665692486043727</v>
      </c>
      <c r="J983">
        <v>-0.34899593402882823</v>
      </c>
      <c r="K983">
        <v>0.39368624248298562</v>
      </c>
      <c r="M983">
        <f t="shared" si="46"/>
        <v>-0.92553411960454324</v>
      </c>
      <c r="N983">
        <f t="shared" si="47"/>
        <v>7</v>
      </c>
    </row>
    <row r="984" spans="1:14" x14ac:dyDescent="0.35">
      <c r="A984" t="str">
        <f t="shared" si="45"/>
        <v>18097370304_2026</v>
      </c>
      <c r="B984">
        <v>18097370304</v>
      </c>
      <c r="C984">
        <v>2026</v>
      </c>
      <c r="D984">
        <v>-0.56765854009574435</v>
      </c>
      <c r="E984">
        <v>-0.2799047154763219</v>
      </c>
      <c r="F984">
        <v>-1.062188230294159</v>
      </c>
      <c r="G984">
        <v>0.70791235632281246</v>
      </c>
      <c r="I984">
        <v>0.48915005563056629</v>
      </c>
      <c r="J984">
        <v>-0.33338590127574019</v>
      </c>
      <c r="K984">
        <v>0.25727522663862101</v>
      </c>
      <c r="M984">
        <f t="shared" si="46"/>
        <v>-0.78879974854996571</v>
      </c>
      <c r="N984">
        <f t="shared" si="47"/>
        <v>7</v>
      </c>
    </row>
    <row r="985" spans="1:14" x14ac:dyDescent="0.35">
      <c r="A985" t="str">
        <f t="shared" si="45"/>
        <v>18097370304_2027</v>
      </c>
      <c r="B985">
        <v>18097370304</v>
      </c>
      <c r="C985">
        <v>2027</v>
      </c>
      <c r="D985">
        <v>-0.52603982026776885</v>
      </c>
      <c r="E985">
        <v>-0.62619679493887825</v>
      </c>
      <c r="F985">
        <v>-0.96756368975222318</v>
      </c>
      <c r="G985">
        <v>0.54700091789810235</v>
      </c>
      <c r="I985">
        <v>0.46145739834266042</v>
      </c>
      <c r="J985">
        <v>-0.32003557751420297</v>
      </c>
      <c r="K985">
        <v>0.13273979215458939</v>
      </c>
      <c r="M985">
        <f t="shared" si="46"/>
        <v>-1.2986377740777211</v>
      </c>
      <c r="N985">
        <f t="shared" si="47"/>
        <v>7</v>
      </c>
    </row>
    <row r="986" spans="1:14" x14ac:dyDescent="0.35">
      <c r="A986" t="str">
        <f t="shared" si="45"/>
        <v>18097370304_2028</v>
      </c>
      <c r="B986">
        <v>18097370304</v>
      </c>
      <c r="C986">
        <v>2028</v>
      </c>
      <c r="D986">
        <v>-0.49942521274104351</v>
      </c>
      <c r="E986">
        <v>-0.48259620053533447</v>
      </c>
      <c r="F986">
        <v>-0.96050616034297398</v>
      </c>
      <c r="G986">
        <v>0.63756013553104751</v>
      </c>
      <c r="I986">
        <v>0.40489804446957262</v>
      </c>
      <c r="J986">
        <v>-0.30751408716218021</v>
      </c>
      <c r="K986">
        <v>2.059371871970363E-2</v>
      </c>
      <c r="M986">
        <f t="shared" si="46"/>
        <v>-1.1869897620612087</v>
      </c>
      <c r="N986">
        <f t="shared" si="47"/>
        <v>7</v>
      </c>
    </row>
    <row r="987" spans="1:14" x14ac:dyDescent="0.35">
      <c r="A987" t="str">
        <f t="shared" si="45"/>
        <v>18097370305_2024</v>
      </c>
      <c r="B987">
        <v>18097370305</v>
      </c>
      <c r="C987">
        <v>2024</v>
      </c>
      <c r="D987">
        <v>-3.8679335058850239E-2</v>
      </c>
      <c r="F987">
        <v>2.208099196245366</v>
      </c>
      <c r="J987">
        <v>-0.37063530493785202</v>
      </c>
      <c r="K987">
        <v>0.49069317761873249</v>
      </c>
      <c r="M987">
        <f t="shared" si="46"/>
        <v>2.2894777338673964</v>
      </c>
      <c r="N987">
        <f t="shared" si="47"/>
        <v>4</v>
      </c>
    </row>
    <row r="988" spans="1:14" x14ac:dyDescent="0.35">
      <c r="A988" t="str">
        <f t="shared" si="45"/>
        <v>18097370305_2025</v>
      </c>
      <c r="B988">
        <v>18097370305</v>
      </c>
      <c r="C988">
        <v>2025</v>
      </c>
      <c r="D988">
        <v>2.172993113696774E-2</v>
      </c>
      <c r="F988">
        <v>2.1853873376500959</v>
      </c>
      <c r="J988">
        <v>-0.34899593402882823</v>
      </c>
      <c r="K988">
        <v>0.39368624242603772</v>
      </c>
      <c r="M988">
        <f t="shared" si="46"/>
        <v>2.2518075771842732</v>
      </c>
      <c r="N988">
        <f t="shared" si="47"/>
        <v>4</v>
      </c>
    </row>
    <row r="989" spans="1:14" x14ac:dyDescent="0.35">
      <c r="A989" t="str">
        <f t="shared" si="45"/>
        <v>18097370305_2026</v>
      </c>
      <c r="B989">
        <v>18097370305</v>
      </c>
      <c r="C989">
        <v>2026</v>
      </c>
      <c r="D989">
        <v>1.469044359448533E-2</v>
      </c>
      <c r="F989">
        <v>2.074912082530358</v>
      </c>
      <c r="J989">
        <v>-0.33338590127574019</v>
      </c>
      <c r="K989">
        <v>0.25727522655452739</v>
      </c>
      <c r="M989">
        <f t="shared" si="46"/>
        <v>2.0134918514036309</v>
      </c>
      <c r="N989">
        <f t="shared" si="47"/>
        <v>4</v>
      </c>
    </row>
    <row r="990" spans="1:14" x14ac:dyDescent="0.35">
      <c r="A990" t="str">
        <f t="shared" si="45"/>
        <v>18097370305_2027</v>
      </c>
      <c r="B990">
        <v>18097370305</v>
      </c>
      <c r="C990">
        <v>2027</v>
      </c>
      <c r="D990">
        <v>4.3408073353149931E-2</v>
      </c>
      <c r="F990">
        <v>1.9464158437235961</v>
      </c>
      <c r="J990">
        <v>-0.32003557751420297</v>
      </c>
      <c r="K990">
        <v>0.1327397920543813</v>
      </c>
      <c r="M990">
        <f t="shared" si="46"/>
        <v>1.8025281316169244</v>
      </c>
      <c r="N990">
        <f t="shared" si="47"/>
        <v>4</v>
      </c>
    </row>
    <row r="991" spans="1:14" x14ac:dyDescent="0.35">
      <c r="A991" t="str">
        <f t="shared" si="45"/>
        <v>18097370305_2028</v>
      </c>
      <c r="B991">
        <v>18097370305</v>
      </c>
      <c r="C991">
        <v>2028</v>
      </c>
      <c r="D991">
        <v>4.137812030628276E-2</v>
      </c>
      <c r="F991">
        <v>1.8453446685075361</v>
      </c>
      <c r="J991">
        <v>-0.30751408716218021</v>
      </c>
      <c r="K991">
        <v>2.0593718616771839E-2</v>
      </c>
      <c r="M991">
        <f t="shared" si="46"/>
        <v>1.5998024202684107</v>
      </c>
      <c r="N991">
        <f t="shared" si="47"/>
        <v>4</v>
      </c>
    </row>
    <row r="992" spans="1:14" x14ac:dyDescent="0.35">
      <c r="A992" t="str">
        <f t="shared" si="45"/>
        <v>18097370306_2024</v>
      </c>
      <c r="B992">
        <v>18097370306</v>
      </c>
      <c r="C992">
        <v>2024</v>
      </c>
      <c r="D992">
        <v>1.0025945133072669</v>
      </c>
      <c r="E992">
        <v>-0.44230929991366058</v>
      </c>
      <c r="F992">
        <v>-1.402371005906887</v>
      </c>
      <c r="I992">
        <v>0.95034075431640763</v>
      </c>
      <c r="J992">
        <v>-0.37063530493785202</v>
      </c>
      <c r="K992">
        <v>0.49069317760914849</v>
      </c>
      <c r="M992">
        <f t="shared" si="46"/>
        <v>0.22831283447442335</v>
      </c>
      <c r="N992">
        <f t="shared" si="47"/>
        <v>6</v>
      </c>
    </row>
    <row r="993" spans="1:14" x14ac:dyDescent="0.35">
      <c r="A993" t="str">
        <f t="shared" si="45"/>
        <v>18097370306_2025</v>
      </c>
      <c r="B993">
        <v>18097370306</v>
      </c>
      <c r="C993">
        <v>2025</v>
      </c>
      <c r="D993">
        <v>1.081834526510447</v>
      </c>
      <c r="E993">
        <v>-0.37654578284985668</v>
      </c>
      <c r="F993">
        <v>-1.3287669467845631</v>
      </c>
      <c r="I993">
        <v>0.90031765822071363</v>
      </c>
      <c r="J993">
        <v>-0.34899593402882823</v>
      </c>
      <c r="K993">
        <v>0.39368624240148792</v>
      </c>
      <c r="M993">
        <f t="shared" si="46"/>
        <v>0.3215297634694006</v>
      </c>
      <c r="N993">
        <f t="shared" si="47"/>
        <v>6</v>
      </c>
    </row>
    <row r="994" spans="1:14" x14ac:dyDescent="0.35">
      <c r="A994" t="str">
        <f t="shared" si="45"/>
        <v>18097370306_2026</v>
      </c>
      <c r="B994">
        <v>18097370306</v>
      </c>
      <c r="C994">
        <v>2026</v>
      </c>
      <c r="D994">
        <v>1.036745696632096</v>
      </c>
      <c r="E994">
        <v>-0.29019257030249029</v>
      </c>
      <c r="F994">
        <v>-1.2945893672135871</v>
      </c>
      <c r="I994">
        <v>0.70955367597937913</v>
      </c>
      <c r="J994">
        <v>-0.33338590127574019</v>
      </c>
      <c r="K994">
        <v>0.2572752265147924</v>
      </c>
      <c r="M994">
        <f t="shared" si="46"/>
        <v>8.5406760334449938E-2</v>
      </c>
      <c r="N994">
        <f t="shared" si="47"/>
        <v>6</v>
      </c>
    </row>
    <row r="995" spans="1:14" x14ac:dyDescent="0.35">
      <c r="A995" t="str">
        <f t="shared" si="45"/>
        <v>18097370306_2027</v>
      </c>
      <c r="B995">
        <v>18097370306</v>
      </c>
      <c r="C995">
        <v>2027</v>
      </c>
      <c r="D995">
        <v>1.042821293114601</v>
      </c>
      <c r="E995">
        <v>-0.22711912802310261</v>
      </c>
      <c r="F995">
        <v>-1.2056614574826789</v>
      </c>
      <c r="I995">
        <v>0.61849309231068295</v>
      </c>
      <c r="J995">
        <v>-0.32003557751420297</v>
      </c>
      <c r="K995">
        <v>0.13273979200196201</v>
      </c>
      <c r="M995">
        <f t="shared" si="46"/>
        <v>4.1238014407261436E-2</v>
      </c>
      <c r="N995">
        <f t="shared" si="47"/>
        <v>6</v>
      </c>
    </row>
    <row r="996" spans="1:14" x14ac:dyDescent="0.35">
      <c r="A996" t="str">
        <f t="shared" si="45"/>
        <v>18097370306_2028</v>
      </c>
      <c r="B996">
        <v>18097370306</v>
      </c>
      <c r="C996">
        <v>2028</v>
      </c>
      <c r="D996">
        <v>0.99051852213402902</v>
      </c>
      <c r="E996">
        <v>-0.14894815081048909</v>
      </c>
      <c r="F996">
        <v>-1.158681762218835</v>
      </c>
      <c r="I996">
        <v>0.4642108913933794</v>
      </c>
      <c r="J996">
        <v>-0.30751408716218021</v>
      </c>
      <c r="K996">
        <v>2.0593718556440641E-2</v>
      </c>
      <c r="M996">
        <f t="shared" si="46"/>
        <v>-0.13982086810765521</v>
      </c>
      <c r="N996">
        <f t="shared" si="47"/>
        <v>6</v>
      </c>
    </row>
    <row r="997" spans="1:14" x14ac:dyDescent="0.35">
      <c r="A997" t="str">
        <f t="shared" si="45"/>
        <v>18097380101_2024</v>
      </c>
      <c r="B997">
        <v>18097380101</v>
      </c>
      <c r="C997">
        <v>2024</v>
      </c>
      <c r="D997">
        <v>0.79009515263497265</v>
      </c>
      <c r="E997">
        <v>1.725523134293314E-2</v>
      </c>
      <c r="F997">
        <v>-1.3118604538710219</v>
      </c>
      <c r="G997">
        <v>2.130026141168623</v>
      </c>
      <c r="I997">
        <v>0.64375108249540247</v>
      </c>
      <c r="J997">
        <v>0.40764853652459587</v>
      </c>
      <c r="M997">
        <f t="shared" si="46"/>
        <v>2.6769156902955054</v>
      </c>
      <c r="N997">
        <f t="shared" si="47"/>
        <v>6</v>
      </c>
    </row>
    <row r="998" spans="1:14" x14ac:dyDescent="0.35">
      <c r="A998" t="str">
        <f t="shared" si="45"/>
        <v>18097380101_2025</v>
      </c>
      <c r="B998">
        <v>18097380101</v>
      </c>
      <c r="C998">
        <v>2025</v>
      </c>
      <c r="D998">
        <v>1.0162795051268589</v>
      </c>
      <c r="E998">
        <v>-6.5550532499190602E-3</v>
      </c>
      <c r="F998">
        <v>-1.354463307975567</v>
      </c>
      <c r="G998">
        <v>2.015612710254326</v>
      </c>
      <c r="I998">
        <v>0.5486000154988343</v>
      </c>
      <c r="J998">
        <v>0.39418944168006981</v>
      </c>
      <c r="M998">
        <f t="shared" si="46"/>
        <v>2.6136633113346028</v>
      </c>
      <c r="N998">
        <f t="shared" si="47"/>
        <v>6</v>
      </c>
    </row>
    <row r="999" spans="1:14" x14ac:dyDescent="0.35">
      <c r="A999" t="str">
        <f t="shared" si="45"/>
        <v>18097380101_2026</v>
      </c>
      <c r="B999">
        <v>18097380101</v>
      </c>
      <c r="C999">
        <v>2026</v>
      </c>
      <c r="D999">
        <v>1.073855291324046</v>
      </c>
      <c r="E999">
        <v>-4.4852208598609E-2</v>
      </c>
      <c r="F999">
        <v>-1.2740595079777031</v>
      </c>
      <c r="G999">
        <v>2.1138222498866308</v>
      </c>
      <c r="I999">
        <v>0.28552609096479159</v>
      </c>
      <c r="J999">
        <v>0.37248435755151449</v>
      </c>
      <c r="M999">
        <f t="shared" si="46"/>
        <v>2.5267762731506709</v>
      </c>
      <c r="N999">
        <f t="shared" si="47"/>
        <v>6</v>
      </c>
    </row>
    <row r="1000" spans="1:14" x14ac:dyDescent="0.35">
      <c r="A1000" t="str">
        <f t="shared" si="45"/>
        <v>18097380101_2027</v>
      </c>
      <c r="B1000">
        <v>18097380101</v>
      </c>
      <c r="C1000">
        <v>2027</v>
      </c>
      <c r="D1000">
        <v>1.22241334091692</v>
      </c>
      <c r="E1000">
        <v>-7.5890802041266053E-2</v>
      </c>
      <c r="F1000">
        <v>-1.231654111156961</v>
      </c>
      <c r="G1000">
        <v>1.9776761369196441</v>
      </c>
      <c r="I1000">
        <v>0.185189263500531</v>
      </c>
      <c r="J1000">
        <v>0.3425202607280014</v>
      </c>
      <c r="M1000">
        <f t="shared" si="46"/>
        <v>2.4202540888668693</v>
      </c>
      <c r="N1000">
        <f t="shared" si="47"/>
        <v>6</v>
      </c>
    </row>
    <row r="1001" spans="1:14" x14ac:dyDescent="0.35">
      <c r="A1001" t="str">
        <f t="shared" si="45"/>
        <v>18097380101_2028</v>
      </c>
      <c r="B1001">
        <v>18097380101</v>
      </c>
      <c r="C1001">
        <v>2028</v>
      </c>
      <c r="D1001">
        <v>1.2781515084295181</v>
      </c>
      <c r="E1001">
        <v>-0.1048639185848495</v>
      </c>
      <c r="F1001">
        <v>-1.1661386300497669</v>
      </c>
      <c r="G1001">
        <v>2.018587002298561</v>
      </c>
      <c r="I1001">
        <v>-5.4138098813136047E-2</v>
      </c>
      <c r="J1001">
        <v>0.30318465547451628</v>
      </c>
      <c r="M1001">
        <f t="shared" si="46"/>
        <v>2.2747825187548427</v>
      </c>
      <c r="N1001">
        <f t="shared" si="47"/>
        <v>6</v>
      </c>
    </row>
    <row r="1002" spans="1:14" x14ac:dyDescent="0.35">
      <c r="A1002" t="str">
        <f t="shared" si="45"/>
        <v>18097380102_2024</v>
      </c>
      <c r="B1002">
        <v>18097380102</v>
      </c>
      <c r="C1002">
        <v>2024</v>
      </c>
      <c r="D1002">
        <v>-0.71168348600658127</v>
      </c>
      <c r="F1002">
        <v>-1.305488652956226</v>
      </c>
      <c r="I1002">
        <v>-0.71589688148195896</v>
      </c>
      <c r="J1002">
        <v>0.40764853652459587</v>
      </c>
      <c r="M1002">
        <f t="shared" si="46"/>
        <v>-2.32542048392017</v>
      </c>
      <c r="N1002">
        <f t="shared" si="47"/>
        <v>4</v>
      </c>
    </row>
    <row r="1003" spans="1:14" x14ac:dyDescent="0.35">
      <c r="A1003" t="str">
        <f t="shared" si="45"/>
        <v>18097380102_2025</v>
      </c>
      <c r="B1003">
        <v>18097380102</v>
      </c>
      <c r="C1003">
        <v>2025</v>
      </c>
      <c r="D1003">
        <v>-0.60067846715109119</v>
      </c>
      <c r="F1003">
        <v>-1.2873548994231929</v>
      </c>
      <c r="I1003">
        <v>-0.74826379916343089</v>
      </c>
      <c r="J1003">
        <v>0.39418944168006981</v>
      </c>
      <c r="M1003">
        <f t="shared" si="46"/>
        <v>-2.2421077240576452</v>
      </c>
      <c r="N1003">
        <f t="shared" si="47"/>
        <v>4</v>
      </c>
    </row>
    <row r="1004" spans="1:14" x14ac:dyDescent="0.35">
      <c r="A1004" t="str">
        <f t="shared" si="45"/>
        <v>18097380102_2026</v>
      </c>
      <c r="B1004">
        <v>18097380102</v>
      </c>
      <c r="C1004">
        <v>2026</v>
      </c>
      <c r="D1004">
        <v>-0.54362300255259166</v>
      </c>
      <c r="F1004">
        <v>-1.244865188409868</v>
      </c>
      <c r="I1004">
        <v>-0.96740075806482562</v>
      </c>
      <c r="J1004">
        <v>0.37248435755151449</v>
      </c>
      <c r="M1004">
        <f t="shared" si="46"/>
        <v>-2.3834045914757707</v>
      </c>
      <c r="N1004">
        <f t="shared" si="47"/>
        <v>4</v>
      </c>
    </row>
    <row r="1005" spans="1:14" x14ac:dyDescent="0.35">
      <c r="A1005" t="str">
        <f t="shared" si="45"/>
        <v>18097380102_2027</v>
      </c>
      <c r="B1005">
        <v>18097380102</v>
      </c>
      <c r="C1005">
        <v>2027</v>
      </c>
      <c r="D1005">
        <v>-0.44288498634591861</v>
      </c>
      <c r="F1005">
        <v>-1.184136473856567</v>
      </c>
      <c r="I1005">
        <v>-0.99646876401995244</v>
      </c>
      <c r="J1005">
        <v>0.3425202607280014</v>
      </c>
      <c r="M1005">
        <f t="shared" si="46"/>
        <v>-2.2809699634944365</v>
      </c>
      <c r="N1005">
        <f t="shared" si="47"/>
        <v>4</v>
      </c>
    </row>
    <row r="1006" spans="1:14" x14ac:dyDescent="0.35">
      <c r="A1006" t="str">
        <f t="shared" si="45"/>
        <v>18097380102_2028</v>
      </c>
      <c r="B1006">
        <v>18097380102</v>
      </c>
      <c r="C1006">
        <v>2028</v>
      </c>
      <c r="D1006">
        <v>-0.37171999767897829</v>
      </c>
      <c r="F1006">
        <v>-1.136080985314011</v>
      </c>
      <c r="I1006">
        <v>-1.190049704844359</v>
      </c>
      <c r="J1006">
        <v>0.30318465547451628</v>
      </c>
      <c r="M1006">
        <f t="shared" si="46"/>
        <v>-2.3946660323628319</v>
      </c>
      <c r="N1006">
        <f t="shared" si="47"/>
        <v>4</v>
      </c>
    </row>
    <row r="1007" spans="1:14" x14ac:dyDescent="0.35">
      <c r="A1007" t="str">
        <f t="shared" si="45"/>
        <v>18097380103_2024</v>
      </c>
      <c r="B1007">
        <v>18097380103</v>
      </c>
      <c r="C1007">
        <v>2024</v>
      </c>
      <c r="D1007">
        <v>1.5079242474939329</v>
      </c>
      <c r="E1007">
        <v>2.4998619883663049E-2</v>
      </c>
      <c r="F1007">
        <v>-0.58464334333004775</v>
      </c>
      <c r="G1007">
        <v>0.85694818820313989</v>
      </c>
      <c r="I1007">
        <v>0.36637506065188952</v>
      </c>
      <c r="J1007">
        <v>0.40307728350894417</v>
      </c>
      <c r="M1007">
        <f t="shared" si="46"/>
        <v>2.5746800564115215</v>
      </c>
      <c r="N1007">
        <f t="shared" si="47"/>
        <v>6</v>
      </c>
    </row>
    <row r="1008" spans="1:14" x14ac:dyDescent="0.35">
      <c r="A1008" t="str">
        <f t="shared" si="45"/>
        <v>18097380103_2025</v>
      </c>
      <c r="B1008">
        <v>18097380103</v>
      </c>
      <c r="C1008">
        <v>2025</v>
      </c>
      <c r="D1008">
        <v>1.787451709918128</v>
      </c>
      <c r="E1008">
        <v>1.5415353257218451E-4</v>
      </c>
      <c r="F1008">
        <v>-0.4370653910653694</v>
      </c>
      <c r="G1008">
        <v>0.76896103961433881</v>
      </c>
      <c r="I1008">
        <v>1.923850640122662E-2</v>
      </c>
      <c r="J1008">
        <v>0.38995528283668979</v>
      </c>
      <c r="M1008">
        <f t="shared" si="46"/>
        <v>2.5286953012375859</v>
      </c>
      <c r="N1008">
        <f t="shared" si="47"/>
        <v>6</v>
      </c>
    </row>
    <row r="1009" spans="1:14" x14ac:dyDescent="0.35">
      <c r="A1009" t="str">
        <f t="shared" si="45"/>
        <v>18097380103_2026</v>
      </c>
      <c r="B1009">
        <v>18097380103</v>
      </c>
      <c r="C1009">
        <v>2026</v>
      </c>
      <c r="D1009">
        <v>1.8444642004966421</v>
      </c>
      <c r="E1009">
        <v>-0.10799122914438269</v>
      </c>
      <c r="F1009">
        <v>-0.66667154372317206</v>
      </c>
      <c r="G1009">
        <v>0.80386787810903904</v>
      </c>
      <c r="I1009">
        <v>0.13984178957016491</v>
      </c>
      <c r="J1009">
        <v>0.36862407073347547</v>
      </c>
      <c r="M1009">
        <f t="shared" si="46"/>
        <v>2.3821351660417669</v>
      </c>
      <c r="N1009">
        <f t="shared" si="47"/>
        <v>6</v>
      </c>
    </row>
    <row r="1010" spans="1:14" x14ac:dyDescent="0.35">
      <c r="A1010" t="str">
        <f t="shared" si="45"/>
        <v>18097380103_2027</v>
      </c>
      <c r="B1010">
        <v>18097380103</v>
      </c>
      <c r="C1010">
        <v>2027</v>
      </c>
      <c r="D1010">
        <v>2.0145381317552919</v>
      </c>
      <c r="E1010">
        <v>-0.171560244004485</v>
      </c>
      <c r="F1010">
        <v>-0.54091925304182853</v>
      </c>
      <c r="G1010">
        <v>0.70772028430897505</v>
      </c>
      <c r="I1010">
        <v>-0.1202479075398421</v>
      </c>
      <c r="J1010">
        <v>0.33908191676044891</v>
      </c>
      <c r="M1010">
        <f t="shared" si="46"/>
        <v>2.2286129282385603</v>
      </c>
      <c r="N1010">
        <f t="shared" si="47"/>
        <v>6</v>
      </c>
    </row>
    <row r="1011" spans="1:14" x14ac:dyDescent="0.35">
      <c r="A1011" t="str">
        <f t="shared" si="45"/>
        <v>18097380103_2028</v>
      </c>
      <c r="B1011">
        <v>18097380103</v>
      </c>
      <c r="C1011">
        <v>2028</v>
      </c>
      <c r="D1011">
        <v>2.0618634066160362</v>
      </c>
      <c r="E1011">
        <v>-0.24759837758741199</v>
      </c>
      <c r="F1011">
        <v>-0.69558371204087888</v>
      </c>
      <c r="G1011">
        <v>0.71916301541953231</v>
      </c>
      <c r="I1011">
        <v>-6.1477336250605703E-2</v>
      </c>
      <c r="J1011">
        <v>0.30023298347548899</v>
      </c>
      <c r="M1011">
        <f t="shared" si="46"/>
        <v>2.076599979632161</v>
      </c>
      <c r="N1011">
        <f t="shared" si="47"/>
        <v>6</v>
      </c>
    </row>
    <row r="1012" spans="1:14" x14ac:dyDescent="0.35">
      <c r="A1012" t="str">
        <f t="shared" si="45"/>
        <v>18097380200_2024</v>
      </c>
      <c r="B1012">
        <v>18097380200</v>
      </c>
      <c r="C1012">
        <v>2024</v>
      </c>
      <c r="D1012">
        <v>-0.18638877643946661</v>
      </c>
      <c r="E1012">
        <v>-0.47627017487866558</v>
      </c>
      <c r="F1012">
        <v>1.0906443542838049</v>
      </c>
      <c r="G1012">
        <v>-0.95490540499228138</v>
      </c>
      <c r="H1012">
        <v>0.57817168881597902</v>
      </c>
      <c r="I1012">
        <v>0.68971867191742031</v>
      </c>
      <c r="J1012">
        <v>-0.19969435933591401</v>
      </c>
      <c r="M1012">
        <f t="shared" si="46"/>
        <v>0.54127599937087667</v>
      </c>
      <c r="N1012">
        <f t="shared" si="47"/>
        <v>7</v>
      </c>
    </row>
    <row r="1013" spans="1:14" x14ac:dyDescent="0.35">
      <c r="A1013" t="str">
        <f t="shared" si="45"/>
        <v>18097380200_2025</v>
      </c>
      <c r="B1013">
        <v>18097380200</v>
      </c>
      <c r="C1013">
        <v>2025</v>
      </c>
      <c r="D1013">
        <v>-0.23279796230597999</v>
      </c>
      <c r="E1013">
        <v>-0.42418670621836652</v>
      </c>
      <c r="F1013">
        <v>1.0725670551077999</v>
      </c>
      <c r="G1013">
        <v>-0.95953455714737923</v>
      </c>
      <c r="H1013">
        <v>0.56964785887285685</v>
      </c>
      <c r="I1013">
        <v>0.67456371131722881</v>
      </c>
      <c r="J1013">
        <v>-0.1877103354258379</v>
      </c>
      <c r="M1013">
        <f t="shared" si="46"/>
        <v>0.51254906420032187</v>
      </c>
      <c r="N1013">
        <f t="shared" si="47"/>
        <v>7</v>
      </c>
    </row>
    <row r="1014" spans="1:14" x14ac:dyDescent="0.35">
      <c r="A1014" t="str">
        <f t="shared" si="45"/>
        <v>18097380200_2026</v>
      </c>
      <c r="B1014">
        <v>18097380200</v>
      </c>
      <c r="C1014">
        <v>2026</v>
      </c>
      <c r="D1014">
        <v>-0.19385318994292819</v>
      </c>
      <c r="E1014">
        <v>-0.37654000926292108</v>
      </c>
      <c r="F1014">
        <v>1.0761285959234059</v>
      </c>
      <c r="G1014">
        <v>-0.94364050301357638</v>
      </c>
      <c r="H1014">
        <v>0.59998091602484371</v>
      </c>
      <c r="I1014">
        <v>0.64502111651059291</v>
      </c>
      <c r="J1014">
        <v>-0.17616437638344051</v>
      </c>
      <c r="M1014">
        <f t="shared" si="46"/>
        <v>0.63093254985597635</v>
      </c>
      <c r="N1014">
        <f t="shared" si="47"/>
        <v>7</v>
      </c>
    </row>
    <row r="1015" spans="1:14" x14ac:dyDescent="0.35">
      <c r="A1015" t="str">
        <f t="shared" si="45"/>
        <v>18097380200_2027</v>
      </c>
      <c r="B1015">
        <v>18097380200</v>
      </c>
      <c r="C1015">
        <v>2027</v>
      </c>
      <c r="D1015">
        <v>-0.1977221003393296</v>
      </c>
      <c r="E1015">
        <v>-0.33006868027929542</v>
      </c>
      <c r="F1015">
        <v>1.033583247133177</v>
      </c>
      <c r="G1015">
        <v>-0.92935098601739563</v>
      </c>
      <c r="H1015">
        <v>0.60471310291496794</v>
      </c>
      <c r="I1015">
        <v>0.62338293798187228</v>
      </c>
      <c r="J1015">
        <v>-0.16640053510396369</v>
      </c>
      <c r="M1015">
        <f t="shared" si="46"/>
        <v>0.63813698629003279</v>
      </c>
      <c r="N1015">
        <f t="shared" si="47"/>
        <v>7</v>
      </c>
    </row>
    <row r="1016" spans="1:14" x14ac:dyDescent="0.35">
      <c r="A1016" t="str">
        <f t="shared" si="45"/>
        <v>18097380200_2028</v>
      </c>
      <c r="B1016">
        <v>18097380200</v>
      </c>
      <c r="C1016">
        <v>2028</v>
      </c>
      <c r="D1016">
        <v>-0.1844782282647125</v>
      </c>
      <c r="E1016">
        <v>-0.28315725944480541</v>
      </c>
      <c r="F1016">
        <v>1.0169747809213929</v>
      </c>
      <c r="G1016">
        <v>-0.90181180503308878</v>
      </c>
      <c r="H1016">
        <v>0.61467439690332248</v>
      </c>
      <c r="I1016">
        <v>0.5951825780657789</v>
      </c>
      <c r="J1016">
        <v>-0.15829500722051251</v>
      </c>
      <c r="M1016">
        <f t="shared" si="46"/>
        <v>0.69908945592737515</v>
      </c>
      <c r="N1016">
        <f t="shared" si="47"/>
        <v>7</v>
      </c>
    </row>
    <row r="1017" spans="1:14" x14ac:dyDescent="0.35">
      <c r="A1017" t="str">
        <f t="shared" si="45"/>
        <v>18097380301_2024</v>
      </c>
      <c r="B1017">
        <v>18097380301</v>
      </c>
      <c r="C1017">
        <v>2024</v>
      </c>
      <c r="D1017">
        <v>-0.7563224094460862</v>
      </c>
      <c r="F1017">
        <v>0.20528628272131461</v>
      </c>
      <c r="G1017">
        <v>-0.72107981756148376</v>
      </c>
      <c r="I1017">
        <v>0.97147611225156638</v>
      </c>
      <c r="J1017">
        <v>0.37207428143790949</v>
      </c>
      <c r="M1017">
        <f t="shared" si="46"/>
        <v>7.1434449403220579E-2</v>
      </c>
      <c r="N1017">
        <f t="shared" si="47"/>
        <v>5</v>
      </c>
    </row>
    <row r="1018" spans="1:14" x14ac:dyDescent="0.35">
      <c r="A1018" t="str">
        <f t="shared" si="45"/>
        <v>18097380301_2025</v>
      </c>
      <c r="B1018">
        <v>18097380301</v>
      </c>
      <c r="C1018">
        <v>2025</v>
      </c>
      <c r="D1018">
        <v>-0.80510358684835592</v>
      </c>
      <c r="F1018">
        <v>3.1960237938367171E-2</v>
      </c>
      <c r="G1018">
        <v>-0.6656459243847449</v>
      </c>
      <c r="I1018">
        <v>1.0071252111744791</v>
      </c>
      <c r="J1018">
        <v>0.37931277763459781</v>
      </c>
      <c r="M1018">
        <f t="shared" si="46"/>
        <v>-5.2351284485656735E-2</v>
      </c>
      <c r="N1018">
        <f t="shared" si="47"/>
        <v>5</v>
      </c>
    </row>
    <row r="1019" spans="1:14" x14ac:dyDescent="0.35">
      <c r="A1019" t="str">
        <f t="shared" si="45"/>
        <v>18097380301_2026</v>
      </c>
      <c r="B1019">
        <v>18097380301</v>
      </c>
      <c r="C1019">
        <v>2026</v>
      </c>
      <c r="D1019">
        <v>-0.68313581608566964</v>
      </c>
      <c r="F1019">
        <v>-2.01974066016627E-2</v>
      </c>
      <c r="G1019">
        <v>-0.60881151834803982</v>
      </c>
      <c r="I1019">
        <v>1.1171570915779621</v>
      </c>
      <c r="J1019">
        <v>0.38114746282669448</v>
      </c>
      <c r="M1019">
        <f t="shared" si="46"/>
        <v>0.18615981336928439</v>
      </c>
      <c r="N1019">
        <f t="shared" si="47"/>
        <v>5</v>
      </c>
    </row>
    <row r="1020" spans="1:14" x14ac:dyDescent="0.35">
      <c r="A1020" t="str">
        <f t="shared" si="45"/>
        <v>18097380301_2027</v>
      </c>
      <c r="B1020">
        <v>18097380301</v>
      </c>
      <c r="C1020">
        <v>2027</v>
      </c>
      <c r="D1020">
        <v>-0.66387533532923482</v>
      </c>
      <c r="F1020">
        <v>-0.13306666829440689</v>
      </c>
      <c r="G1020">
        <v>-0.55355961368549578</v>
      </c>
      <c r="I1020">
        <v>1.1635749402645359</v>
      </c>
      <c r="J1020">
        <v>0.37841852215077809</v>
      </c>
      <c r="M1020">
        <f t="shared" si="46"/>
        <v>0.19149184510617645</v>
      </c>
      <c r="N1020">
        <f t="shared" si="47"/>
        <v>5</v>
      </c>
    </row>
    <row r="1021" spans="1:14" x14ac:dyDescent="0.35">
      <c r="A1021" t="str">
        <f t="shared" si="45"/>
        <v>18097380301_2028</v>
      </c>
      <c r="B1021">
        <v>18097380301</v>
      </c>
      <c r="C1021">
        <v>2028</v>
      </c>
      <c r="D1021">
        <v>-0.57660503241774996</v>
      </c>
      <c r="F1021">
        <v>-0.18349790458920059</v>
      </c>
      <c r="G1021">
        <v>-0.49825782369557298</v>
      </c>
      <c r="I1021">
        <v>1.2457088827114271</v>
      </c>
      <c r="J1021">
        <v>0.37109217575364939</v>
      </c>
      <c r="M1021">
        <f t="shared" si="46"/>
        <v>0.35844029776255293</v>
      </c>
      <c r="N1021">
        <f t="shared" si="47"/>
        <v>5</v>
      </c>
    </row>
    <row r="1022" spans="1:14" x14ac:dyDescent="0.35">
      <c r="A1022" t="str">
        <f t="shared" si="45"/>
        <v>18097380302_2024</v>
      </c>
      <c r="B1022">
        <v>18097380302</v>
      </c>
      <c r="C1022">
        <v>2024</v>
      </c>
      <c r="D1022">
        <v>-0.51522571452392618</v>
      </c>
      <c r="F1022">
        <v>0.93766731139556436</v>
      </c>
      <c r="G1022">
        <v>-0.47728357287233808</v>
      </c>
      <c r="H1022">
        <v>-1.6404856902174041</v>
      </c>
      <c r="I1022">
        <v>0.48264902587926739</v>
      </c>
      <c r="J1022">
        <v>-6.2497792569286788E-2</v>
      </c>
      <c r="M1022">
        <f t="shared" si="46"/>
        <v>-1.2751764329081234</v>
      </c>
      <c r="N1022">
        <f t="shared" si="47"/>
        <v>6</v>
      </c>
    </row>
    <row r="1023" spans="1:14" x14ac:dyDescent="0.35">
      <c r="A1023" t="str">
        <f t="shared" si="45"/>
        <v>18097380302_2025</v>
      </c>
      <c r="B1023">
        <v>18097380302</v>
      </c>
      <c r="C1023">
        <v>2025</v>
      </c>
      <c r="D1023">
        <v>-0.5731644303139416</v>
      </c>
      <c r="F1023">
        <v>0.41040090103960541</v>
      </c>
      <c r="G1023">
        <v>-0.2475282900114231</v>
      </c>
      <c r="H1023">
        <v>-1.184987415484642</v>
      </c>
      <c r="I1023">
        <v>0.46465124812939818</v>
      </c>
      <c r="J1023">
        <v>-6.9389755820392501E-2</v>
      </c>
      <c r="M1023">
        <f t="shared" si="46"/>
        <v>-1.2000177424613956</v>
      </c>
      <c r="N1023">
        <f t="shared" si="47"/>
        <v>6</v>
      </c>
    </row>
    <row r="1024" spans="1:14" x14ac:dyDescent="0.35">
      <c r="A1024" t="str">
        <f t="shared" si="45"/>
        <v>18097380302_2026</v>
      </c>
      <c r="B1024">
        <v>18097380302</v>
      </c>
      <c r="C1024">
        <v>2026</v>
      </c>
      <c r="D1024">
        <v>-0.529308795309548</v>
      </c>
      <c r="F1024">
        <v>0.65927068524604848</v>
      </c>
      <c r="G1024">
        <v>6.4251868218554104E-3</v>
      </c>
      <c r="H1024">
        <v>-0.98090713907237315</v>
      </c>
      <c r="I1024">
        <v>0.43487114858704679</v>
      </c>
      <c r="J1024">
        <v>-8.5641081864089044E-2</v>
      </c>
      <c r="M1024">
        <f t="shared" si="46"/>
        <v>-0.49528999559105946</v>
      </c>
      <c r="N1024">
        <f t="shared" si="47"/>
        <v>6</v>
      </c>
    </row>
    <row r="1025" spans="1:14" x14ac:dyDescent="0.35">
      <c r="A1025" t="str">
        <f t="shared" si="45"/>
        <v>18097380302_2027</v>
      </c>
      <c r="B1025">
        <v>18097380302</v>
      </c>
      <c r="C1025">
        <v>2027</v>
      </c>
      <c r="D1025">
        <v>-0.52699870330306708</v>
      </c>
      <c r="F1025">
        <v>0.24073113292374129</v>
      </c>
      <c r="G1025">
        <v>0.26981589786202831</v>
      </c>
      <c r="H1025">
        <v>-0.70645472165916945</v>
      </c>
      <c r="I1025">
        <v>0.41222862980757902</v>
      </c>
      <c r="J1025">
        <v>-0.1101106250684171</v>
      </c>
      <c r="M1025">
        <f t="shared" si="46"/>
        <v>-0.42078838943730501</v>
      </c>
      <c r="N1025">
        <f t="shared" si="47"/>
        <v>6</v>
      </c>
    </row>
    <row r="1026" spans="1:14" x14ac:dyDescent="0.35">
      <c r="A1026" t="str">
        <f t="shared" si="45"/>
        <v>18097380302_2028</v>
      </c>
      <c r="B1026">
        <v>18097380302</v>
      </c>
      <c r="C1026">
        <v>2028</v>
      </c>
      <c r="D1026">
        <v>-0.50341425470903611</v>
      </c>
      <c r="F1026">
        <v>0.4064477891485197</v>
      </c>
      <c r="G1026">
        <v>0.53809898992067329</v>
      </c>
      <c r="H1026">
        <v>-0.48415551708423338</v>
      </c>
      <c r="I1026">
        <v>0.38476023832848871</v>
      </c>
      <c r="J1026">
        <v>-0.14343448497332081</v>
      </c>
      <c r="M1026">
        <f t="shared" si="46"/>
        <v>0.1983027606310914</v>
      </c>
      <c r="N1026">
        <f t="shared" si="47"/>
        <v>6</v>
      </c>
    </row>
    <row r="1027" spans="1:14" x14ac:dyDescent="0.35">
      <c r="A1027" t="str">
        <f t="shared" ref="A1027:A1090" si="48">TEXT(B1027,0)&amp;"_"&amp;TEXT(C1027,0)</f>
        <v>18097380402_2024</v>
      </c>
      <c r="B1027">
        <v>18097380402</v>
      </c>
      <c r="C1027">
        <v>2024</v>
      </c>
      <c r="D1027">
        <v>-0.42899724421530511</v>
      </c>
      <c r="E1027">
        <v>-0.58649037203494581</v>
      </c>
      <c r="F1027">
        <v>0.72522183855422695</v>
      </c>
      <c r="G1027">
        <v>-0.75164486173422163</v>
      </c>
      <c r="H1027">
        <v>8.9271213901692195E-2</v>
      </c>
      <c r="I1027">
        <v>0.85291437822200011</v>
      </c>
      <c r="J1027">
        <v>0.43691286716271988</v>
      </c>
      <c r="M1027">
        <f t="shared" ref="M1027:M1090" si="49">SUM(D1027:K1027)</f>
        <v>0.33718781985616669</v>
      </c>
      <c r="N1027">
        <f t="shared" ref="N1027:N1090" si="50">IF(D1027=0,0,1)+IF(E1027=0,0,1)+IF(F1027=0,0,1)+IF(G1027=0,0,1)+IF(H1027=0,0,1)+IF(I1027=0,0,1)++IF(J1027=0,0,1)++IF(K1027=0,0,1)</f>
        <v>7</v>
      </c>
    </row>
    <row r="1028" spans="1:14" x14ac:dyDescent="0.35">
      <c r="A1028" t="str">
        <f t="shared" si="48"/>
        <v>18097380402_2025</v>
      </c>
      <c r="B1028">
        <v>18097380402</v>
      </c>
      <c r="C1028">
        <v>2025</v>
      </c>
      <c r="D1028">
        <v>-0.49116490323816248</v>
      </c>
      <c r="E1028">
        <v>-0.52198147163543374</v>
      </c>
      <c r="F1028">
        <v>0.69751082081707572</v>
      </c>
      <c r="G1028">
        <v>-0.81391670517745229</v>
      </c>
      <c r="H1028">
        <v>3.9706800352156818E-2</v>
      </c>
      <c r="I1028">
        <v>0.8286436406308203</v>
      </c>
      <c r="J1028">
        <v>0.4406700639064644</v>
      </c>
      <c r="M1028">
        <f t="shared" si="49"/>
        <v>0.17946824565546865</v>
      </c>
      <c r="N1028">
        <f t="shared" si="50"/>
        <v>7</v>
      </c>
    </row>
    <row r="1029" spans="1:14" x14ac:dyDescent="0.35">
      <c r="A1029" t="str">
        <f t="shared" si="48"/>
        <v>18097380402_2026</v>
      </c>
      <c r="B1029">
        <v>18097380402</v>
      </c>
      <c r="C1029">
        <v>2026</v>
      </c>
      <c r="D1029">
        <v>-0.33726844517662968</v>
      </c>
      <c r="E1029">
        <v>-0.48367768621240748</v>
      </c>
      <c r="F1029">
        <v>0.58663425562595384</v>
      </c>
      <c r="G1029">
        <v>-0.7830094984237167</v>
      </c>
      <c r="H1029">
        <v>2.910152677443326E-2</v>
      </c>
      <c r="I1029">
        <v>0.8168524954235773</v>
      </c>
      <c r="J1029">
        <v>0.43931710685547409</v>
      </c>
      <c r="M1029">
        <f t="shared" si="49"/>
        <v>0.26794975486668449</v>
      </c>
      <c r="N1029">
        <f t="shared" si="50"/>
        <v>7</v>
      </c>
    </row>
    <row r="1030" spans="1:14" x14ac:dyDescent="0.35">
      <c r="A1030" t="str">
        <f t="shared" si="48"/>
        <v>18097380402_2027</v>
      </c>
      <c r="B1030">
        <v>18097380402</v>
      </c>
      <c r="C1030">
        <v>2027</v>
      </c>
      <c r="D1030">
        <v>-0.31798751113534629</v>
      </c>
      <c r="E1030">
        <v>-0.43663336005060172</v>
      </c>
      <c r="F1030">
        <v>0.49189190418179263</v>
      </c>
      <c r="G1030">
        <v>-0.81762270069410214</v>
      </c>
      <c r="H1030">
        <v>2.46962334897747E-3</v>
      </c>
      <c r="I1030">
        <v>0.82396584868741751</v>
      </c>
      <c r="J1030">
        <v>0.43312164109579399</v>
      </c>
      <c r="M1030">
        <f t="shared" si="49"/>
        <v>0.17920544543393147</v>
      </c>
      <c r="N1030">
        <f t="shared" si="50"/>
        <v>7</v>
      </c>
    </row>
    <row r="1031" spans="1:14" x14ac:dyDescent="0.35">
      <c r="A1031" t="str">
        <f t="shared" si="48"/>
        <v>18097380402_2028</v>
      </c>
      <c r="B1031">
        <v>18097380402</v>
      </c>
      <c r="C1031">
        <v>2028</v>
      </c>
      <c r="D1031">
        <v>-0.2195564429520766</v>
      </c>
      <c r="E1031">
        <v>-0.3928383323349337</v>
      </c>
      <c r="F1031">
        <v>0.41227862411373872</v>
      </c>
      <c r="G1031">
        <v>-0.78807588417985697</v>
      </c>
      <c r="H1031">
        <v>-4.2062817299815501E-3</v>
      </c>
      <c r="I1031">
        <v>0.82597725053056192</v>
      </c>
      <c r="J1031">
        <v>0.4217921636543675</v>
      </c>
      <c r="M1031">
        <f t="shared" si="49"/>
        <v>0.25537109710181943</v>
      </c>
      <c r="N1031">
        <f t="shared" si="50"/>
        <v>7</v>
      </c>
    </row>
    <row r="1032" spans="1:14" x14ac:dyDescent="0.35">
      <c r="A1032" t="str">
        <f t="shared" si="48"/>
        <v>18097380403_2024</v>
      </c>
      <c r="B1032">
        <v>18097380403</v>
      </c>
      <c r="C1032">
        <v>2024</v>
      </c>
      <c r="D1032">
        <v>-1.772462613610498</v>
      </c>
      <c r="E1032">
        <v>-0.84963287424258715</v>
      </c>
      <c r="F1032">
        <v>-0.96536067863452424</v>
      </c>
      <c r="G1032">
        <v>-4.9862453555309438E-2</v>
      </c>
      <c r="H1032">
        <v>1.081274394929276</v>
      </c>
      <c r="I1032">
        <v>1.2839715325590719</v>
      </c>
      <c r="J1032">
        <v>-0.88584440319086644</v>
      </c>
      <c r="K1032">
        <v>-1.229909014626133E-2</v>
      </c>
      <c r="M1032">
        <f t="shared" si="49"/>
        <v>-2.170216185891698</v>
      </c>
      <c r="N1032">
        <f t="shared" si="50"/>
        <v>8</v>
      </c>
    </row>
    <row r="1033" spans="1:14" x14ac:dyDescent="0.35">
      <c r="A1033" t="str">
        <f t="shared" si="48"/>
        <v>18097380403_2025</v>
      </c>
      <c r="B1033">
        <v>18097380403</v>
      </c>
      <c r="C1033">
        <v>2025</v>
      </c>
      <c r="D1033">
        <v>-1.7445787408426341</v>
      </c>
      <c r="E1033">
        <v>-0.84689676068723851</v>
      </c>
      <c r="F1033">
        <v>-0.97164518785212517</v>
      </c>
      <c r="G1033">
        <v>-3.7911873077116798E-2</v>
      </c>
      <c r="H1033">
        <v>1.022716893047432</v>
      </c>
      <c r="I1033">
        <v>1.2366889880710421</v>
      </c>
      <c r="J1033">
        <v>-0.87500294610569695</v>
      </c>
      <c r="K1033">
        <v>-3.2194860411092589E-2</v>
      </c>
      <c r="M1033">
        <f t="shared" si="49"/>
        <v>-2.2488244878574299</v>
      </c>
      <c r="N1033">
        <f t="shared" si="50"/>
        <v>8</v>
      </c>
    </row>
    <row r="1034" spans="1:14" x14ac:dyDescent="0.35">
      <c r="A1034" t="str">
        <f t="shared" si="48"/>
        <v>18097380403_2026</v>
      </c>
      <c r="B1034">
        <v>18097380403</v>
      </c>
      <c r="C1034">
        <v>2026</v>
      </c>
      <c r="D1034">
        <v>-1.688219405224044</v>
      </c>
      <c r="E1034">
        <v>-0.83909222259649918</v>
      </c>
      <c r="F1034">
        <v>-0.96227098921856236</v>
      </c>
      <c r="G1034">
        <v>-3.8912851256724078E-2</v>
      </c>
      <c r="H1034">
        <v>0.96461802682705777</v>
      </c>
      <c r="I1034">
        <v>1.1738371939339329</v>
      </c>
      <c r="J1034">
        <v>-0.84523903843972548</v>
      </c>
      <c r="K1034">
        <v>-6.9776324332109674E-2</v>
      </c>
      <c r="M1034">
        <f t="shared" si="49"/>
        <v>-2.3050556103066739</v>
      </c>
      <c r="N1034">
        <f t="shared" si="50"/>
        <v>8</v>
      </c>
    </row>
    <row r="1035" spans="1:14" x14ac:dyDescent="0.35">
      <c r="A1035" t="str">
        <f t="shared" si="48"/>
        <v>18097380403_2027</v>
      </c>
      <c r="B1035">
        <v>18097380403</v>
      </c>
      <c r="C1035">
        <v>2027</v>
      </c>
      <c r="D1035">
        <v>-1.622613795697692</v>
      </c>
      <c r="E1035">
        <v>-0.83112374687457935</v>
      </c>
      <c r="F1035">
        <v>-0.93727289875232644</v>
      </c>
      <c r="G1035">
        <v>-3.2814182399243379E-2</v>
      </c>
      <c r="H1035">
        <v>0.90196529558179483</v>
      </c>
      <c r="I1035">
        <v>1.1193215644242851</v>
      </c>
      <c r="J1035">
        <v>-0.80248291222930246</v>
      </c>
      <c r="K1035">
        <v>-9.9051558252841496E-2</v>
      </c>
      <c r="M1035">
        <f t="shared" si="49"/>
        <v>-2.3040722341999054</v>
      </c>
      <c r="N1035">
        <f t="shared" si="50"/>
        <v>8</v>
      </c>
    </row>
    <row r="1036" spans="1:14" x14ac:dyDescent="0.35">
      <c r="A1036" t="str">
        <f t="shared" si="48"/>
        <v>18097380403_2028</v>
      </c>
      <c r="B1036">
        <v>18097380403</v>
      </c>
      <c r="C1036">
        <v>2028</v>
      </c>
      <c r="D1036">
        <v>-1.540973088981241</v>
      </c>
      <c r="E1036">
        <v>-0.81920862291755603</v>
      </c>
      <c r="F1036">
        <v>-0.91790714367436999</v>
      </c>
      <c r="G1036">
        <v>-3.7003601641137369E-2</v>
      </c>
      <c r="H1036">
        <v>0.8437400500336818</v>
      </c>
      <c r="I1036">
        <v>1.056691229668856</v>
      </c>
      <c r="J1036">
        <v>-0.74678768713207178</v>
      </c>
      <c r="K1036">
        <v>-0.1248487637586624</v>
      </c>
      <c r="M1036">
        <f t="shared" si="49"/>
        <v>-2.2862976284025014</v>
      </c>
      <c r="N1036">
        <f t="shared" si="50"/>
        <v>8</v>
      </c>
    </row>
    <row r="1037" spans="1:14" x14ac:dyDescent="0.35">
      <c r="A1037" t="str">
        <f t="shared" si="48"/>
        <v>18097380404_2024</v>
      </c>
      <c r="B1037">
        <v>18097380404</v>
      </c>
      <c r="C1037">
        <v>2024</v>
      </c>
      <c r="D1037">
        <v>-0.86124368077182767</v>
      </c>
      <c r="E1037">
        <v>-0.70294844530690082</v>
      </c>
      <c r="F1037">
        <v>-0.58398330061377446</v>
      </c>
      <c r="G1037">
        <v>-0.43124641294040078</v>
      </c>
      <c r="H1037">
        <v>0.3249531040112667</v>
      </c>
      <c r="I1037">
        <v>1.4899938154036241</v>
      </c>
      <c r="J1037">
        <v>0.35369877696133378</v>
      </c>
      <c r="M1037">
        <f t="shared" si="49"/>
        <v>-0.41077614325667922</v>
      </c>
      <c r="N1037">
        <f t="shared" si="50"/>
        <v>7</v>
      </c>
    </row>
    <row r="1038" spans="1:14" x14ac:dyDescent="0.35">
      <c r="A1038" t="str">
        <f t="shared" si="48"/>
        <v>18097380404_2025</v>
      </c>
      <c r="B1038">
        <v>18097380404</v>
      </c>
      <c r="C1038">
        <v>2025</v>
      </c>
      <c r="D1038">
        <v>-0.89446037129139611</v>
      </c>
      <c r="E1038">
        <v>-0.71393058062260228</v>
      </c>
      <c r="F1038">
        <v>-0.59411400181009688</v>
      </c>
      <c r="G1038">
        <v>-0.4909651310073323</v>
      </c>
      <c r="H1038">
        <v>0.33221084122015859</v>
      </c>
      <c r="I1038">
        <v>1.454894021565857</v>
      </c>
      <c r="J1038">
        <v>0.35535391588304521</v>
      </c>
      <c r="M1038">
        <f t="shared" si="49"/>
        <v>-0.55101130606236626</v>
      </c>
      <c r="N1038">
        <f t="shared" si="50"/>
        <v>7</v>
      </c>
    </row>
    <row r="1039" spans="1:14" x14ac:dyDescent="0.35">
      <c r="A1039" t="str">
        <f t="shared" si="48"/>
        <v>18097380404_2026</v>
      </c>
      <c r="B1039">
        <v>18097380404</v>
      </c>
      <c r="C1039">
        <v>2026</v>
      </c>
      <c r="D1039">
        <v>-0.78608228090690246</v>
      </c>
      <c r="E1039">
        <v>-0.7195708335278177</v>
      </c>
      <c r="F1039">
        <v>-0.59626033065537043</v>
      </c>
      <c r="G1039">
        <v>-0.54299026213383139</v>
      </c>
      <c r="H1039">
        <v>0.26877102669436581</v>
      </c>
      <c r="I1039">
        <v>1.401732603470013</v>
      </c>
      <c r="J1039">
        <v>0.35120322763823331</v>
      </c>
      <c r="M1039">
        <f t="shared" si="49"/>
        <v>-0.62319684942131004</v>
      </c>
      <c r="N1039">
        <f t="shared" si="50"/>
        <v>7</v>
      </c>
    </row>
    <row r="1040" spans="1:14" x14ac:dyDescent="0.35">
      <c r="A1040" t="str">
        <f t="shared" si="48"/>
        <v>18097380404_2027</v>
      </c>
      <c r="B1040">
        <v>18097380404</v>
      </c>
      <c r="C1040">
        <v>2027</v>
      </c>
      <c r="D1040">
        <v>-0.75407002789658251</v>
      </c>
      <c r="E1040">
        <v>-0.72466431553878063</v>
      </c>
      <c r="F1040">
        <v>-0.59111659390899352</v>
      </c>
      <c r="G1040">
        <v>-0.58714703505699795</v>
      </c>
      <c r="H1040">
        <v>0.22425985427654521</v>
      </c>
      <c r="I1040">
        <v>1.3631934308080169</v>
      </c>
      <c r="J1040">
        <v>0.34159057563548728</v>
      </c>
      <c r="M1040">
        <f t="shared" si="49"/>
        <v>-0.7279541116813053</v>
      </c>
      <c r="N1040">
        <f t="shared" si="50"/>
        <v>7</v>
      </c>
    </row>
    <row r="1041" spans="1:14" x14ac:dyDescent="0.35">
      <c r="A1041" t="str">
        <f t="shared" si="48"/>
        <v>18097380404_2028</v>
      </c>
      <c r="B1041">
        <v>18097380404</v>
      </c>
      <c r="C1041">
        <v>2028</v>
      </c>
      <c r="D1041">
        <v>-0.67218404960431477</v>
      </c>
      <c r="E1041">
        <v>-0.72528691608792262</v>
      </c>
      <c r="F1041">
        <v>-0.58753304085131997</v>
      </c>
      <c r="G1041">
        <v>-0.6205244534703821</v>
      </c>
      <c r="H1041">
        <v>0.18800265523183671</v>
      </c>
      <c r="I1041">
        <v>1.3144283903657139</v>
      </c>
      <c r="J1041">
        <v>0.32613865181926383</v>
      </c>
      <c r="M1041">
        <f t="shared" si="49"/>
        <v>-0.77695876259712493</v>
      </c>
      <c r="N1041">
        <f t="shared" si="50"/>
        <v>7</v>
      </c>
    </row>
    <row r="1042" spans="1:14" x14ac:dyDescent="0.35">
      <c r="A1042" t="str">
        <f t="shared" si="48"/>
        <v>18097380501_2024</v>
      </c>
      <c r="B1042">
        <v>18097380501</v>
      </c>
      <c r="C1042">
        <v>2024</v>
      </c>
      <c r="D1042">
        <v>-0.77283785176181397</v>
      </c>
      <c r="E1042">
        <v>-0.97515247944968919</v>
      </c>
      <c r="F1042">
        <v>0.50055014716013202</v>
      </c>
      <c r="G1042">
        <v>-0.64132874900465264</v>
      </c>
      <c r="H1042">
        <v>-0.4056337269277645</v>
      </c>
      <c r="I1042">
        <v>0.88636561454371898</v>
      </c>
      <c r="J1042">
        <v>-6.1226867288045529E-2</v>
      </c>
      <c r="M1042">
        <f t="shared" si="49"/>
        <v>-1.4692639127281149</v>
      </c>
      <c r="N1042">
        <f t="shared" si="50"/>
        <v>7</v>
      </c>
    </row>
    <row r="1043" spans="1:14" x14ac:dyDescent="0.35">
      <c r="A1043" t="str">
        <f t="shared" si="48"/>
        <v>18097380501_2025</v>
      </c>
      <c r="B1043">
        <v>18097380501</v>
      </c>
      <c r="C1043">
        <v>2025</v>
      </c>
      <c r="D1043">
        <v>-0.81287494264600735</v>
      </c>
      <c r="E1043">
        <v>-0.95922949676537461</v>
      </c>
      <c r="F1043">
        <v>0.61086824060652478</v>
      </c>
      <c r="G1043">
        <v>-0.67023675087194623</v>
      </c>
      <c r="H1043">
        <v>-0.54796427910634515</v>
      </c>
      <c r="I1043">
        <v>0.8078138210102167</v>
      </c>
      <c r="J1043">
        <v>-6.8344997004342226E-2</v>
      </c>
      <c r="M1043">
        <f t="shared" si="49"/>
        <v>-1.6399684047772742</v>
      </c>
      <c r="N1043">
        <f t="shared" si="50"/>
        <v>7</v>
      </c>
    </row>
    <row r="1044" spans="1:14" x14ac:dyDescent="0.35">
      <c r="A1044" t="str">
        <f t="shared" si="48"/>
        <v>18097380501_2026</v>
      </c>
      <c r="B1044">
        <v>18097380501</v>
      </c>
      <c r="C1044">
        <v>2026</v>
      </c>
      <c r="D1044">
        <v>-0.76642416657045287</v>
      </c>
      <c r="E1044">
        <v>-1.009250275395835</v>
      </c>
      <c r="F1044">
        <v>0.65634178267172116</v>
      </c>
      <c r="G1044">
        <v>-0.69150502496892197</v>
      </c>
      <c r="H1044">
        <v>-0.60142905162677951</v>
      </c>
      <c r="I1044">
        <v>0.75573760441530369</v>
      </c>
      <c r="J1044">
        <v>-8.482859031441975E-2</v>
      </c>
      <c r="M1044">
        <f t="shared" si="49"/>
        <v>-1.7413577217893845</v>
      </c>
      <c r="N1044">
        <f t="shared" si="50"/>
        <v>7</v>
      </c>
    </row>
    <row r="1045" spans="1:14" x14ac:dyDescent="0.35">
      <c r="A1045" t="str">
        <f t="shared" si="48"/>
        <v>18097380501_2027</v>
      </c>
      <c r="B1045">
        <v>18097380501</v>
      </c>
      <c r="C1045">
        <v>2027</v>
      </c>
      <c r="D1045">
        <v>-0.75080265114895639</v>
      </c>
      <c r="E1045">
        <v>-1.0182177596468049</v>
      </c>
      <c r="F1045">
        <v>0.69379035358760877</v>
      </c>
      <c r="G1045">
        <v>-0.71015275920503274</v>
      </c>
      <c r="H1045">
        <v>-0.67980117916700111</v>
      </c>
      <c r="I1045">
        <v>0.69801482073425325</v>
      </c>
      <c r="J1045">
        <v>-0.1095645508460569</v>
      </c>
      <c r="M1045">
        <f t="shared" si="49"/>
        <v>-1.8767337256919898</v>
      </c>
      <c r="N1045">
        <f t="shared" si="50"/>
        <v>7</v>
      </c>
    </row>
    <row r="1046" spans="1:14" x14ac:dyDescent="0.35">
      <c r="A1046" t="str">
        <f t="shared" si="48"/>
        <v>18097380501_2028</v>
      </c>
      <c r="B1046">
        <v>18097380501</v>
      </c>
      <c r="C1046">
        <v>2028</v>
      </c>
      <c r="D1046">
        <v>-0.71529201776055951</v>
      </c>
      <c r="E1046">
        <v>-1.0418930498358701</v>
      </c>
      <c r="F1046">
        <v>0.73542576095249101</v>
      </c>
      <c r="G1046">
        <v>-0.71825963991879616</v>
      </c>
      <c r="H1046">
        <v>-0.7150612206621606</v>
      </c>
      <c r="I1046">
        <v>0.63968409353606515</v>
      </c>
      <c r="J1046">
        <v>-0.14320424957729369</v>
      </c>
      <c r="M1046">
        <f t="shared" si="49"/>
        <v>-1.958600323266124</v>
      </c>
      <c r="N1046">
        <f t="shared" si="50"/>
        <v>7</v>
      </c>
    </row>
    <row r="1047" spans="1:14" x14ac:dyDescent="0.35">
      <c r="A1047" t="str">
        <f t="shared" si="48"/>
        <v>18097380502_2024</v>
      </c>
      <c r="B1047">
        <v>18097380502</v>
      </c>
      <c r="C1047">
        <v>2024</v>
      </c>
      <c r="D1047">
        <v>-0.2406445961955461</v>
      </c>
      <c r="E1047">
        <v>-0.72328181879337505</v>
      </c>
      <c r="F1047">
        <v>1.3385552515346739</v>
      </c>
      <c r="G1047">
        <v>-0.9034525103047002</v>
      </c>
      <c r="H1047">
        <v>-0.68313477205730999</v>
      </c>
      <c r="I1047">
        <v>0.11805693198348791</v>
      </c>
      <c r="J1047">
        <v>-6.1226867288045529E-2</v>
      </c>
      <c r="M1047">
        <f t="shared" si="49"/>
        <v>-1.1551283811208151</v>
      </c>
      <c r="N1047">
        <f t="shared" si="50"/>
        <v>7</v>
      </c>
    </row>
    <row r="1048" spans="1:14" x14ac:dyDescent="0.35">
      <c r="A1048" t="str">
        <f t="shared" si="48"/>
        <v>18097380502_2025</v>
      </c>
      <c r="B1048">
        <v>18097380502</v>
      </c>
      <c r="C1048">
        <v>2025</v>
      </c>
      <c r="D1048">
        <v>-0.31700094689184788</v>
      </c>
      <c r="E1048">
        <v>-0.73850737163005731</v>
      </c>
      <c r="F1048">
        <v>1.282883827143309</v>
      </c>
      <c r="G1048">
        <v>-0.93124908209772783</v>
      </c>
      <c r="H1048">
        <v>-0.76790424521174494</v>
      </c>
      <c r="I1048">
        <v>6.3910346140852475E-2</v>
      </c>
      <c r="J1048">
        <v>-6.8344997004342226E-2</v>
      </c>
      <c r="M1048">
        <f t="shared" si="49"/>
        <v>-1.4762124695515586</v>
      </c>
      <c r="N1048">
        <f t="shared" si="50"/>
        <v>7</v>
      </c>
    </row>
    <row r="1049" spans="1:14" x14ac:dyDescent="0.35">
      <c r="A1049" t="str">
        <f t="shared" si="48"/>
        <v>18097380502_2026</v>
      </c>
      <c r="B1049">
        <v>18097380502</v>
      </c>
      <c r="C1049">
        <v>2026</v>
      </c>
      <c r="D1049">
        <v>-0.27594406256186538</v>
      </c>
      <c r="E1049">
        <v>-0.70109583565000433</v>
      </c>
      <c r="F1049">
        <v>1.26748588624312</v>
      </c>
      <c r="G1049">
        <v>-0.94323199636084121</v>
      </c>
      <c r="H1049">
        <v>-0.79196132062734637</v>
      </c>
      <c r="I1049">
        <v>-1.417563843377539E-2</v>
      </c>
      <c r="J1049">
        <v>-8.482859031441975E-2</v>
      </c>
      <c r="M1049">
        <f t="shared" si="49"/>
        <v>-1.5437515577051324</v>
      </c>
      <c r="N1049">
        <f t="shared" si="50"/>
        <v>7</v>
      </c>
    </row>
    <row r="1050" spans="1:14" x14ac:dyDescent="0.35">
      <c r="A1050" t="str">
        <f t="shared" si="48"/>
        <v>18097380502_2027</v>
      </c>
      <c r="B1050">
        <v>18097380502</v>
      </c>
      <c r="C1050">
        <v>2027</v>
      </c>
      <c r="D1050">
        <v>-0.28721133152567763</v>
      </c>
      <c r="E1050">
        <v>-0.68858215301925729</v>
      </c>
      <c r="F1050">
        <v>1.1940408486456691</v>
      </c>
      <c r="G1050">
        <v>-0.95487977527576262</v>
      </c>
      <c r="H1050">
        <v>-0.83777080173987839</v>
      </c>
      <c r="I1050">
        <v>-7.6206974646152517E-2</v>
      </c>
      <c r="J1050">
        <v>-0.1095645508460569</v>
      </c>
      <c r="M1050">
        <f t="shared" si="49"/>
        <v>-1.7601747384071162</v>
      </c>
      <c r="N1050">
        <f t="shared" si="50"/>
        <v>7</v>
      </c>
    </row>
    <row r="1051" spans="1:14" x14ac:dyDescent="0.35">
      <c r="A1051" t="str">
        <f t="shared" si="48"/>
        <v>18097380502_2028</v>
      </c>
      <c r="B1051">
        <v>18097380502</v>
      </c>
      <c r="C1051">
        <v>2028</v>
      </c>
      <c r="D1051">
        <v>-0.27629073437382651</v>
      </c>
      <c r="E1051">
        <v>-0.66121875675574604</v>
      </c>
      <c r="F1051">
        <v>1.1558049743531811</v>
      </c>
      <c r="G1051">
        <v>-0.94986850572791881</v>
      </c>
      <c r="H1051">
        <v>-0.84302021682631822</v>
      </c>
      <c r="I1051">
        <v>-0.14196802606834441</v>
      </c>
      <c r="J1051">
        <v>-0.14320424957729369</v>
      </c>
      <c r="M1051">
        <f t="shared" si="49"/>
        <v>-1.8597655149762664</v>
      </c>
      <c r="N1051">
        <f t="shared" si="50"/>
        <v>7</v>
      </c>
    </row>
    <row r="1052" spans="1:14" x14ac:dyDescent="0.35">
      <c r="A1052" t="str">
        <f t="shared" si="48"/>
        <v>18097380600_2024</v>
      </c>
      <c r="B1052">
        <v>18097380600</v>
      </c>
      <c r="C1052">
        <v>2024</v>
      </c>
      <c r="D1052">
        <v>1.23605344171628E-2</v>
      </c>
      <c r="E1052">
        <v>-0.83286748512361886</v>
      </c>
      <c r="F1052">
        <v>0.20726593027387041</v>
      </c>
      <c r="G1052">
        <v>0.117571636659312</v>
      </c>
      <c r="H1052">
        <v>0.25519248019582857</v>
      </c>
      <c r="I1052">
        <v>-0.35507550937900401</v>
      </c>
      <c r="J1052">
        <v>8.3095397311189853E-2</v>
      </c>
      <c r="M1052">
        <f t="shared" si="49"/>
        <v>-0.51245701564525925</v>
      </c>
      <c r="N1052">
        <f t="shared" si="50"/>
        <v>7</v>
      </c>
    </row>
    <row r="1053" spans="1:14" x14ac:dyDescent="0.35">
      <c r="A1053" t="str">
        <f t="shared" si="48"/>
        <v>18097380600_2025</v>
      </c>
      <c r="B1053">
        <v>18097380600</v>
      </c>
      <c r="C1053">
        <v>2025</v>
      </c>
      <c r="D1053">
        <v>-2.7073150548134192E-2</v>
      </c>
      <c r="E1053">
        <v>-0.83766492188324815</v>
      </c>
      <c r="F1053">
        <v>0.1205641360048689</v>
      </c>
      <c r="G1053">
        <v>0.19301814470801579</v>
      </c>
      <c r="H1053">
        <v>0.16728630826768451</v>
      </c>
      <c r="I1053">
        <v>-0.40321741800114907</v>
      </c>
      <c r="J1053">
        <v>7.3131995872586092E-2</v>
      </c>
      <c r="M1053">
        <f t="shared" si="49"/>
        <v>-0.71395490557937602</v>
      </c>
      <c r="N1053">
        <f t="shared" si="50"/>
        <v>7</v>
      </c>
    </row>
    <row r="1054" spans="1:14" x14ac:dyDescent="0.35">
      <c r="A1054" t="str">
        <f t="shared" si="48"/>
        <v>18097380600_2026</v>
      </c>
      <c r="B1054">
        <v>18097380600</v>
      </c>
      <c r="C1054">
        <v>2026</v>
      </c>
      <c r="D1054">
        <v>4.7774425462154997E-3</v>
      </c>
      <c r="E1054">
        <v>-0.85416412551381404</v>
      </c>
      <c r="F1054">
        <v>3.3389459499778382E-2</v>
      </c>
      <c r="G1054">
        <v>0.27313708144185622</v>
      </c>
      <c r="H1054">
        <v>0.1107876612603156</v>
      </c>
      <c r="I1054">
        <v>-0.45121191999387888</v>
      </c>
      <c r="J1054">
        <v>5.4098402890058232E-2</v>
      </c>
      <c r="M1054">
        <f t="shared" si="49"/>
        <v>-0.82918599786946912</v>
      </c>
      <c r="N1054">
        <f t="shared" si="50"/>
        <v>7</v>
      </c>
    </row>
    <row r="1055" spans="1:14" x14ac:dyDescent="0.35">
      <c r="A1055" t="str">
        <f t="shared" si="48"/>
        <v>18097380600_2027</v>
      </c>
      <c r="B1055">
        <v>18097380600</v>
      </c>
      <c r="C1055">
        <v>2027</v>
      </c>
      <c r="D1055">
        <v>7.9357770887873002E-3</v>
      </c>
      <c r="E1055">
        <v>-0.86392394615326085</v>
      </c>
      <c r="F1055">
        <v>-4.7214107169796217E-2</v>
      </c>
      <c r="G1055">
        <v>0.35271398052932468</v>
      </c>
      <c r="H1055">
        <v>4.3096107812188693E-2</v>
      </c>
      <c r="I1055">
        <v>-0.49464618970544338</v>
      </c>
      <c r="J1055">
        <v>2.6598639822816871E-2</v>
      </c>
      <c r="M1055">
        <f t="shared" si="49"/>
        <v>-0.97543973777538295</v>
      </c>
      <c r="N1055">
        <f t="shared" si="50"/>
        <v>7</v>
      </c>
    </row>
    <row r="1056" spans="1:14" x14ac:dyDescent="0.35">
      <c r="A1056" t="str">
        <f t="shared" si="48"/>
        <v>18097380600_2028</v>
      </c>
      <c r="B1056">
        <v>18097380600</v>
      </c>
      <c r="C1056">
        <v>2028</v>
      </c>
      <c r="D1056">
        <v>1.1320846845862599E-2</v>
      </c>
      <c r="E1056">
        <v>-0.87047104551479848</v>
      </c>
      <c r="F1056">
        <v>-0.1107905607350053</v>
      </c>
      <c r="G1056">
        <v>0.41186777550994141</v>
      </c>
      <c r="H1056">
        <v>-7.2019638847528752E-4</v>
      </c>
      <c r="I1056">
        <v>-0.53482432302897609</v>
      </c>
      <c r="J1056">
        <v>-1.024679659014577E-2</v>
      </c>
      <c r="M1056">
        <f t="shared" si="49"/>
        <v>-1.1038642999015971</v>
      </c>
      <c r="N1056">
        <f t="shared" si="50"/>
        <v>7</v>
      </c>
    </row>
    <row r="1057" spans="1:14" x14ac:dyDescent="0.35">
      <c r="A1057" t="str">
        <f t="shared" si="48"/>
        <v>18097380700_2024</v>
      </c>
      <c r="B1057">
        <v>18097380700</v>
      </c>
      <c r="C1057">
        <v>2024</v>
      </c>
      <c r="D1057">
        <v>0.3356133195988148</v>
      </c>
      <c r="E1057">
        <v>-0.21760883684640819</v>
      </c>
      <c r="F1057">
        <v>0.56336971149930426</v>
      </c>
      <c r="G1057">
        <v>-0.22074711699777599</v>
      </c>
      <c r="I1057">
        <v>-1.2957886831678381E-2</v>
      </c>
      <c r="J1057">
        <v>0.180128820879668</v>
      </c>
      <c r="M1057">
        <f t="shared" si="49"/>
        <v>0.62779801130192447</v>
      </c>
      <c r="N1057">
        <f t="shared" si="50"/>
        <v>6</v>
      </c>
    </row>
    <row r="1058" spans="1:14" x14ac:dyDescent="0.35">
      <c r="A1058" t="str">
        <f t="shared" si="48"/>
        <v>18097380700_2025</v>
      </c>
      <c r="B1058">
        <v>18097380700</v>
      </c>
      <c r="C1058">
        <v>2025</v>
      </c>
      <c r="D1058">
        <v>0.33926569324197248</v>
      </c>
      <c r="E1058">
        <v>-0.28975300507687868</v>
      </c>
      <c r="F1058">
        <v>0.48939814951914001</v>
      </c>
      <c r="G1058">
        <v>-0.1955904522463851</v>
      </c>
      <c r="I1058">
        <v>-6.444063499194444E-2</v>
      </c>
      <c r="J1058">
        <v>0.16878218127404779</v>
      </c>
      <c r="M1058">
        <f t="shared" si="49"/>
        <v>0.44766193171995194</v>
      </c>
      <c r="N1058">
        <f t="shared" si="50"/>
        <v>6</v>
      </c>
    </row>
    <row r="1059" spans="1:14" x14ac:dyDescent="0.35">
      <c r="A1059" t="str">
        <f t="shared" si="48"/>
        <v>18097380700_2026</v>
      </c>
      <c r="B1059">
        <v>18097380700</v>
      </c>
      <c r="C1059">
        <v>2026</v>
      </c>
      <c r="D1059">
        <v>0.36322241436292718</v>
      </c>
      <c r="E1059">
        <v>-0.1559090758795372</v>
      </c>
      <c r="F1059">
        <v>0.40767024257857593</v>
      </c>
      <c r="G1059">
        <v>-0.1639651187488356</v>
      </c>
      <c r="I1059">
        <v>-0.1111373431122471</v>
      </c>
      <c r="J1059">
        <v>0.1485889186154348</v>
      </c>
      <c r="M1059">
        <f t="shared" si="49"/>
        <v>0.48847003781631804</v>
      </c>
      <c r="N1059">
        <f t="shared" si="50"/>
        <v>6</v>
      </c>
    </row>
    <row r="1060" spans="1:14" x14ac:dyDescent="0.35">
      <c r="A1060" t="str">
        <f t="shared" si="48"/>
        <v>18097380700_2027</v>
      </c>
      <c r="B1060">
        <v>18097380700</v>
      </c>
      <c r="C1060">
        <v>2027</v>
      </c>
      <c r="D1060">
        <v>0.38371813554481188</v>
      </c>
      <c r="E1060">
        <v>-0.15001499411361929</v>
      </c>
      <c r="F1060">
        <v>0.3212853511975981</v>
      </c>
      <c r="G1060">
        <v>-0.13716740873512709</v>
      </c>
      <c r="I1060">
        <v>-0.14890555567035471</v>
      </c>
      <c r="J1060">
        <v>0.1199094545086712</v>
      </c>
      <c r="M1060">
        <f t="shared" si="49"/>
        <v>0.38882498273198007</v>
      </c>
      <c r="N1060">
        <f t="shared" si="50"/>
        <v>6</v>
      </c>
    </row>
    <row r="1061" spans="1:14" x14ac:dyDescent="0.35">
      <c r="A1061" t="str">
        <f t="shared" si="48"/>
        <v>18097380700_2028</v>
      </c>
      <c r="B1061">
        <v>18097380700</v>
      </c>
      <c r="C1061">
        <v>2028</v>
      </c>
      <c r="D1061">
        <v>0.38028199987130368</v>
      </c>
      <c r="E1061">
        <v>-6.9544407530158656E-2</v>
      </c>
      <c r="F1061">
        <v>0.25425771594818458</v>
      </c>
      <c r="G1061">
        <v>-0.114913170367746</v>
      </c>
      <c r="I1061">
        <v>-0.18528638904938111</v>
      </c>
      <c r="J1061">
        <v>8.1761404166668231E-2</v>
      </c>
      <c r="M1061">
        <f t="shared" si="49"/>
        <v>0.34655715303887064</v>
      </c>
      <c r="N1061">
        <f t="shared" si="50"/>
        <v>6</v>
      </c>
    </row>
    <row r="1062" spans="1:14" x14ac:dyDescent="0.35">
      <c r="A1062" t="str">
        <f t="shared" si="48"/>
        <v>18097380800_2024</v>
      </c>
      <c r="B1062">
        <v>18097380800</v>
      </c>
      <c r="C1062">
        <v>2024</v>
      </c>
      <c r="D1062">
        <v>-0.74115967883895018</v>
      </c>
      <c r="F1062">
        <v>-0.46508814045781671</v>
      </c>
      <c r="G1062">
        <v>-0.40478908721924822</v>
      </c>
      <c r="H1062">
        <v>1.1208378702748889</v>
      </c>
      <c r="I1062">
        <v>1.0776500219694161</v>
      </c>
      <c r="J1062">
        <v>-6.1226867288045529E-2</v>
      </c>
      <c r="M1062">
        <f t="shared" si="49"/>
        <v>0.52622411844024441</v>
      </c>
      <c r="N1062">
        <f t="shared" si="50"/>
        <v>6</v>
      </c>
    </row>
    <row r="1063" spans="1:14" x14ac:dyDescent="0.35">
      <c r="A1063" t="str">
        <f t="shared" si="48"/>
        <v>18097380800_2025</v>
      </c>
      <c r="B1063">
        <v>18097380800</v>
      </c>
      <c r="C1063">
        <v>2025</v>
      </c>
      <c r="D1063">
        <v>-0.78335863399572803</v>
      </c>
      <c r="F1063">
        <v>-0.40601783599696079</v>
      </c>
      <c r="G1063">
        <v>-0.45649348836470471</v>
      </c>
      <c r="H1063">
        <v>1.1279314362677411</v>
      </c>
      <c r="I1063">
        <v>1.023528515269714</v>
      </c>
      <c r="J1063">
        <v>-6.8344997004342226E-2</v>
      </c>
      <c r="M1063">
        <f t="shared" si="49"/>
        <v>0.43724499617571938</v>
      </c>
      <c r="N1063">
        <f t="shared" si="50"/>
        <v>6</v>
      </c>
    </row>
    <row r="1064" spans="1:14" x14ac:dyDescent="0.35">
      <c r="A1064" t="str">
        <f t="shared" si="48"/>
        <v>18097380800_2026</v>
      </c>
      <c r="B1064">
        <v>18097380800</v>
      </c>
      <c r="C1064">
        <v>2026</v>
      </c>
      <c r="D1064">
        <v>-0.73722892063458334</v>
      </c>
      <c r="F1064">
        <v>-0.32339120815126582</v>
      </c>
      <c r="G1064">
        <v>-0.50551531003838002</v>
      </c>
      <c r="H1064">
        <v>1.139152477091258</v>
      </c>
      <c r="I1064">
        <v>0.95147653755237938</v>
      </c>
      <c r="J1064">
        <v>-8.482859031441975E-2</v>
      </c>
      <c r="M1064">
        <f t="shared" si="49"/>
        <v>0.43966498550498839</v>
      </c>
      <c r="N1064">
        <f t="shared" si="50"/>
        <v>6</v>
      </c>
    </row>
    <row r="1065" spans="1:14" x14ac:dyDescent="0.35">
      <c r="A1065" t="str">
        <f t="shared" si="48"/>
        <v>18097380800_2027</v>
      </c>
      <c r="B1065">
        <v>18097380800</v>
      </c>
      <c r="C1065">
        <v>2027</v>
      </c>
      <c r="D1065">
        <v>-0.72320793001748307</v>
      </c>
      <c r="F1065">
        <v>-0.25420944166063342</v>
      </c>
      <c r="G1065">
        <v>-0.5471325596419786</v>
      </c>
      <c r="H1065">
        <v>1.1360946742922069</v>
      </c>
      <c r="I1065">
        <v>0.88988529178224218</v>
      </c>
      <c r="J1065">
        <v>-0.1095645508460569</v>
      </c>
      <c r="M1065">
        <f t="shared" si="49"/>
        <v>0.39186548390829701</v>
      </c>
      <c r="N1065">
        <f t="shared" si="50"/>
        <v>6</v>
      </c>
    </row>
    <row r="1066" spans="1:14" x14ac:dyDescent="0.35">
      <c r="A1066" t="str">
        <f t="shared" si="48"/>
        <v>18097380800_2028</v>
      </c>
      <c r="B1066">
        <v>18097380800</v>
      </c>
      <c r="C1066">
        <v>2028</v>
      </c>
      <c r="D1066">
        <v>-0.6891609884155393</v>
      </c>
      <c r="F1066">
        <v>-0.1878644070708167</v>
      </c>
      <c r="G1066">
        <v>-0.57965829425358173</v>
      </c>
      <c r="H1066">
        <v>1.1259700606618051</v>
      </c>
      <c r="I1066">
        <v>0.82109222753262445</v>
      </c>
      <c r="J1066">
        <v>-0.14320424957729369</v>
      </c>
      <c r="M1066">
        <f t="shared" si="49"/>
        <v>0.347174348877198</v>
      </c>
      <c r="N1066">
        <f t="shared" si="50"/>
        <v>6</v>
      </c>
    </row>
    <row r="1067" spans="1:14" x14ac:dyDescent="0.35">
      <c r="A1067" t="str">
        <f t="shared" si="48"/>
        <v>18097380901_2024</v>
      </c>
      <c r="B1067">
        <v>18097380901</v>
      </c>
      <c r="C1067">
        <v>2024</v>
      </c>
      <c r="D1067">
        <v>0.25710948557949992</v>
      </c>
      <c r="E1067">
        <v>-0.16320823829269721</v>
      </c>
      <c r="F1067">
        <v>-1.5255203649737781</v>
      </c>
      <c r="G1067">
        <v>0.69476289540836211</v>
      </c>
      <c r="I1067">
        <v>0.50649198843796273</v>
      </c>
      <c r="J1067">
        <v>0.14253214714585491</v>
      </c>
      <c r="M1067">
        <f t="shared" si="49"/>
        <v>-8.7832086694795503E-2</v>
      </c>
      <c r="N1067">
        <f t="shared" si="50"/>
        <v>6</v>
      </c>
    </row>
    <row r="1068" spans="1:14" x14ac:dyDescent="0.35">
      <c r="A1068" t="str">
        <f t="shared" si="48"/>
        <v>18097380901_2025</v>
      </c>
      <c r="B1068">
        <v>18097380901</v>
      </c>
      <c r="C1068">
        <v>2025</v>
      </c>
      <c r="D1068">
        <v>0.1483205916338208</v>
      </c>
      <c r="E1068">
        <v>-0.15282581583200081</v>
      </c>
      <c r="F1068">
        <v>-1.469217619693068</v>
      </c>
      <c r="G1068">
        <v>0.67480153041460333</v>
      </c>
      <c r="I1068">
        <v>0.41852146820084779</v>
      </c>
      <c r="J1068">
        <v>0.1392947372337372</v>
      </c>
      <c r="M1068">
        <f t="shared" si="49"/>
        <v>-0.24110510804205965</v>
      </c>
      <c r="N1068">
        <f t="shared" si="50"/>
        <v>6</v>
      </c>
    </row>
    <row r="1069" spans="1:14" x14ac:dyDescent="0.35">
      <c r="A1069" t="str">
        <f t="shared" si="48"/>
        <v>18097380901_2026</v>
      </c>
      <c r="B1069">
        <v>18097380901</v>
      </c>
      <c r="C1069">
        <v>2026</v>
      </c>
      <c r="D1069">
        <v>0.2456543680309391</v>
      </c>
      <c r="E1069">
        <v>-0.14769484916494621</v>
      </c>
      <c r="F1069">
        <v>-1.3916706450340299</v>
      </c>
      <c r="G1069">
        <v>0.6078828667164502</v>
      </c>
      <c r="I1069">
        <v>0.32281495458264059</v>
      </c>
      <c r="J1069">
        <v>0.12846048141020741</v>
      </c>
      <c r="M1069">
        <f t="shared" si="49"/>
        <v>-0.23455282345873876</v>
      </c>
      <c r="N1069">
        <f t="shared" si="50"/>
        <v>6</v>
      </c>
    </row>
    <row r="1070" spans="1:14" x14ac:dyDescent="0.35">
      <c r="A1070" t="str">
        <f t="shared" si="48"/>
        <v>18097380901_2027</v>
      </c>
      <c r="B1070">
        <v>18097380901</v>
      </c>
      <c r="C1070">
        <v>2027</v>
      </c>
      <c r="D1070">
        <v>0.22260377819533031</v>
      </c>
      <c r="E1070">
        <v>-0.15076449950454879</v>
      </c>
      <c r="F1070">
        <v>-1.3003079954228149</v>
      </c>
      <c r="G1070">
        <v>0.5534891525675284</v>
      </c>
      <c r="I1070">
        <v>0.23589902510625921</v>
      </c>
      <c r="J1070">
        <v>0.11066665745259049</v>
      </c>
      <c r="M1070">
        <f t="shared" si="49"/>
        <v>-0.32841388160565532</v>
      </c>
      <c r="N1070">
        <f t="shared" si="50"/>
        <v>6</v>
      </c>
    </row>
    <row r="1071" spans="1:14" x14ac:dyDescent="0.35">
      <c r="A1071" t="str">
        <f t="shared" si="48"/>
        <v>18097380901_2028</v>
      </c>
      <c r="B1071">
        <v>18097380901</v>
      </c>
      <c r="C1071">
        <v>2028</v>
      </c>
      <c r="D1071">
        <v>0.25060385081169018</v>
      </c>
      <c r="E1071">
        <v>-0.14983440584276389</v>
      </c>
      <c r="F1071">
        <v>-1.229343697639951</v>
      </c>
      <c r="G1071">
        <v>0.47601891776199129</v>
      </c>
      <c r="I1071">
        <v>0.1480127744861621</v>
      </c>
      <c r="J1071">
        <v>8.5359531987823367E-2</v>
      </c>
      <c r="M1071">
        <f t="shared" si="49"/>
        <v>-0.4191830284350479</v>
      </c>
      <c r="N1071">
        <f t="shared" si="50"/>
        <v>6</v>
      </c>
    </row>
    <row r="1072" spans="1:14" x14ac:dyDescent="0.35">
      <c r="A1072" t="str">
        <f t="shared" si="48"/>
        <v>18097380902_2024</v>
      </c>
      <c r="B1072">
        <v>18097380902</v>
      </c>
      <c r="C1072">
        <v>2024</v>
      </c>
      <c r="D1072">
        <v>1.9810713810793561</v>
      </c>
      <c r="E1072">
        <v>4.7201271389729009E-2</v>
      </c>
      <c r="F1072">
        <v>-0.86120818525602705</v>
      </c>
      <c r="G1072">
        <v>8.6184896284820567E-2</v>
      </c>
      <c r="I1072">
        <v>1.0293613357520279</v>
      </c>
      <c r="J1072">
        <v>0.43691298783949489</v>
      </c>
      <c r="M1072">
        <f t="shared" si="49"/>
        <v>2.719523687089402</v>
      </c>
      <c r="N1072">
        <f t="shared" si="50"/>
        <v>6</v>
      </c>
    </row>
    <row r="1073" spans="1:14" x14ac:dyDescent="0.35">
      <c r="A1073" t="str">
        <f t="shared" si="48"/>
        <v>18097380902_2025</v>
      </c>
      <c r="B1073">
        <v>18097380902</v>
      </c>
      <c r="C1073">
        <v>2025</v>
      </c>
      <c r="D1073">
        <v>1.7568071076036571</v>
      </c>
      <c r="E1073">
        <v>-5.3705208698855728E-2</v>
      </c>
      <c r="F1073">
        <v>-0.85659661504309037</v>
      </c>
      <c r="G1073">
        <v>1.31839974104318E-3</v>
      </c>
      <c r="I1073">
        <v>0.98289895693126461</v>
      </c>
      <c r="J1073">
        <v>0.44067033729982602</v>
      </c>
      <c r="M1073">
        <f t="shared" si="49"/>
        <v>2.2713929778338451</v>
      </c>
      <c r="N1073">
        <f t="shared" si="50"/>
        <v>6</v>
      </c>
    </row>
    <row r="1074" spans="1:14" x14ac:dyDescent="0.35">
      <c r="A1074" t="str">
        <f t="shared" si="48"/>
        <v>18097380902_2026</v>
      </c>
      <c r="B1074">
        <v>18097380902</v>
      </c>
      <c r="C1074">
        <v>2026</v>
      </c>
      <c r="D1074">
        <v>2.0837892824313951</v>
      </c>
      <c r="E1074">
        <v>-0.1189069497502052</v>
      </c>
      <c r="F1074">
        <v>-0.80117532834118854</v>
      </c>
      <c r="G1074">
        <v>-0.1114022950454136</v>
      </c>
      <c r="I1074">
        <v>0.91798139102434284</v>
      </c>
      <c r="J1074">
        <v>0.4393175576338153</v>
      </c>
      <c r="M1074">
        <f t="shared" si="49"/>
        <v>2.4096036579527458</v>
      </c>
      <c r="N1074">
        <f t="shared" si="50"/>
        <v>6</v>
      </c>
    </row>
    <row r="1075" spans="1:14" x14ac:dyDescent="0.35">
      <c r="A1075" t="str">
        <f t="shared" si="48"/>
        <v>18097380902_2027</v>
      </c>
      <c r="B1075">
        <v>18097380902</v>
      </c>
      <c r="C1075">
        <v>2027</v>
      </c>
      <c r="D1075">
        <v>2.0187510220540741</v>
      </c>
      <c r="E1075">
        <v>-0.17259431608571041</v>
      </c>
      <c r="F1075">
        <v>-0.75718395934267768</v>
      </c>
      <c r="G1075">
        <v>-0.19918902682721701</v>
      </c>
      <c r="I1075">
        <v>0.86326516993090263</v>
      </c>
      <c r="J1075">
        <v>0.43312229848452177</v>
      </c>
      <c r="M1075">
        <f t="shared" si="49"/>
        <v>2.1861711882138932</v>
      </c>
      <c r="N1075">
        <f t="shared" si="50"/>
        <v>6</v>
      </c>
    </row>
    <row r="1076" spans="1:14" x14ac:dyDescent="0.35">
      <c r="A1076" t="str">
        <f t="shared" si="48"/>
        <v>18097380902_2028</v>
      </c>
      <c r="B1076">
        <v>18097380902</v>
      </c>
      <c r="C1076">
        <v>2028</v>
      </c>
      <c r="D1076">
        <v>2.1461418654081532</v>
      </c>
      <c r="E1076">
        <v>-0.21155396025567799</v>
      </c>
      <c r="F1076">
        <v>-0.71669318539475846</v>
      </c>
      <c r="G1076">
        <v>-0.28234187414417777</v>
      </c>
      <c r="I1076">
        <v>0.80127252732919207</v>
      </c>
      <c r="J1076">
        <v>0.42179306479991541</v>
      </c>
      <c r="M1076">
        <f t="shared" si="49"/>
        <v>2.1586184377426463</v>
      </c>
      <c r="N1076">
        <f t="shared" si="50"/>
        <v>6</v>
      </c>
    </row>
    <row r="1077" spans="1:14" x14ac:dyDescent="0.35">
      <c r="A1077" t="str">
        <f t="shared" si="48"/>
        <v>18097381002_2024</v>
      </c>
      <c r="B1077">
        <v>18097381002</v>
      </c>
      <c r="C1077">
        <v>2024</v>
      </c>
      <c r="D1077">
        <v>-0.26014132245676991</v>
      </c>
      <c r="E1077">
        <v>0.61758310613076883</v>
      </c>
      <c r="F1077">
        <v>-1.2728509861193771</v>
      </c>
      <c r="G1077">
        <v>0.64264417605577528</v>
      </c>
      <c r="H1077">
        <v>0.92987043059341201</v>
      </c>
      <c r="I1077">
        <v>1.5411065512848141</v>
      </c>
      <c r="J1077">
        <v>0.1240063468168244</v>
      </c>
      <c r="M1077">
        <f t="shared" si="49"/>
        <v>2.3222183023054472</v>
      </c>
      <c r="N1077">
        <f t="shared" si="50"/>
        <v>7</v>
      </c>
    </row>
    <row r="1078" spans="1:14" x14ac:dyDescent="0.35">
      <c r="A1078" t="str">
        <f t="shared" si="48"/>
        <v>18097381002_2025</v>
      </c>
      <c r="B1078">
        <v>18097381002</v>
      </c>
      <c r="C1078">
        <v>2025</v>
      </c>
      <c r="D1078">
        <v>-0.2734414795697902</v>
      </c>
      <c r="E1078">
        <v>0.65019252044611375</v>
      </c>
      <c r="F1078">
        <v>-1.2767516830131529</v>
      </c>
      <c r="G1078">
        <v>0.59303766287534987</v>
      </c>
      <c r="H1078">
        <v>0.90827590569631844</v>
      </c>
      <c r="I1078">
        <v>1.550139985755222</v>
      </c>
      <c r="J1078">
        <v>0.113416214047228</v>
      </c>
      <c r="M1078">
        <f t="shared" si="49"/>
        <v>2.2648691262372891</v>
      </c>
      <c r="N1078">
        <f t="shared" si="50"/>
        <v>7</v>
      </c>
    </row>
    <row r="1079" spans="1:14" x14ac:dyDescent="0.35">
      <c r="A1079" t="str">
        <f t="shared" si="48"/>
        <v>18097381002_2026</v>
      </c>
      <c r="B1079">
        <v>18097381002</v>
      </c>
      <c r="C1079">
        <v>2026</v>
      </c>
      <c r="D1079">
        <v>-0.23912295578409909</v>
      </c>
      <c r="E1079">
        <v>0.69295950598437683</v>
      </c>
      <c r="F1079">
        <v>-1.203044984152372</v>
      </c>
      <c r="G1079">
        <v>0.55079216930295316</v>
      </c>
      <c r="H1079">
        <v>0.88954624747562561</v>
      </c>
      <c r="I1079">
        <v>1.5431969474762519</v>
      </c>
      <c r="J1079">
        <v>9.3847769267448963E-2</v>
      </c>
      <c r="M1079">
        <f t="shared" si="49"/>
        <v>2.3281746995701855</v>
      </c>
      <c r="N1079">
        <f t="shared" si="50"/>
        <v>7</v>
      </c>
    </row>
    <row r="1080" spans="1:14" x14ac:dyDescent="0.35">
      <c r="A1080" t="str">
        <f t="shared" si="48"/>
        <v>18097381002_2027</v>
      </c>
      <c r="B1080">
        <v>18097381002</v>
      </c>
      <c r="C1080">
        <v>2027</v>
      </c>
      <c r="D1080">
        <v>-0.21822793026415199</v>
      </c>
      <c r="E1080">
        <v>0.72193893264831666</v>
      </c>
      <c r="F1080">
        <v>-1.147024539572971</v>
      </c>
      <c r="G1080">
        <v>0.50237285526255826</v>
      </c>
      <c r="H1080">
        <v>0.86103616569386088</v>
      </c>
      <c r="I1080">
        <v>1.5507271979967761</v>
      </c>
      <c r="J1080">
        <v>6.5794428539269603E-2</v>
      </c>
      <c r="M1080">
        <f t="shared" si="49"/>
        <v>2.3366171103036586</v>
      </c>
      <c r="N1080">
        <f t="shared" si="50"/>
        <v>7</v>
      </c>
    </row>
    <row r="1081" spans="1:14" x14ac:dyDescent="0.35">
      <c r="A1081" t="str">
        <f t="shared" si="48"/>
        <v>18097381002_2028</v>
      </c>
      <c r="B1081">
        <v>18097381002</v>
      </c>
      <c r="C1081">
        <v>2028</v>
      </c>
      <c r="D1081">
        <v>-0.20108013151579099</v>
      </c>
      <c r="E1081">
        <v>0.75610324585857169</v>
      </c>
      <c r="F1081">
        <v>-1.089576687563333</v>
      </c>
      <c r="G1081">
        <v>0.4473424358104941</v>
      </c>
      <c r="H1081">
        <v>0.83377547110292327</v>
      </c>
      <c r="I1081">
        <v>1.5447177909286991</v>
      </c>
      <c r="J1081">
        <v>2.832907893474438E-2</v>
      </c>
      <c r="M1081">
        <f t="shared" si="49"/>
        <v>2.3196112035563088</v>
      </c>
      <c r="N1081">
        <f t="shared" si="50"/>
        <v>7</v>
      </c>
    </row>
    <row r="1082" spans="1:14" x14ac:dyDescent="0.35">
      <c r="A1082" t="str">
        <f t="shared" si="48"/>
        <v>18097381003_2024</v>
      </c>
      <c r="B1082">
        <v>18097381003</v>
      </c>
      <c r="C1082">
        <v>2024</v>
      </c>
      <c r="D1082">
        <v>-0.53525156802804097</v>
      </c>
      <c r="E1082">
        <v>-0.9463405679323208</v>
      </c>
      <c r="F1082">
        <v>0.8264771371209102</v>
      </c>
      <c r="G1082">
        <v>-0.81437641500446101</v>
      </c>
      <c r="H1082">
        <v>0.69597070045506726</v>
      </c>
      <c r="I1082">
        <v>0.13205781299434141</v>
      </c>
      <c r="J1082">
        <v>-6.1226867289893662E-2</v>
      </c>
      <c r="M1082">
        <f t="shared" si="49"/>
        <v>-0.70268976768439761</v>
      </c>
      <c r="N1082">
        <f t="shared" si="50"/>
        <v>7</v>
      </c>
    </row>
    <row r="1083" spans="1:14" x14ac:dyDescent="0.35">
      <c r="A1083" t="str">
        <f t="shared" si="48"/>
        <v>18097381003_2025</v>
      </c>
      <c r="B1083">
        <v>18097381003</v>
      </c>
      <c r="C1083">
        <v>2025</v>
      </c>
      <c r="D1083">
        <v>-0.59150262560820954</v>
      </c>
      <c r="E1083">
        <v>-0.9921182897988442</v>
      </c>
      <c r="F1083">
        <v>1.021311870279177</v>
      </c>
      <c r="G1083">
        <v>-0.89168056577833721</v>
      </c>
      <c r="H1083">
        <v>0.62302261272555104</v>
      </c>
      <c r="I1083">
        <v>0.19495392620042171</v>
      </c>
      <c r="J1083">
        <v>-6.8344997008220346E-2</v>
      </c>
      <c r="M1083">
        <f t="shared" si="49"/>
        <v>-0.70435806898846165</v>
      </c>
      <c r="N1083">
        <f t="shared" si="50"/>
        <v>7</v>
      </c>
    </row>
    <row r="1084" spans="1:14" x14ac:dyDescent="0.35">
      <c r="A1084" t="str">
        <f t="shared" si="48"/>
        <v>18097381003_2026</v>
      </c>
      <c r="B1084">
        <v>18097381003</v>
      </c>
      <c r="C1084">
        <v>2026</v>
      </c>
      <c r="D1084">
        <v>-0.54745983000890652</v>
      </c>
      <c r="E1084">
        <v>-1.1210145727187</v>
      </c>
      <c r="F1084">
        <v>1.129732411898936</v>
      </c>
      <c r="G1084">
        <v>-0.94291326386614938</v>
      </c>
      <c r="H1084">
        <v>0.53197737486064023</v>
      </c>
      <c r="I1084">
        <v>0.24767653224169489</v>
      </c>
      <c r="J1084">
        <v>-8.4828590320582167E-2</v>
      </c>
      <c r="M1084">
        <f t="shared" si="49"/>
        <v>-0.78682993791306688</v>
      </c>
      <c r="N1084">
        <f t="shared" si="50"/>
        <v>7</v>
      </c>
    </row>
    <row r="1085" spans="1:14" x14ac:dyDescent="0.35">
      <c r="A1085" t="str">
        <f t="shared" si="48"/>
        <v>18097381003_2027</v>
      </c>
      <c r="B1085">
        <v>18097381003</v>
      </c>
      <c r="C1085">
        <v>2027</v>
      </c>
      <c r="D1085">
        <v>-0.54384224242898038</v>
      </c>
      <c r="E1085">
        <v>-1.164700661605691</v>
      </c>
      <c r="F1085">
        <v>1.2360665730547</v>
      </c>
      <c r="G1085">
        <v>-0.98791575274259724</v>
      </c>
      <c r="H1085">
        <v>0.46251811659101372</v>
      </c>
      <c r="I1085">
        <v>0.30405976801389661</v>
      </c>
      <c r="J1085">
        <v>-0.1095645508549164</v>
      </c>
      <c r="M1085">
        <f t="shared" si="49"/>
        <v>-0.80337874997257464</v>
      </c>
      <c r="N1085">
        <f t="shared" si="50"/>
        <v>7</v>
      </c>
    </row>
    <row r="1086" spans="1:14" x14ac:dyDescent="0.35">
      <c r="A1086" t="str">
        <f t="shared" si="48"/>
        <v>18097381003_2028</v>
      </c>
      <c r="B1086">
        <v>18097381003</v>
      </c>
      <c r="C1086">
        <v>2028</v>
      </c>
      <c r="D1086">
        <v>-0.51930930128181474</v>
      </c>
      <c r="E1086">
        <v>-1.2671029744805899</v>
      </c>
      <c r="F1086">
        <v>1.342763274098056</v>
      </c>
      <c r="G1086">
        <v>-1.0091587923698411</v>
      </c>
      <c r="H1086">
        <v>0.38871465610450312</v>
      </c>
      <c r="I1086">
        <v>0.35351462426458341</v>
      </c>
      <c r="J1086">
        <v>-0.14320424958932679</v>
      </c>
      <c r="M1086">
        <f t="shared" si="49"/>
        <v>-0.85378276325443003</v>
      </c>
      <c r="N1086">
        <f t="shared" si="50"/>
        <v>7</v>
      </c>
    </row>
    <row r="1087" spans="1:14" x14ac:dyDescent="0.35">
      <c r="A1087" t="str">
        <f t="shared" si="48"/>
        <v>18097381004_2024</v>
      </c>
      <c r="B1087">
        <v>18097381004</v>
      </c>
      <c r="C1087">
        <v>2024</v>
      </c>
      <c r="D1087">
        <v>-0.39903543834817462</v>
      </c>
      <c r="E1087">
        <v>-0.70214083583810616</v>
      </c>
      <c r="F1087">
        <v>1.161881808661904</v>
      </c>
      <c r="G1087">
        <v>-0.92530752826117924</v>
      </c>
      <c r="I1087">
        <v>-0.53686072232488713</v>
      </c>
      <c r="J1087">
        <v>-6.1226867288045529E-2</v>
      </c>
      <c r="M1087">
        <f t="shared" si="49"/>
        <v>-1.4626895833984885</v>
      </c>
      <c r="N1087">
        <f t="shared" si="50"/>
        <v>6</v>
      </c>
    </row>
    <row r="1088" spans="1:14" x14ac:dyDescent="0.35">
      <c r="A1088" t="str">
        <f t="shared" si="48"/>
        <v>18097381004_2025</v>
      </c>
      <c r="B1088">
        <v>18097381004</v>
      </c>
      <c r="C1088">
        <v>2025</v>
      </c>
      <c r="D1088">
        <v>-0.46458249530577528</v>
      </c>
      <c r="E1088">
        <v>-0.42565807333375222</v>
      </c>
      <c r="F1088">
        <v>0.98811441211014217</v>
      </c>
      <c r="G1088">
        <v>-0.9203225337899128</v>
      </c>
      <c r="I1088">
        <v>-0.62124255885494317</v>
      </c>
      <c r="J1088">
        <v>-6.8344997004342226E-2</v>
      </c>
      <c r="M1088">
        <f t="shared" si="49"/>
        <v>-1.5120362461785835</v>
      </c>
      <c r="N1088">
        <f t="shared" si="50"/>
        <v>6</v>
      </c>
    </row>
    <row r="1089" spans="1:14" x14ac:dyDescent="0.35">
      <c r="A1089" t="str">
        <f t="shared" si="48"/>
        <v>18097381004_2026</v>
      </c>
      <c r="B1089">
        <v>18097381004</v>
      </c>
      <c r="C1089">
        <v>2026</v>
      </c>
      <c r="D1089">
        <v>-0.42192028008306431</v>
      </c>
      <c r="E1089">
        <v>-0.58107433195259839</v>
      </c>
      <c r="F1089">
        <v>0.76103252865962689</v>
      </c>
      <c r="G1089">
        <v>-0.85855677700593191</v>
      </c>
      <c r="I1089">
        <v>-0.70047516861217751</v>
      </c>
      <c r="J1089">
        <v>-8.482859031441975E-2</v>
      </c>
      <c r="M1089">
        <f t="shared" si="49"/>
        <v>-1.885822619308565</v>
      </c>
      <c r="N1089">
        <f t="shared" si="50"/>
        <v>6</v>
      </c>
    </row>
    <row r="1090" spans="1:14" x14ac:dyDescent="0.35">
      <c r="A1090" t="str">
        <f t="shared" si="48"/>
        <v>18097381004_2027</v>
      </c>
      <c r="B1090">
        <v>18097381004</v>
      </c>
      <c r="C1090">
        <v>2027</v>
      </c>
      <c r="D1090">
        <v>-0.42518493997560719</v>
      </c>
      <c r="E1090">
        <v>-0.35384351501494271</v>
      </c>
      <c r="F1090">
        <v>0.58637089340166659</v>
      </c>
      <c r="G1090">
        <v>-0.83904026116415342</v>
      </c>
      <c r="I1090">
        <v>-0.7750627827619988</v>
      </c>
      <c r="J1090">
        <v>-0.1095645508460569</v>
      </c>
      <c r="M1090">
        <f t="shared" si="49"/>
        <v>-1.9163251563610926</v>
      </c>
      <c r="N1090">
        <f t="shared" si="50"/>
        <v>6</v>
      </c>
    </row>
    <row r="1091" spans="1:14" x14ac:dyDescent="0.35">
      <c r="A1091" t="str">
        <f t="shared" ref="A1091:A1154" si="51">TEXT(B1091,0)&amp;"_"&amp;TEXT(C1091,0)</f>
        <v>18097381004_2028</v>
      </c>
      <c r="B1091">
        <v>18097381004</v>
      </c>
      <c r="C1091">
        <v>2028</v>
      </c>
      <c r="D1091">
        <v>-0.40694587748145661</v>
      </c>
      <c r="E1091">
        <v>-0.46820404006783461</v>
      </c>
      <c r="F1091">
        <v>0.41963670576004869</v>
      </c>
      <c r="G1091">
        <v>-0.77960440966979339</v>
      </c>
      <c r="I1091">
        <v>-0.84296052115488618</v>
      </c>
      <c r="J1091">
        <v>-0.14320424957729369</v>
      </c>
      <c r="M1091">
        <f t="shared" ref="M1091:M1154" si="52">SUM(D1091:K1091)</f>
        <v>-2.2212823921912159</v>
      </c>
      <c r="N1091">
        <f t="shared" ref="N1091:N1154" si="53">IF(D1091=0,0,1)+IF(E1091=0,0,1)+IF(F1091=0,0,1)+IF(G1091=0,0,1)+IF(H1091=0,0,1)+IF(I1091=0,0,1)++IF(J1091=0,0,1)++IF(K1091=0,0,1)</f>
        <v>6</v>
      </c>
    </row>
    <row r="1092" spans="1:14" x14ac:dyDescent="0.35">
      <c r="A1092" t="str">
        <f t="shared" si="51"/>
        <v>18097381101_2024</v>
      </c>
      <c r="B1092">
        <v>18097381101</v>
      </c>
      <c r="C1092">
        <v>2024</v>
      </c>
      <c r="D1092">
        <v>0.42164177944107939</v>
      </c>
      <c r="E1092">
        <v>-0.1839914101301301</v>
      </c>
      <c r="F1092">
        <v>-0.38182200927037752</v>
      </c>
      <c r="G1092">
        <v>0.56642986989351141</v>
      </c>
      <c r="H1092">
        <v>0.70644204232607477</v>
      </c>
      <c r="I1092">
        <v>0.72635671255914214</v>
      </c>
      <c r="J1092">
        <v>0.21954719520531171</v>
      </c>
      <c r="M1092">
        <f t="shared" si="52"/>
        <v>2.074604180024612</v>
      </c>
      <c r="N1092">
        <f t="shared" si="53"/>
        <v>7</v>
      </c>
    </row>
    <row r="1093" spans="1:14" x14ac:dyDescent="0.35">
      <c r="A1093" t="str">
        <f t="shared" si="51"/>
        <v>18097381101_2025</v>
      </c>
      <c r="B1093">
        <v>18097381101</v>
      </c>
      <c r="C1093">
        <v>2025</v>
      </c>
      <c r="D1093">
        <v>0.45143110089247068</v>
      </c>
      <c r="E1093">
        <v>-0.30847639263146942</v>
      </c>
      <c r="F1093">
        <v>-0.35360583533979478</v>
      </c>
      <c r="G1093">
        <v>0.56208839834919166</v>
      </c>
      <c r="H1093">
        <v>0.61945847887616945</v>
      </c>
      <c r="I1093">
        <v>0.48785956723567248</v>
      </c>
      <c r="J1093">
        <v>0.20773271564384341</v>
      </c>
      <c r="M1093">
        <f t="shared" si="52"/>
        <v>1.6664880330260834</v>
      </c>
      <c r="N1093">
        <f t="shared" si="53"/>
        <v>7</v>
      </c>
    </row>
    <row r="1094" spans="1:14" x14ac:dyDescent="0.35">
      <c r="A1094" t="str">
        <f t="shared" si="51"/>
        <v>18097381101_2026</v>
      </c>
      <c r="B1094">
        <v>18097381101</v>
      </c>
      <c r="C1094">
        <v>2026</v>
      </c>
      <c r="D1094">
        <v>0.47394877906449889</v>
      </c>
      <c r="E1094">
        <v>-0.39241291658274391</v>
      </c>
      <c r="F1094">
        <v>-0.41581411556308379</v>
      </c>
      <c r="G1094">
        <v>0.52579618088260838</v>
      </c>
      <c r="H1094">
        <v>0.55194217310404747</v>
      </c>
      <c r="I1094">
        <v>0.48950497942365462</v>
      </c>
      <c r="J1094">
        <v>0.18716798019437109</v>
      </c>
      <c r="M1094">
        <f t="shared" si="52"/>
        <v>1.4201330605233526</v>
      </c>
      <c r="N1094">
        <f t="shared" si="53"/>
        <v>7</v>
      </c>
    </row>
    <row r="1095" spans="1:14" x14ac:dyDescent="0.35">
      <c r="A1095" t="str">
        <f t="shared" si="51"/>
        <v>18097381101_2027</v>
      </c>
      <c r="B1095">
        <v>18097381101</v>
      </c>
      <c r="C1095">
        <v>2027</v>
      </c>
      <c r="D1095">
        <v>0.50711128488626855</v>
      </c>
      <c r="E1095">
        <v>-0.45927713125626413</v>
      </c>
      <c r="F1095">
        <v>-0.42606339376722768</v>
      </c>
      <c r="G1095">
        <v>0.50480815263800172</v>
      </c>
      <c r="H1095">
        <v>0.47731064906199239</v>
      </c>
      <c r="I1095">
        <v>0.30325240551529897</v>
      </c>
      <c r="J1095">
        <v>0.15813132817413181</v>
      </c>
      <c r="M1095">
        <f t="shared" si="52"/>
        <v>1.0652732952522017</v>
      </c>
      <c r="N1095">
        <f t="shared" si="53"/>
        <v>7</v>
      </c>
    </row>
    <row r="1096" spans="1:14" x14ac:dyDescent="0.35">
      <c r="A1096" t="str">
        <f t="shared" si="51"/>
        <v>18097381101_2028</v>
      </c>
      <c r="B1096">
        <v>18097381101</v>
      </c>
      <c r="C1096">
        <v>2028</v>
      </c>
      <c r="D1096">
        <v>0.50518965875411104</v>
      </c>
      <c r="E1096">
        <v>-0.5102840532006051</v>
      </c>
      <c r="F1096">
        <v>-0.45109420997956179</v>
      </c>
      <c r="G1096">
        <v>0.46171476427347069</v>
      </c>
      <c r="H1096">
        <v>0.41797614757499779</v>
      </c>
      <c r="I1096">
        <v>0.27081210292809371</v>
      </c>
      <c r="J1096">
        <v>0.11960778621422941</v>
      </c>
      <c r="M1096">
        <f t="shared" si="52"/>
        <v>0.81392219656473574</v>
      </c>
      <c r="N1096">
        <f t="shared" si="53"/>
        <v>7</v>
      </c>
    </row>
    <row r="1097" spans="1:14" x14ac:dyDescent="0.35">
      <c r="A1097" t="str">
        <f t="shared" si="51"/>
        <v>18097381102_2024</v>
      </c>
      <c r="B1097">
        <v>18097381102</v>
      </c>
      <c r="C1097">
        <v>2024</v>
      </c>
      <c r="D1097">
        <v>0.50452718851236344</v>
      </c>
      <c r="E1097">
        <v>-0.65254253311513</v>
      </c>
      <c r="F1097">
        <v>-1.136621686736853</v>
      </c>
      <c r="G1097">
        <v>-0.122296959296072</v>
      </c>
      <c r="I1097">
        <v>0.11132866425409479</v>
      </c>
      <c r="J1097">
        <v>0.32065297035536289</v>
      </c>
      <c r="M1097">
        <f t="shared" si="52"/>
        <v>-0.97495235602623409</v>
      </c>
      <c r="N1097">
        <f t="shared" si="53"/>
        <v>6</v>
      </c>
    </row>
    <row r="1098" spans="1:14" x14ac:dyDescent="0.35">
      <c r="A1098" t="str">
        <f t="shared" si="51"/>
        <v>18097381102_2025</v>
      </c>
      <c r="B1098">
        <v>18097381102</v>
      </c>
      <c r="C1098">
        <v>2025</v>
      </c>
      <c r="D1098">
        <v>0.61902750001928919</v>
      </c>
      <c r="E1098">
        <v>-0.71912470081323454</v>
      </c>
      <c r="F1098">
        <v>-1.1458515103419331</v>
      </c>
      <c r="G1098">
        <v>-0.12930054453385531</v>
      </c>
      <c r="I1098">
        <v>1.9405287765645901E-2</v>
      </c>
      <c r="J1098">
        <v>0.3078456677969596</v>
      </c>
      <c r="M1098">
        <f t="shared" si="52"/>
        <v>-1.0479983001071282</v>
      </c>
      <c r="N1098">
        <f t="shared" si="53"/>
        <v>6</v>
      </c>
    </row>
    <row r="1099" spans="1:14" x14ac:dyDescent="0.35">
      <c r="A1099" t="str">
        <f t="shared" si="51"/>
        <v>18097381102_2026</v>
      </c>
      <c r="B1099">
        <v>18097381102</v>
      </c>
      <c r="C1099">
        <v>2026</v>
      </c>
      <c r="D1099">
        <v>0.64843209848558092</v>
      </c>
      <c r="E1099">
        <v>-0.78010869552276774</v>
      </c>
      <c r="F1099">
        <v>-1.1289865080171</v>
      </c>
      <c r="G1099">
        <v>-0.14693084396514011</v>
      </c>
      <c r="I1099">
        <v>-7.7017615430277755E-2</v>
      </c>
      <c r="J1099">
        <v>0.28655011408041281</v>
      </c>
      <c r="M1099">
        <f t="shared" si="52"/>
        <v>-1.1980614503692919</v>
      </c>
      <c r="N1099">
        <f t="shared" si="53"/>
        <v>6</v>
      </c>
    </row>
    <row r="1100" spans="1:14" x14ac:dyDescent="0.35">
      <c r="A1100" t="str">
        <f t="shared" si="51"/>
        <v>18097381102_2027</v>
      </c>
      <c r="B1100">
        <v>18097381102</v>
      </c>
      <c r="C1100">
        <v>2027</v>
      </c>
      <c r="D1100">
        <v>0.72843655085624415</v>
      </c>
      <c r="E1100">
        <v>-0.83674222160769296</v>
      </c>
      <c r="F1100">
        <v>-1.0910172888335581</v>
      </c>
      <c r="G1100">
        <v>-0.15731367308317781</v>
      </c>
      <c r="I1100">
        <v>-0.16587003794684271</v>
      </c>
      <c r="J1100">
        <v>0.25686984013549929</v>
      </c>
      <c r="M1100">
        <f t="shared" si="52"/>
        <v>-1.2656368304795285</v>
      </c>
      <c r="N1100">
        <f t="shared" si="53"/>
        <v>6</v>
      </c>
    </row>
    <row r="1101" spans="1:14" x14ac:dyDescent="0.35">
      <c r="A1101" t="str">
        <f t="shared" si="51"/>
        <v>18097381102_2028</v>
      </c>
      <c r="B1101">
        <v>18097381102</v>
      </c>
      <c r="C1101">
        <v>2028</v>
      </c>
      <c r="D1101">
        <v>0.74619677983865351</v>
      </c>
      <c r="E1101">
        <v>-0.88642265408534338</v>
      </c>
      <c r="F1101">
        <v>-1.060122000070028</v>
      </c>
      <c r="G1101">
        <v>-0.17327799042830819</v>
      </c>
      <c r="I1101">
        <v>-0.25240524228076161</v>
      </c>
      <c r="J1101">
        <v>0.21772668879903459</v>
      </c>
      <c r="M1101">
        <f t="shared" si="52"/>
        <v>-1.4083044182267532</v>
      </c>
      <c r="N1101">
        <f t="shared" si="53"/>
        <v>6</v>
      </c>
    </row>
    <row r="1102" spans="1:14" x14ac:dyDescent="0.35">
      <c r="A1102" t="str">
        <f t="shared" si="51"/>
        <v>18097381203_2024</v>
      </c>
      <c r="B1102">
        <v>18097381203</v>
      </c>
      <c r="C1102">
        <v>2024</v>
      </c>
      <c r="D1102">
        <v>-0.91618158266037619</v>
      </c>
      <c r="E1102">
        <v>-1.176055423492917</v>
      </c>
      <c r="F1102">
        <v>1.44750052299833</v>
      </c>
      <c r="G1102">
        <v>-0.73404806939878187</v>
      </c>
      <c r="H1102">
        <v>-0.14218512026031091</v>
      </c>
      <c r="I1102">
        <v>-0.61471545137357098</v>
      </c>
      <c r="J1102">
        <v>-6.1226867288045529E-2</v>
      </c>
      <c r="M1102">
        <f t="shared" si="52"/>
        <v>-2.1969119914756723</v>
      </c>
      <c r="N1102">
        <f t="shared" si="53"/>
        <v>7</v>
      </c>
    </row>
    <row r="1103" spans="1:14" x14ac:dyDescent="0.35">
      <c r="A1103" t="str">
        <f t="shared" si="51"/>
        <v>18097381203_2025</v>
      </c>
      <c r="B1103">
        <v>18097381203</v>
      </c>
      <c r="C1103">
        <v>2025</v>
      </c>
      <c r="D1103">
        <v>-0.94643623832806723</v>
      </c>
      <c r="E1103">
        <v>-1.2001984717562271</v>
      </c>
      <c r="F1103">
        <v>1.3352264433265011</v>
      </c>
      <c r="G1103">
        <v>-0.73936514528011221</v>
      </c>
      <c r="H1103">
        <v>-0.34571298352451252</v>
      </c>
      <c r="I1103">
        <v>-0.68020631137114662</v>
      </c>
      <c r="J1103">
        <v>-6.8344997004342226E-2</v>
      </c>
      <c r="M1103">
        <f t="shared" si="52"/>
        <v>-2.6450377039379069</v>
      </c>
      <c r="N1103">
        <f t="shared" si="53"/>
        <v>7</v>
      </c>
    </row>
    <row r="1104" spans="1:14" x14ac:dyDescent="0.35">
      <c r="A1104" t="str">
        <f t="shared" si="51"/>
        <v>18097381203_2026</v>
      </c>
      <c r="B1104">
        <v>18097381203</v>
      </c>
      <c r="C1104">
        <v>2026</v>
      </c>
      <c r="D1104">
        <v>-0.89853265233118707</v>
      </c>
      <c r="E1104">
        <v>-1.222407900465496</v>
      </c>
      <c r="F1104">
        <v>1.2109587978909619</v>
      </c>
      <c r="G1104">
        <v>-0.73573973919541991</v>
      </c>
      <c r="H1104">
        <v>-0.48863793936340022</v>
      </c>
      <c r="I1104">
        <v>-0.75923419294217398</v>
      </c>
      <c r="J1104">
        <v>-8.482859031441975E-2</v>
      </c>
      <c r="M1104">
        <f t="shared" si="52"/>
        <v>-2.9784222167211354</v>
      </c>
      <c r="N1104">
        <f t="shared" si="53"/>
        <v>7</v>
      </c>
    </row>
    <row r="1105" spans="1:14" x14ac:dyDescent="0.35">
      <c r="A1105" t="str">
        <f t="shared" si="51"/>
        <v>18097381203_2027</v>
      </c>
      <c r="B1105">
        <v>18097381203</v>
      </c>
      <c r="C1105">
        <v>2027</v>
      </c>
      <c r="D1105">
        <v>-0.87566876232823232</v>
      </c>
      <c r="E1105">
        <v>-1.2384223991668319</v>
      </c>
      <c r="F1105">
        <v>1.0657471595307331</v>
      </c>
      <c r="G1105">
        <v>-0.73237551914927812</v>
      </c>
      <c r="H1105">
        <v>-0.63726395182514961</v>
      </c>
      <c r="I1105">
        <v>-0.82832387254627915</v>
      </c>
      <c r="J1105">
        <v>-0.1095645508460569</v>
      </c>
      <c r="M1105">
        <f t="shared" si="52"/>
        <v>-3.3558718963310947</v>
      </c>
      <c r="N1105">
        <f t="shared" si="53"/>
        <v>7</v>
      </c>
    </row>
    <row r="1106" spans="1:14" x14ac:dyDescent="0.35">
      <c r="A1106" t="str">
        <f t="shared" si="51"/>
        <v>18097381203_2028</v>
      </c>
      <c r="B1106">
        <v>18097381203</v>
      </c>
      <c r="C1106">
        <v>2028</v>
      </c>
      <c r="D1106">
        <v>-0.8335349230353315</v>
      </c>
      <c r="E1106">
        <v>-1.250452656856007</v>
      </c>
      <c r="F1106">
        <v>0.95543106691007984</v>
      </c>
      <c r="G1106">
        <v>-0.72053334987905238</v>
      </c>
      <c r="H1106">
        <v>-0.73731484128356783</v>
      </c>
      <c r="I1106">
        <v>-0.89216251352284304</v>
      </c>
      <c r="J1106">
        <v>-0.14320424957729369</v>
      </c>
      <c r="M1106">
        <f t="shared" si="52"/>
        <v>-3.6217714672440158</v>
      </c>
      <c r="N1106">
        <f t="shared" si="53"/>
        <v>7</v>
      </c>
    </row>
    <row r="1107" spans="1:14" x14ac:dyDescent="0.35">
      <c r="A1107" t="str">
        <f t="shared" si="51"/>
        <v>18097381204_2024</v>
      </c>
      <c r="B1107">
        <v>18097381204</v>
      </c>
      <c r="C1107">
        <v>2024</v>
      </c>
      <c r="D1107">
        <v>-0.2113422903664309</v>
      </c>
      <c r="E1107">
        <v>-0.81122248991913237</v>
      </c>
      <c r="F1107">
        <v>2.8918180751709279</v>
      </c>
      <c r="G1107">
        <v>-1.2415474854170869</v>
      </c>
      <c r="H1107">
        <v>-0.29166411987717838</v>
      </c>
      <c r="I1107">
        <v>0.31810556808588059</v>
      </c>
      <c r="J1107">
        <v>-6.1226867288045529E-2</v>
      </c>
      <c r="M1107">
        <f t="shared" si="52"/>
        <v>0.5929203903889344</v>
      </c>
      <c r="N1107">
        <f t="shared" si="53"/>
        <v>7</v>
      </c>
    </row>
    <row r="1108" spans="1:14" x14ac:dyDescent="0.35">
      <c r="A1108" t="str">
        <f t="shared" si="51"/>
        <v>18097381204_2025</v>
      </c>
      <c r="B1108">
        <v>18097381204</v>
      </c>
      <c r="C1108">
        <v>2025</v>
      </c>
      <c r="D1108">
        <v>-0.28969836030161578</v>
      </c>
      <c r="E1108">
        <v>-0.97386051043197241</v>
      </c>
      <c r="F1108">
        <v>2.9455704295676011</v>
      </c>
      <c r="G1108">
        <v>-1.2549617597065661</v>
      </c>
      <c r="H1108">
        <v>-0.30850525360025433</v>
      </c>
      <c r="I1108">
        <v>0.34192958925037331</v>
      </c>
      <c r="J1108">
        <v>-6.8344997004342226E-2</v>
      </c>
      <c r="M1108">
        <f t="shared" si="52"/>
        <v>0.39212913777322367</v>
      </c>
      <c r="N1108">
        <f t="shared" si="53"/>
        <v>7</v>
      </c>
    </row>
    <row r="1109" spans="1:14" x14ac:dyDescent="0.35">
      <c r="A1109" t="str">
        <f t="shared" si="51"/>
        <v>18097381204_2026</v>
      </c>
      <c r="B1109">
        <v>18097381204</v>
      </c>
      <c r="C1109">
        <v>2026</v>
      </c>
      <c r="D1109">
        <v>-0.2489384621712489</v>
      </c>
      <c r="E1109">
        <v>-0.96039816279713397</v>
      </c>
      <c r="F1109">
        <v>2.888417533931841</v>
      </c>
      <c r="G1109">
        <v>-1.241892051853984</v>
      </c>
      <c r="H1109">
        <v>-0.28570928275838198</v>
      </c>
      <c r="I1109">
        <v>0.30558576264892229</v>
      </c>
      <c r="J1109">
        <v>-8.482859031441975E-2</v>
      </c>
      <c r="M1109">
        <f t="shared" si="52"/>
        <v>0.37223674668559475</v>
      </c>
      <c r="N1109">
        <f t="shared" si="53"/>
        <v>7</v>
      </c>
    </row>
    <row r="1110" spans="1:14" x14ac:dyDescent="0.35">
      <c r="A1110" t="str">
        <f t="shared" si="51"/>
        <v>18097381204_2027</v>
      </c>
      <c r="B1110">
        <v>18097381204</v>
      </c>
      <c r="C1110">
        <v>2027</v>
      </c>
      <c r="D1110">
        <v>-0.26168621373895568</v>
      </c>
      <c r="E1110">
        <v>-1.048086490876726</v>
      </c>
      <c r="F1110">
        <v>2.7456736577829699</v>
      </c>
      <c r="G1110">
        <v>-1.2340590659329711</v>
      </c>
      <c r="H1110">
        <v>-0.28613926329222489</v>
      </c>
      <c r="I1110">
        <v>0.29180680411638149</v>
      </c>
      <c r="J1110">
        <v>-0.1095645508460569</v>
      </c>
      <c r="M1110">
        <f t="shared" si="52"/>
        <v>9.7944877212416764E-2</v>
      </c>
      <c r="N1110">
        <f t="shared" si="53"/>
        <v>7</v>
      </c>
    </row>
    <row r="1111" spans="1:14" x14ac:dyDescent="0.35">
      <c r="A1111" t="str">
        <f t="shared" si="51"/>
        <v>18097381204_2028</v>
      </c>
      <c r="B1111">
        <v>18097381204</v>
      </c>
      <c r="C1111">
        <v>2028</v>
      </c>
      <c r="D1111">
        <v>-0.25211953265378312</v>
      </c>
      <c r="E1111">
        <v>-1.063344982559002</v>
      </c>
      <c r="F1111">
        <v>2.6357784816474088</v>
      </c>
      <c r="G1111">
        <v>-1.2041869769913649</v>
      </c>
      <c r="H1111">
        <v>-0.26357515109250068</v>
      </c>
      <c r="I1111">
        <v>0.26885252682618233</v>
      </c>
      <c r="J1111">
        <v>-0.14320424957729369</v>
      </c>
      <c r="M1111">
        <f t="shared" si="52"/>
        <v>-2.1799884400353214E-2</v>
      </c>
      <c r="N1111">
        <f t="shared" si="53"/>
        <v>7</v>
      </c>
    </row>
    <row r="1112" spans="1:14" x14ac:dyDescent="0.35">
      <c r="A1112" t="str">
        <f t="shared" si="51"/>
        <v>18097381205_2024</v>
      </c>
      <c r="B1112">
        <v>18097381205</v>
      </c>
      <c r="C1112">
        <v>2024</v>
      </c>
      <c r="D1112">
        <v>0.97999651826295076</v>
      </c>
      <c r="E1112">
        <v>-0.41310424149979807</v>
      </c>
      <c r="F1112">
        <v>0.1359186842236626</v>
      </c>
      <c r="G1112">
        <v>-0.27772151342866291</v>
      </c>
      <c r="I1112">
        <v>6.9635137014508491E-2</v>
      </c>
      <c r="J1112">
        <v>0.13469464667354319</v>
      </c>
      <c r="M1112">
        <f t="shared" si="52"/>
        <v>0.62941923124620414</v>
      </c>
      <c r="N1112">
        <f t="shared" si="53"/>
        <v>6</v>
      </c>
    </row>
    <row r="1113" spans="1:14" x14ac:dyDescent="0.35">
      <c r="A1113" t="str">
        <f t="shared" si="51"/>
        <v>18097381205_2025</v>
      </c>
      <c r="B1113">
        <v>18097381205</v>
      </c>
      <c r="C1113">
        <v>2025</v>
      </c>
      <c r="D1113">
        <v>0.82238846142004873</v>
      </c>
      <c r="E1113">
        <v>-0.32739148324371059</v>
      </c>
      <c r="F1113">
        <v>6.7697669092849785E-2</v>
      </c>
      <c r="G1113">
        <v>-0.31570759136740462</v>
      </c>
      <c r="I1113">
        <v>5.10727497722019E-2</v>
      </c>
      <c r="J1113">
        <v>0.13129018327707029</v>
      </c>
      <c r="M1113">
        <f t="shared" si="52"/>
        <v>0.42934998895105547</v>
      </c>
      <c r="N1113">
        <f t="shared" si="53"/>
        <v>6</v>
      </c>
    </row>
    <row r="1114" spans="1:14" x14ac:dyDescent="0.35">
      <c r="A1114" t="str">
        <f t="shared" si="51"/>
        <v>18097381205_2026</v>
      </c>
      <c r="B1114">
        <v>18097381205</v>
      </c>
      <c r="C1114">
        <v>2026</v>
      </c>
      <c r="D1114">
        <v>0.93069831038544104</v>
      </c>
      <c r="E1114">
        <v>-0.26990982191709539</v>
      </c>
      <c r="F1114">
        <v>-9.2213938686719395E-3</v>
      </c>
      <c r="G1114">
        <v>-0.30189853267924183</v>
      </c>
      <c r="I1114">
        <v>4.433602292992616E-2</v>
      </c>
      <c r="J1114">
        <v>0.12022152587890821</v>
      </c>
      <c r="M1114">
        <f t="shared" si="52"/>
        <v>0.51422611072926627</v>
      </c>
      <c r="N1114">
        <f t="shared" si="53"/>
        <v>6</v>
      </c>
    </row>
    <row r="1115" spans="1:14" x14ac:dyDescent="0.35">
      <c r="A1115" t="str">
        <f t="shared" si="51"/>
        <v>18097381205_2027</v>
      </c>
      <c r="B1115">
        <v>18097381205</v>
      </c>
      <c r="C1115">
        <v>2027</v>
      </c>
      <c r="D1115">
        <v>0.87519238829391754</v>
      </c>
      <c r="E1115">
        <v>-0.23733422725969891</v>
      </c>
      <c r="F1115">
        <v>-8.188612896727604E-2</v>
      </c>
      <c r="G1115">
        <v>-0.3074201620436291</v>
      </c>
      <c r="I1115">
        <v>3.7261203486609391E-2</v>
      </c>
      <c r="J1115">
        <v>0.1021402214252405</v>
      </c>
      <c r="M1115">
        <f t="shared" si="52"/>
        <v>0.38795329493516334</v>
      </c>
      <c r="N1115">
        <f t="shared" si="53"/>
        <v>6</v>
      </c>
    </row>
    <row r="1116" spans="1:14" x14ac:dyDescent="0.35">
      <c r="A1116" t="str">
        <f t="shared" si="51"/>
        <v>18097381205_2028</v>
      </c>
      <c r="B1116">
        <v>18097381205</v>
      </c>
      <c r="C1116">
        <v>2028</v>
      </c>
      <c r="D1116">
        <v>0.88164788632069846</v>
      </c>
      <c r="E1116">
        <v>-0.21387912639952841</v>
      </c>
      <c r="F1116">
        <v>-0.13953255231101491</v>
      </c>
      <c r="G1116">
        <v>-0.3059092832918649</v>
      </c>
      <c r="I1116">
        <v>2.9309391759154198E-2</v>
      </c>
      <c r="J1116">
        <v>7.6487310246299067E-2</v>
      </c>
      <c r="M1116">
        <f t="shared" si="52"/>
        <v>0.32812362632374348</v>
      </c>
      <c r="N1116">
        <f t="shared" si="53"/>
        <v>6</v>
      </c>
    </row>
    <row r="1117" spans="1:14" x14ac:dyDescent="0.35">
      <c r="A1117" t="str">
        <f t="shared" si="51"/>
        <v>18097381206_2024</v>
      </c>
      <c r="B1117">
        <v>18097381206</v>
      </c>
      <c r="C1117">
        <v>2024</v>
      </c>
      <c r="D1117">
        <v>-0.13775930880363421</v>
      </c>
      <c r="E1117">
        <v>3.5330598121020358E-2</v>
      </c>
      <c r="F1117">
        <v>-0.32326722791140711</v>
      </c>
      <c r="G1117">
        <v>0.27898017706238948</v>
      </c>
      <c r="I1117">
        <v>-2.72233649343311E-3</v>
      </c>
      <c r="J1117">
        <v>-5.7896896908224929E-2</v>
      </c>
      <c r="M1117">
        <f t="shared" si="52"/>
        <v>-0.20733499493328955</v>
      </c>
      <c r="N1117">
        <f t="shared" si="53"/>
        <v>6</v>
      </c>
    </row>
    <row r="1118" spans="1:14" x14ac:dyDescent="0.35">
      <c r="A1118" t="str">
        <f t="shared" si="51"/>
        <v>18097381206_2025</v>
      </c>
      <c r="B1118">
        <v>18097381206</v>
      </c>
      <c r="C1118">
        <v>2025</v>
      </c>
      <c r="D1118">
        <v>-0.22014508097141169</v>
      </c>
      <c r="E1118">
        <v>-4.8995243692592904E-3</v>
      </c>
      <c r="F1118">
        <v>-0.1435548935261923</v>
      </c>
      <c r="G1118">
        <v>0.17219611455588099</v>
      </c>
      <c r="I1118">
        <v>-0.11230476017685311</v>
      </c>
      <c r="J1118">
        <v>-6.5093967616588741E-2</v>
      </c>
      <c r="M1118">
        <f t="shared" si="52"/>
        <v>-0.37380211210442416</v>
      </c>
      <c r="N1118">
        <f t="shared" si="53"/>
        <v>6</v>
      </c>
    </row>
    <row r="1119" spans="1:14" x14ac:dyDescent="0.35">
      <c r="A1119" t="str">
        <f t="shared" si="51"/>
        <v>18097381206_2026</v>
      </c>
      <c r="B1119">
        <v>18097381206</v>
      </c>
      <c r="C1119">
        <v>2026</v>
      </c>
      <c r="D1119">
        <v>-0.1802763970179744</v>
      </c>
      <c r="E1119">
        <v>-3.7609427653752817E-2</v>
      </c>
      <c r="F1119">
        <v>3.7615887992995943E-2</v>
      </c>
      <c r="G1119">
        <v>0.22427189750674509</v>
      </c>
      <c r="I1119">
        <v>-0.2309986832076219</v>
      </c>
      <c r="J1119">
        <v>-8.1650252098320719E-2</v>
      </c>
      <c r="M1119">
        <f t="shared" si="52"/>
        <v>-0.26864697447792885</v>
      </c>
      <c r="N1119">
        <f t="shared" si="53"/>
        <v>6</v>
      </c>
    </row>
    <row r="1120" spans="1:14" x14ac:dyDescent="0.35">
      <c r="A1120" t="str">
        <f t="shared" si="51"/>
        <v>18097381206_2027</v>
      </c>
      <c r="B1120">
        <v>18097381206</v>
      </c>
      <c r="C1120">
        <v>2027</v>
      </c>
      <c r="D1120">
        <v>-0.19625176714146</v>
      </c>
      <c r="E1120">
        <v>-7.3757202838227814E-2</v>
      </c>
      <c r="F1120">
        <v>0.21118560882980611</v>
      </c>
      <c r="G1120">
        <v>0.1226427858918359</v>
      </c>
      <c r="I1120">
        <v>-0.34081172426807149</v>
      </c>
      <c r="J1120">
        <v>-0.1064669322311802</v>
      </c>
      <c r="M1120">
        <f t="shared" si="52"/>
        <v>-0.38345923175729751</v>
      </c>
      <c r="N1120">
        <f t="shared" si="53"/>
        <v>6</v>
      </c>
    </row>
    <row r="1121" spans="1:14" x14ac:dyDescent="0.35">
      <c r="A1121" t="str">
        <f t="shared" si="51"/>
        <v>18097381206_2028</v>
      </c>
      <c r="B1121">
        <v>18097381206</v>
      </c>
      <c r="C1121">
        <v>2028</v>
      </c>
      <c r="D1121">
        <v>-0.19003223862405891</v>
      </c>
      <c r="E1121">
        <v>-0.1026584241015077</v>
      </c>
      <c r="F1121">
        <v>0.39307515777547553</v>
      </c>
      <c r="G1121">
        <v>0.15945043914215731</v>
      </c>
      <c r="I1121">
        <v>-0.44628962417361062</v>
      </c>
      <c r="J1121">
        <v>-0.1402018708936168</v>
      </c>
      <c r="M1121">
        <f t="shared" si="52"/>
        <v>-0.32665656087516115</v>
      </c>
      <c r="N1121">
        <f t="shared" si="53"/>
        <v>6</v>
      </c>
    </row>
    <row r="1122" spans="1:14" x14ac:dyDescent="0.35">
      <c r="A1122" t="str">
        <f t="shared" si="51"/>
        <v>18097381207_2024</v>
      </c>
      <c r="B1122">
        <v>18097381207</v>
      </c>
      <c r="C1122">
        <v>2024</v>
      </c>
      <c r="D1122">
        <v>-0.75945915877926151</v>
      </c>
      <c r="E1122">
        <v>0.12962321311832839</v>
      </c>
      <c r="I1122">
        <v>0.45313816986994282</v>
      </c>
      <c r="J1122">
        <v>0.40764853652459587</v>
      </c>
      <c r="M1122">
        <f t="shared" si="52"/>
        <v>0.23095076073360554</v>
      </c>
      <c r="N1122">
        <f t="shared" si="53"/>
        <v>4</v>
      </c>
    </row>
    <row r="1123" spans="1:14" x14ac:dyDescent="0.35">
      <c r="A1123" t="str">
        <f t="shared" si="51"/>
        <v>18097381207_2025</v>
      </c>
      <c r="B1123">
        <v>18097381207</v>
      </c>
      <c r="C1123">
        <v>2025</v>
      </c>
      <c r="D1123">
        <v>-0.65211830481473665</v>
      </c>
      <c r="E1123">
        <v>0.13171503792643161</v>
      </c>
      <c r="I1123">
        <v>0.30305876270645021</v>
      </c>
      <c r="J1123">
        <v>0.39418944168006981</v>
      </c>
      <c r="M1123">
        <f t="shared" si="52"/>
        <v>0.17684493749821495</v>
      </c>
      <c r="N1123">
        <f t="shared" si="53"/>
        <v>4</v>
      </c>
    </row>
    <row r="1124" spans="1:14" x14ac:dyDescent="0.35">
      <c r="A1124" t="str">
        <f t="shared" si="51"/>
        <v>18097381207_2026</v>
      </c>
      <c r="B1124">
        <v>18097381207</v>
      </c>
      <c r="C1124">
        <v>2026</v>
      </c>
      <c r="D1124">
        <v>-0.59507939275734401</v>
      </c>
      <c r="E1124">
        <v>7.1049088442566341E-2</v>
      </c>
      <c r="I1124">
        <v>0.50856089408506222</v>
      </c>
      <c r="J1124">
        <v>0.37248435755151449</v>
      </c>
      <c r="M1124">
        <f t="shared" si="52"/>
        <v>0.357014947321799</v>
      </c>
      <c r="N1124">
        <f t="shared" si="53"/>
        <v>4</v>
      </c>
    </row>
    <row r="1125" spans="1:14" x14ac:dyDescent="0.35">
      <c r="A1125" t="str">
        <f t="shared" si="51"/>
        <v>18097381207_2027</v>
      </c>
      <c r="B1125">
        <v>18097381207</v>
      </c>
      <c r="C1125">
        <v>2027</v>
      </c>
      <c r="D1125">
        <v>-0.49586266009479463</v>
      </c>
      <c r="E1125">
        <v>6.8532039970583283E-2</v>
      </c>
      <c r="I1125">
        <v>0.37586016096269609</v>
      </c>
      <c r="J1125">
        <v>0.3425202607280014</v>
      </c>
      <c r="M1125">
        <f t="shared" si="52"/>
        <v>0.29104980156648613</v>
      </c>
      <c r="N1125">
        <f t="shared" si="53"/>
        <v>4</v>
      </c>
    </row>
    <row r="1126" spans="1:14" x14ac:dyDescent="0.35">
      <c r="A1126" t="str">
        <f t="shared" si="51"/>
        <v>18097381207_2028</v>
      </c>
      <c r="B1126">
        <v>18097381207</v>
      </c>
      <c r="C1126">
        <v>2028</v>
      </c>
      <c r="D1126">
        <v>-0.4242069009856102</v>
      </c>
      <c r="E1126">
        <v>1.8094597612900061E-2</v>
      </c>
      <c r="I1126">
        <v>0.55521199100075969</v>
      </c>
      <c r="J1126">
        <v>0.30318465547451628</v>
      </c>
      <c r="M1126">
        <f t="shared" si="52"/>
        <v>0.45228434310256582</v>
      </c>
      <c r="N1126">
        <f t="shared" si="53"/>
        <v>4</v>
      </c>
    </row>
    <row r="1127" spans="1:14" x14ac:dyDescent="0.35">
      <c r="A1127" t="str">
        <f t="shared" si="51"/>
        <v>18097390102_2024</v>
      </c>
      <c r="B1127">
        <v>18097390102</v>
      </c>
      <c r="C1127">
        <v>2024</v>
      </c>
      <c r="D1127">
        <v>1.3609482453147801</v>
      </c>
      <c r="E1127">
        <v>-0.79146648767434791</v>
      </c>
      <c r="F1127">
        <v>1.145272730743025</v>
      </c>
      <c r="G1127">
        <v>-0.67815897889834098</v>
      </c>
      <c r="I1127">
        <v>1.294519522879418</v>
      </c>
      <c r="J1127">
        <v>-0.34272737216451132</v>
      </c>
      <c r="K1127">
        <v>0.48882616279437452</v>
      </c>
      <c r="M1127">
        <f t="shared" si="52"/>
        <v>2.4772138229943979</v>
      </c>
      <c r="N1127">
        <f t="shared" si="53"/>
        <v>7</v>
      </c>
    </row>
    <row r="1128" spans="1:14" x14ac:dyDescent="0.35">
      <c r="A1128" t="str">
        <f t="shared" si="51"/>
        <v>18097390102_2025</v>
      </c>
      <c r="B1128">
        <v>18097390102</v>
      </c>
      <c r="C1128">
        <v>2025</v>
      </c>
      <c r="D1128">
        <v>1.0670641097772779</v>
      </c>
      <c r="E1128">
        <v>-0.80731628517091858</v>
      </c>
      <c r="F1128">
        <v>1.153928700599111</v>
      </c>
      <c r="G1128">
        <v>-0.7115208546256645</v>
      </c>
      <c r="I1128">
        <v>1.5819631311668141</v>
      </c>
      <c r="J1128">
        <v>-0.28801469448578598</v>
      </c>
      <c r="K1128">
        <v>0.66269239968107896</v>
      </c>
      <c r="M1128">
        <f t="shared" si="52"/>
        <v>2.6587965069419131</v>
      </c>
      <c r="N1128">
        <f t="shared" si="53"/>
        <v>7</v>
      </c>
    </row>
    <row r="1129" spans="1:14" x14ac:dyDescent="0.35">
      <c r="A1129" t="str">
        <f t="shared" si="51"/>
        <v>18097390102_2026</v>
      </c>
      <c r="B1129">
        <v>18097390102</v>
      </c>
      <c r="C1129">
        <v>2026</v>
      </c>
      <c r="D1129">
        <v>1.111555333907432</v>
      </c>
      <c r="E1129">
        <v>-0.81978950119819871</v>
      </c>
      <c r="F1129">
        <v>1.129887479609665</v>
      </c>
      <c r="G1129">
        <v>-0.73698199092665595</v>
      </c>
      <c r="I1129">
        <v>1.7618416390486971</v>
      </c>
      <c r="J1129">
        <v>-0.23189145543209039</v>
      </c>
      <c r="K1129">
        <v>0.77828578803557247</v>
      </c>
      <c r="M1129">
        <f t="shared" si="52"/>
        <v>2.9929072930444214</v>
      </c>
      <c r="N1129">
        <f t="shared" si="53"/>
        <v>7</v>
      </c>
    </row>
    <row r="1130" spans="1:14" x14ac:dyDescent="0.35">
      <c r="A1130" t="str">
        <f t="shared" si="51"/>
        <v>18097390102_2027</v>
      </c>
      <c r="B1130">
        <v>18097390102</v>
      </c>
      <c r="C1130">
        <v>2027</v>
      </c>
      <c r="D1130">
        <v>0.87210789058766602</v>
      </c>
      <c r="E1130">
        <v>-0.83002843817826155</v>
      </c>
      <c r="F1130">
        <v>1.077898905574912</v>
      </c>
      <c r="G1130">
        <v>-0.75986495384807295</v>
      </c>
      <c r="I1130">
        <v>1.8991853344621259</v>
      </c>
      <c r="J1130">
        <v>-0.16967724716530819</v>
      </c>
      <c r="K1130">
        <v>0.86135472605235164</v>
      </c>
      <c r="M1130">
        <f t="shared" si="52"/>
        <v>2.9509762174854126</v>
      </c>
      <c r="N1130">
        <f t="shared" si="53"/>
        <v>7</v>
      </c>
    </row>
    <row r="1131" spans="1:14" x14ac:dyDescent="0.35">
      <c r="A1131" t="str">
        <f t="shared" si="51"/>
        <v>18097390102_2028</v>
      </c>
      <c r="B1131">
        <v>18097390102</v>
      </c>
      <c r="C1131">
        <v>2028</v>
      </c>
      <c r="D1131">
        <v>0.83738243061859507</v>
      </c>
      <c r="E1131">
        <v>-0.83583989240230772</v>
      </c>
      <c r="F1131">
        <v>1.047734725146916</v>
      </c>
      <c r="G1131">
        <v>-0.77020977791859735</v>
      </c>
      <c r="I1131">
        <v>1.9834842465519431</v>
      </c>
      <c r="J1131">
        <v>-9.7437826048268075E-2</v>
      </c>
      <c r="K1131">
        <v>0.89136729205359366</v>
      </c>
      <c r="M1131">
        <f t="shared" si="52"/>
        <v>3.0564811980018742</v>
      </c>
      <c r="N1131">
        <f t="shared" si="53"/>
        <v>7</v>
      </c>
    </row>
    <row r="1132" spans="1:14" x14ac:dyDescent="0.35">
      <c r="A1132" t="str">
        <f t="shared" si="51"/>
        <v>18097390103_2024</v>
      </c>
      <c r="B1132">
        <v>18097390103</v>
      </c>
      <c r="C1132">
        <v>2024</v>
      </c>
      <c r="D1132">
        <v>0.21265062023883799</v>
      </c>
      <c r="E1132">
        <v>3.4643152247676619E-2</v>
      </c>
      <c r="F1132">
        <v>-1.1279865996935581</v>
      </c>
      <c r="G1132">
        <v>0.40265733141018661</v>
      </c>
      <c r="I1132">
        <v>1.6966893763414981</v>
      </c>
      <c r="J1132">
        <v>0.25116031358184893</v>
      </c>
      <c r="K1132">
        <v>1.1936025211699011</v>
      </c>
      <c r="M1132">
        <f t="shared" si="52"/>
        <v>2.6634167152963912</v>
      </c>
      <c r="N1132">
        <f t="shared" si="53"/>
        <v>7</v>
      </c>
    </row>
    <row r="1133" spans="1:14" x14ac:dyDescent="0.35">
      <c r="A1133" t="str">
        <f t="shared" si="51"/>
        <v>18097390103_2025</v>
      </c>
      <c r="B1133">
        <v>18097390103</v>
      </c>
      <c r="C1133">
        <v>2025</v>
      </c>
      <c r="D1133">
        <v>6.8187397045435305E-2</v>
      </c>
      <c r="E1133">
        <v>0.1216704556170939</v>
      </c>
      <c r="F1133">
        <v>-1.0929464345942741</v>
      </c>
      <c r="G1133">
        <v>0.58384579555225946</v>
      </c>
      <c r="I1133">
        <v>1.7755065437977049</v>
      </c>
      <c r="J1133">
        <v>0.2725066810778346</v>
      </c>
      <c r="K1133">
        <v>1.6283944879116541</v>
      </c>
      <c r="M1133">
        <f t="shared" si="52"/>
        <v>3.3571649264077079</v>
      </c>
      <c r="N1133">
        <f t="shared" si="53"/>
        <v>7</v>
      </c>
    </row>
    <row r="1134" spans="1:14" x14ac:dyDescent="0.35">
      <c r="A1134" t="str">
        <f t="shared" si="51"/>
        <v>18097390103_2026</v>
      </c>
      <c r="B1134">
        <v>18097390103</v>
      </c>
      <c r="C1134">
        <v>2026</v>
      </c>
      <c r="D1134">
        <v>0.20072742892130729</v>
      </c>
      <c r="E1134">
        <v>5.9993611556162563E-2</v>
      </c>
      <c r="F1134">
        <v>-1.04371174649784</v>
      </c>
      <c r="G1134">
        <v>0.73508709036443343</v>
      </c>
      <c r="I1134">
        <v>1.827649523863859</v>
      </c>
      <c r="J1134">
        <v>0.28782670999560139</v>
      </c>
      <c r="K1134">
        <v>1.98055031522457</v>
      </c>
      <c r="M1134">
        <f t="shared" si="52"/>
        <v>4.0481229334280933</v>
      </c>
      <c r="N1134">
        <f t="shared" si="53"/>
        <v>7</v>
      </c>
    </row>
    <row r="1135" spans="1:14" x14ac:dyDescent="0.35">
      <c r="A1135" t="str">
        <f t="shared" si="51"/>
        <v>18097390103_2027</v>
      </c>
      <c r="B1135">
        <v>18097390103</v>
      </c>
      <c r="C1135">
        <v>2027</v>
      </c>
      <c r="D1135">
        <v>0.1327273637374293</v>
      </c>
      <c r="E1135">
        <v>9.2738138449552435E-2</v>
      </c>
      <c r="F1135">
        <v>-0.98487050463394521</v>
      </c>
      <c r="G1135">
        <v>0.90300173843793918</v>
      </c>
      <c r="I1135">
        <v>1.8877845669421389</v>
      </c>
      <c r="J1135">
        <v>0.30035007743413722</v>
      </c>
      <c r="K1135">
        <v>2.2703995949282469</v>
      </c>
      <c r="M1135">
        <f t="shared" si="52"/>
        <v>4.6021309752954984</v>
      </c>
      <c r="N1135">
        <f t="shared" si="53"/>
        <v>7</v>
      </c>
    </row>
    <row r="1136" spans="1:14" x14ac:dyDescent="0.35">
      <c r="A1136" t="str">
        <f t="shared" si="51"/>
        <v>18097390103_2028</v>
      </c>
      <c r="B1136">
        <v>18097390103</v>
      </c>
      <c r="C1136">
        <v>2028</v>
      </c>
      <c r="D1136">
        <v>0.18882715535787731</v>
      </c>
      <c r="E1136">
        <v>6.6726223363591436E-2</v>
      </c>
      <c r="F1136">
        <v>-0.93921589666713956</v>
      </c>
      <c r="G1136">
        <v>1.03530511773601</v>
      </c>
      <c r="I1136">
        <v>1.9285250254941071</v>
      </c>
      <c r="J1136">
        <v>0.31101777056764379</v>
      </c>
      <c r="K1136">
        <v>2.4457149368094462</v>
      </c>
      <c r="M1136">
        <f t="shared" si="52"/>
        <v>5.0369003326615367</v>
      </c>
      <c r="N1136">
        <f t="shared" si="53"/>
        <v>7</v>
      </c>
    </row>
    <row r="1137" spans="1:14" x14ac:dyDescent="0.35">
      <c r="A1137" t="str">
        <f t="shared" si="51"/>
        <v>18097390104_2024</v>
      </c>
      <c r="B1137">
        <v>18097390104</v>
      </c>
      <c r="C1137">
        <v>2024</v>
      </c>
      <c r="D1137">
        <v>1.1755594366567521</v>
      </c>
      <c r="E1137">
        <v>0.186277374275127</v>
      </c>
      <c r="F1137">
        <v>-1.1452334049818489</v>
      </c>
      <c r="G1137">
        <v>0.94756630385350915</v>
      </c>
      <c r="I1137">
        <v>0.55389181828992873</v>
      </c>
      <c r="J1137">
        <v>0.90995122497723635</v>
      </c>
      <c r="K1137">
        <v>1.2227653203929429</v>
      </c>
      <c r="M1137">
        <f t="shared" si="52"/>
        <v>3.8507780734636476</v>
      </c>
      <c r="N1137">
        <f t="shared" si="53"/>
        <v>7</v>
      </c>
    </row>
    <row r="1138" spans="1:14" x14ac:dyDescent="0.35">
      <c r="A1138" t="str">
        <f t="shared" si="51"/>
        <v>18097390104_2025</v>
      </c>
      <c r="B1138">
        <v>18097390104</v>
      </c>
      <c r="C1138">
        <v>2025</v>
      </c>
      <c r="D1138">
        <v>1.3926124507794331</v>
      </c>
      <c r="E1138">
        <v>0.1848202811519867</v>
      </c>
      <c r="F1138">
        <v>-1.0659346373144369</v>
      </c>
      <c r="G1138">
        <v>0.95500564639330199</v>
      </c>
      <c r="I1138">
        <v>0.4390209700373337</v>
      </c>
      <c r="J1138">
        <v>0.93387177676265742</v>
      </c>
      <c r="K1138">
        <v>1.0476822315876879</v>
      </c>
      <c r="M1138">
        <f t="shared" si="52"/>
        <v>3.8870787193979641</v>
      </c>
      <c r="N1138">
        <f t="shared" si="53"/>
        <v>7</v>
      </c>
    </row>
    <row r="1139" spans="1:14" x14ac:dyDescent="0.35">
      <c r="A1139" t="str">
        <f t="shared" si="51"/>
        <v>18097390104_2026</v>
      </c>
      <c r="B1139">
        <v>18097390104</v>
      </c>
      <c r="C1139">
        <v>2026</v>
      </c>
      <c r="D1139">
        <v>1.5018135668173751</v>
      </c>
      <c r="E1139">
        <v>0.30197780255558332</v>
      </c>
      <c r="F1139">
        <v>-0.97420187670198677</v>
      </c>
      <c r="G1139">
        <v>0.93336706727812357</v>
      </c>
      <c r="I1139">
        <v>0.45216446028156082</v>
      </c>
      <c r="J1139">
        <v>0.95208975898957005</v>
      </c>
      <c r="K1139">
        <v>0.81336681220002494</v>
      </c>
      <c r="M1139">
        <f t="shared" si="52"/>
        <v>3.9805775914202508</v>
      </c>
      <c r="N1139">
        <f t="shared" si="53"/>
        <v>7</v>
      </c>
    </row>
    <row r="1140" spans="1:14" x14ac:dyDescent="0.35">
      <c r="A1140" t="str">
        <f t="shared" si="51"/>
        <v>18097390104_2027</v>
      </c>
      <c r="B1140">
        <v>18097390104</v>
      </c>
      <c r="C1140">
        <v>2027</v>
      </c>
      <c r="D1140">
        <v>1.6832257728947579</v>
      </c>
      <c r="E1140">
        <v>0.31620594143482822</v>
      </c>
      <c r="F1140">
        <v>-0.87684460593952529</v>
      </c>
      <c r="G1140">
        <v>0.92443013166955523</v>
      </c>
      <c r="I1140">
        <v>0.34605360768272903</v>
      </c>
      <c r="J1140">
        <v>0.96867992758838761</v>
      </c>
      <c r="K1140">
        <v>0.59752896974674408</v>
      </c>
      <c r="M1140">
        <f t="shared" si="52"/>
        <v>3.9592797450774766</v>
      </c>
      <c r="N1140">
        <f t="shared" si="53"/>
        <v>7</v>
      </c>
    </row>
    <row r="1141" spans="1:14" x14ac:dyDescent="0.35">
      <c r="A1141" t="str">
        <f t="shared" si="51"/>
        <v>18097390104_2028</v>
      </c>
      <c r="B1141">
        <v>18097390104</v>
      </c>
      <c r="C1141">
        <v>2028</v>
      </c>
      <c r="D1141">
        <v>1.766681787495797</v>
      </c>
      <c r="E1141">
        <v>0.40739444571131428</v>
      </c>
      <c r="F1141">
        <v>-0.7936099810917524</v>
      </c>
      <c r="G1141">
        <v>0.88372083327801687</v>
      </c>
      <c r="I1141">
        <v>0.35188274492609017</v>
      </c>
      <c r="J1141">
        <v>0.98468116916451121</v>
      </c>
      <c r="K1141">
        <v>0.39885900283317061</v>
      </c>
      <c r="M1141">
        <f t="shared" si="52"/>
        <v>3.9996100023171475</v>
      </c>
      <c r="N1141">
        <f t="shared" si="53"/>
        <v>7</v>
      </c>
    </row>
    <row r="1142" spans="1:14" x14ac:dyDescent="0.35">
      <c r="A1142" t="str">
        <f t="shared" si="51"/>
        <v>18097390200_2024</v>
      </c>
      <c r="B1142">
        <v>18097390200</v>
      </c>
      <c r="C1142">
        <v>2024</v>
      </c>
      <c r="D1142">
        <v>1.0150652640567011</v>
      </c>
      <c r="E1142">
        <v>-2.857819511696285E-2</v>
      </c>
      <c r="F1142">
        <v>-1.314505679453805</v>
      </c>
      <c r="G1142">
        <v>1.1465682285839021</v>
      </c>
      <c r="H1142">
        <v>0.94389077551363243</v>
      </c>
      <c r="I1142">
        <v>0.83410942242386343</v>
      </c>
      <c r="J1142">
        <v>0.9228773138270312</v>
      </c>
      <c r="K1142">
        <v>1.2324784627312591</v>
      </c>
      <c r="M1142">
        <f t="shared" si="52"/>
        <v>4.7519055925656222</v>
      </c>
      <c r="N1142">
        <f t="shared" si="53"/>
        <v>8</v>
      </c>
    </row>
    <row r="1143" spans="1:14" x14ac:dyDescent="0.35">
      <c r="A1143" t="str">
        <f t="shared" si="51"/>
        <v>18097390200_2025</v>
      </c>
      <c r="B1143">
        <v>18097390200</v>
      </c>
      <c r="C1143">
        <v>2025</v>
      </c>
      <c r="D1143">
        <v>1.243225107705453</v>
      </c>
      <c r="E1143">
        <v>-3.6644414612199007E-2</v>
      </c>
      <c r="F1143">
        <v>-1.294650218800997</v>
      </c>
      <c r="G1143">
        <v>1.059046483739752</v>
      </c>
      <c r="H1143">
        <v>0.99724083952910403</v>
      </c>
      <c r="I1143">
        <v>0.83280444236229645</v>
      </c>
      <c r="J1143">
        <v>0.94653607119088523</v>
      </c>
      <c r="K1143">
        <v>1.05630920921299</v>
      </c>
      <c r="M1143">
        <f t="shared" si="52"/>
        <v>4.8038675203272847</v>
      </c>
      <c r="N1143">
        <f t="shared" si="53"/>
        <v>8</v>
      </c>
    </row>
    <row r="1144" spans="1:14" x14ac:dyDescent="0.35">
      <c r="A1144" t="str">
        <f t="shared" si="51"/>
        <v>18097390200_2026</v>
      </c>
      <c r="B1144">
        <v>18097390200</v>
      </c>
      <c r="C1144">
        <v>2026</v>
      </c>
      <c r="D1144">
        <v>1.355228275321736</v>
      </c>
      <c r="E1144">
        <v>-4.83360487318985E-2</v>
      </c>
      <c r="F1144">
        <v>-1.246172642559213</v>
      </c>
      <c r="G1144">
        <v>0.92549039551303036</v>
      </c>
      <c r="H1144">
        <v>1.0472905089861251</v>
      </c>
      <c r="I1144">
        <v>0.75798475815918021</v>
      </c>
      <c r="J1144">
        <v>0.96451433213760041</v>
      </c>
      <c r="K1144">
        <v>0.82058815092136428</v>
      </c>
      <c r="M1144">
        <f t="shared" si="52"/>
        <v>4.5765877297479252</v>
      </c>
      <c r="N1144">
        <f t="shared" si="53"/>
        <v>8</v>
      </c>
    </row>
    <row r="1145" spans="1:14" x14ac:dyDescent="0.35">
      <c r="A1145" t="str">
        <f t="shared" si="51"/>
        <v>18097390200_2027</v>
      </c>
      <c r="B1145">
        <v>18097390200</v>
      </c>
      <c r="C1145">
        <v>2027</v>
      </c>
      <c r="D1145">
        <v>1.5453825770859111</v>
      </c>
      <c r="E1145">
        <v>-6.2174449121735302E-2</v>
      </c>
      <c r="F1145">
        <v>-1.1801723201767</v>
      </c>
      <c r="G1145">
        <v>0.81910957151863428</v>
      </c>
      <c r="H1145">
        <v>1.0828070237858589</v>
      </c>
      <c r="I1145">
        <v>0.73388041236938661</v>
      </c>
      <c r="J1145">
        <v>0.9808547080726816</v>
      </c>
      <c r="K1145">
        <v>0.60341021871459699</v>
      </c>
      <c r="M1145">
        <f t="shared" si="52"/>
        <v>4.5230977422486349</v>
      </c>
      <c r="N1145">
        <f t="shared" si="53"/>
        <v>8</v>
      </c>
    </row>
    <row r="1146" spans="1:14" x14ac:dyDescent="0.35">
      <c r="A1146" t="str">
        <f t="shared" si="51"/>
        <v>18097390200_2028</v>
      </c>
      <c r="B1146">
        <v>18097390200</v>
      </c>
      <c r="C1146">
        <v>2028</v>
      </c>
      <c r="D1146">
        <v>1.6390795764063659</v>
      </c>
      <c r="E1146">
        <v>-7.0480425663124568E-2</v>
      </c>
      <c r="F1146">
        <v>-1.1283523687686541</v>
      </c>
      <c r="G1146">
        <v>0.6912177607169433</v>
      </c>
      <c r="H1146">
        <v>1.107458297080212</v>
      </c>
      <c r="I1146">
        <v>0.67305960324581793</v>
      </c>
      <c r="J1146">
        <v>0.99658435561699776</v>
      </c>
      <c r="K1146">
        <v>0.4034743948117821</v>
      </c>
      <c r="M1146">
        <f t="shared" si="52"/>
        <v>4.3120411934463405</v>
      </c>
      <c r="N1146">
        <f t="shared" si="53"/>
        <v>8</v>
      </c>
    </row>
    <row r="1147" spans="1:14" x14ac:dyDescent="0.35">
      <c r="A1147" t="str">
        <f t="shared" si="51"/>
        <v>18097390300_2024</v>
      </c>
      <c r="B1147">
        <v>18097390300</v>
      </c>
      <c r="C1147">
        <v>2024</v>
      </c>
      <c r="D1147">
        <v>-0.7820896151380039</v>
      </c>
      <c r="E1147">
        <v>0.1307860840293005</v>
      </c>
      <c r="F1147">
        <v>-1.3531279940554379</v>
      </c>
      <c r="G1147">
        <v>1.839329422543051</v>
      </c>
      <c r="H1147">
        <v>1.201815411242342</v>
      </c>
      <c r="I1147">
        <v>1.1146242607903021</v>
      </c>
      <c r="J1147">
        <v>0.9228773138270312</v>
      </c>
      <c r="K1147">
        <v>1.2324784627312591</v>
      </c>
      <c r="M1147">
        <f t="shared" si="52"/>
        <v>4.306693345969844</v>
      </c>
      <c r="N1147">
        <f t="shared" si="53"/>
        <v>8</v>
      </c>
    </row>
    <row r="1148" spans="1:14" x14ac:dyDescent="0.35">
      <c r="A1148" t="str">
        <f t="shared" si="51"/>
        <v>18097390300_2025</v>
      </c>
      <c r="B1148">
        <v>18097390300</v>
      </c>
      <c r="C1148">
        <v>2025</v>
      </c>
      <c r="D1148">
        <v>-0.68194791891772688</v>
      </c>
      <c r="E1148">
        <v>0.1394479868221955</v>
      </c>
      <c r="F1148">
        <v>-1.3028528469861711</v>
      </c>
      <c r="G1148">
        <v>1.9302791769158101</v>
      </c>
      <c r="H1148">
        <v>1.172838770471766</v>
      </c>
      <c r="I1148">
        <v>1.0817148627571891</v>
      </c>
      <c r="J1148">
        <v>0.94653607119088523</v>
      </c>
      <c r="K1148">
        <v>1.05630920921299</v>
      </c>
      <c r="M1148">
        <f t="shared" si="52"/>
        <v>4.3423253114669382</v>
      </c>
      <c r="N1148">
        <f t="shared" si="53"/>
        <v>8</v>
      </c>
    </row>
    <row r="1149" spans="1:14" x14ac:dyDescent="0.35">
      <c r="A1149" t="str">
        <f t="shared" si="51"/>
        <v>18097390300_2026</v>
      </c>
      <c r="B1149">
        <v>18097390300</v>
      </c>
      <c r="C1149">
        <v>2026</v>
      </c>
      <c r="D1149">
        <v>-0.60547956914067147</v>
      </c>
      <c r="E1149">
        <v>0.15492982930831639</v>
      </c>
      <c r="F1149">
        <v>-1.235451094553186</v>
      </c>
      <c r="G1149">
        <v>1.8498138438811349</v>
      </c>
      <c r="H1149">
        <v>1.1372126601860939</v>
      </c>
      <c r="I1149">
        <v>1.029578982120952</v>
      </c>
      <c r="J1149">
        <v>0.96451433213760041</v>
      </c>
      <c r="K1149">
        <v>0.82058815092136428</v>
      </c>
      <c r="M1149">
        <f t="shared" si="52"/>
        <v>4.1157071348616041</v>
      </c>
      <c r="N1149">
        <f t="shared" si="53"/>
        <v>8</v>
      </c>
    </row>
    <row r="1150" spans="1:14" x14ac:dyDescent="0.35">
      <c r="A1150" t="str">
        <f t="shared" si="51"/>
        <v>18097390300_2027</v>
      </c>
      <c r="B1150">
        <v>18097390300</v>
      </c>
      <c r="C1150">
        <v>2027</v>
      </c>
      <c r="D1150">
        <v>-0.49466889291416211</v>
      </c>
      <c r="E1150">
        <v>0.1628067255198446</v>
      </c>
      <c r="F1150">
        <v>-1.1567794928237209</v>
      </c>
      <c r="G1150">
        <v>1.841540145260524</v>
      </c>
      <c r="H1150">
        <v>1.0958554066666979</v>
      </c>
      <c r="I1150">
        <v>0.98749235735366259</v>
      </c>
      <c r="J1150">
        <v>0.9808547080726816</v>
      </c>
      <c r="K1150">
        <v>0.60341021871459699</v>
      </c>
      <c r="M1150">
        <f t="shared" si="52"/>
        <v>4.0205111758501246</v>
      </c>
      <c r="N1150">
        <f t="shared" si="53"/>
        <v>8</v>
      </c>
    </row>
    <row r="1151" spans="1:14" x14ac:dyDescent="0.35">
      <c r="A1151" t="str">
        <f t="shared" si="51"/>
        <v>18097390300_2028</v>
      </c>
      <c r="B1151">
        <v>18097390300</v>
      </c>
      <c r="C1151">
        <v>2028</v>
      </c>
      <c r="D1151">
        <v>-0.40837861527455988</v>
      </c>
      <c r="E1151">
        <v>0.17596884967233559</v>
      </c>
      <c r="F1151">
        <v>-1.095692578896003</v>
      </c>
      <c r="G1151">
        <v>1.758741446264027</v>
      </c>
      <c r="H1151">
        <v>1.052109143740525</v>
      </c>
      <c r="I1151">
        <v>0.93668139344024359</v>
      </c>
      <c r="J1151">
        <v>0.99658435561699776</v>
      </c>
      <c r="K1151">
        <v>0.4034743948117821</v>
      </c>
      <c r="M1151">
        <f t="shared" si="52"/>
        <v>3.8194883893753482</v>
      </c>
      <c r="N1151">
        <f t="shared" si="53"/>
        <v>8</v>
      </c>
    </row>
    <row r="1152" spans="1:14" x14ac:dyDescent="0.35">
      <c r="A1152" t="str">
        <f t="shared" si="51"/>
        <v>18097390405_2024</v>
      </c>
      <c r="B1152">
        <v>18097390405</v>
      </c>
      <c r="C1152">
        <v>2024</v>
      </c>
      <c r="D1152">
        <v>1.588053050793188</v>
      </c>
      <c r="E1152">
        <v>0.72718293191400762</v>
      </c>
      <c r="F1152">
        <v>-0.50353372710365241</v>
      </c>
      <c r="G1152">
        <v>0.47803599869043351</v>
      </c>
      <c r="I1152">
        <v>0.16755315652926531</v>
      </c>
      <c r="J1152">
        <v>0.43691298783949489</v>
      </c>
      <c r="M1152">
        <f t="shared" si="52"/>
        <v>2.8942043986627373</v>
      </c>
      <c r="N1152">
        <f t="shared" si="53"/>
        <v>6</v>
      </c>
    </row>
    <row r="1153" spans="1:14" x14ac:dyDescent="0.35">
      <c r="A1153" t="str">
        <f t="shared" si="51"/>
        <v>18097390405_2025</v>
      </c>
      <c r="B1153">
        <v>18097390405</v>
      </c>
      <c r="C1153">
        <v>2025</v>
      </c>
      <c r="D1153">
        <v>1.390222376048696</v>
      </c>
      <c r="E1153">
        <v>0.46164838945547632</v>
      </c>
      <c r="F1153">
        <v>-0.52673085176618317</v>
      </c>
      <c r="G1153">
        <v>0.43355172148365861</v>
      </c>
      <c r="I1153">
        <v>0.1055139788785896</v>
      </c>
      <c r="J1153">
        <v>0.44067033729982602</v>
      </c>
      <c r="M1153">
        <f t="shared" si="52"/>
        <v>2.3048759514000636</v>
      </c>
      <c r="N1153">
        <f t="shared" si="53"/>
        <v>6</v>
      </c>
    </row>
    <row r="1154" spans="1:14" x14ac:dyDescent="0.35">
      <c r="A1154" t="str">
        <f t="shared" si="51"/>
        <v>18097390405_2026</v>
      </c>
      <c r="B1154">
        <v>18097390405</v>
      </c>
      <c r="C1154">
        <v>2026</v>
      </c>
      <c r="D1154">
        <v>1.6889789068854999</v>
      </c>
      <c r="E1154">
        <v>0.62047624223650832</v>
      </c>
      <c r="F1154">
        <v>-0.54150794993254314</v>
      </c>
      <c r="G1154">
        <v>0.3661727785236859</v>
      </c>
      <c r="I1154">
        <v>4.2906993984012209E-2</v>
      </c>
      <c r="J1154">
        <v>0.4393175576338153</v>
      </c>
      <c r="M1154">
        <f t="shared" si="52"/>
        <v>2.6163445293309788</v>
      </c>
      <c r="N1154">
        <f t="shared" si="53"/>
        <v>6</v>
      </c>
    </row>
    <row r="1155" spans="1:14" x14ac:dyDescent="0.35">
      <c r="A1155" t="str">
        <f t="shared" ref="A1155:A1218" si="54">TEXT(B1155,0)&amp;"_"&amp;TEXT(C1155,0)</f>
        <v>18097390405_2027</v>
      </c>
      <c r="B1155">
        <v>18097390405</v>
      </c>
      <c r="C1155">
        <v>2027</v>
      </c>
      <c r="D1155">
        <v>1.637690822498667</v>
      </c>
      <c r="E1155">
        <v>0.48626497349665632</v>
      </c>
      <c r="F1155">
        <v>-0.54802457028861706</v>
      </c>
      <c r="G1155">
        <v>0.31512876646706839</v>
      </c>
      <c r="I1155">
        <v>-1.4356944682698431E-2</v>
      </c>
      <c r="J1155">
        <v>0.43312229848452177</v>
      </c>
      <c r="M1155">
        <f t="shared" ref="M1155:M1218" si="55">SUM(D1155:K1155)</f>
        <v>2.3098253459755984</v>
      </c>
      <c r="N1155">
        <f t="shared" ref="N1155:N1218" si="56">IF(D1155=0,0,1)+IF(E1155=0,0,1)+IF(F1155=0,0,1)+IF(G1155=0,0,1)+IF(H1155=0,0,1)+IF(I1155=0,0,1)++IF(J1155=0,0,1)++IF(K1155=0,0,1)</f>
        <v>6</v>
      </c>
    </row>
    <row r="1156" spans="1:14" x14ac:dyDescent="0.35">
      <c r="A1156" t="str">
        <f t="shared" si="54"/>
        <v>18097390405_2028</v>
      </c>
      <c r="B1156">
        <v>18097390405</v>
      </c>
      <c r="C1156">
        <v>2028</v>
      </c>
      <c r="D1156">
        <v>1.760359124794449</v>
      </c>
      <c r="E1156">
        <v>0.55319897420249142</v>
      </c>
      <c r="F1156">
        <v>-0.55365733290839592</v>
      </c>
      <c r="G1156">
        <v>0.2501012402295002</v>
      </c>
      <c r="I1156">
        <v>-7.1308629677603028E-2</v>
      </c>
      <c r="J1156">
        <v>0.42179306479991541</v>
      </c>
      <c r="M1156">
        <f t="shared" si="55"/>
        <v>2.360486441440357</v>
      </c>
      <c r="N1156">
        <f t="shared" si="56"/>
        <v>6</v>
      </c>
    </row>
    <row r="1157" spans="1:14" x14ac:dyDescent="0.35">
      <c r="A1157" t="str">
        <f t="shared" si="54"/>
        <v>18097390406_2024</v>
      </c>
      <c r="B1157">
        <v>18097390406</v>
      </c>
      <c r="C1157">
        <v>2024</v>
      </c>
      <c r="D1157">
        <v>-0.48321668568880821</v>
      </c>
      <c r="E1157">
        <v>0.59102803270124527</v>
      </c>
      <c r="F1157">
        <v>-1.365071586741442</v>
      </c>
      <c r="G1157">
        <v>1.853938866719985</v>
      </c>
      <c r="I1157">
        <v>0.42869323786784957</v>
      </c>
      <c r="J1157">
        <v>0.9228773138270312</v>
      </c>
      <c r="K1157">
        <v>1.23247846272449</v>
      </c>
      <c r="M1157">
        <f t="shared" si="55"/>
        <v>3.1807276414103507</v>
      </c>
      <c r="N1157">
        <f t="shared" si="56"/>
        <v>7</v>
      </c>
    </row>
    <row r="1158" spans="1:14" x14ac:dyDescent="0.35">
      <c r="A1158" t="str">
        <f t="shared" si="54"/>
        <v>18097390406_2025</v>
      </c>
      <c r="B1158">
        <v>18097390406</v>
      </c>
      <c r="C1158">
        <v>2025</v>
      </c>
      <c r="D1158">
        <v>-0.3617848955564531</v>
      </c>
      <c r="E1158">
        <v>0.552095659349505</v>
      </c>
      <c r="F1158">
        <v>-1.3338978798046399</v>
      </c>
      <c r="G1158">
        <v>1.891700772820226</v>
      </c>
      <c r="I1158">
        <v>0.30706223573041941</v>
      </c>
      <c r="J1158">
        <v>0.94653607119088523</v>
      </c>
      <c r="K1158">
        <v>1.056309209184946</v>
      </c>
      <c r="M1158">
        <f t="shared" si="55"/>
        <v>3.0580211729148883</v>
      </c>
      <c r="N1158">
        <f t="shared" si="56"/>
        <v>7</v>
      </c>
    </row>
    <row r="1159" spans="1:14" x14ac:dyDescent="0.35">
      <c r="A1159" t="str">
        <f t="shared" si="54"/>
        <v>18097390406_2026</v>
      </c>
      <c r="B1159">
        <v>18097390406</v>
      </c>
      <c r="C1159">
        <v>2026</v>
      </c>
      <c r="D1159">
        <v>-0.27940666318723711</v>
      </c>
      <c r="E1159">
        <v>0.55401396870319652</v>
      </c>
      <c r="F1159">
        <v>-1.282109498831848</v>
      </c>
      <c r="G1159">
        <v>1.854439185683453</v>
      </c>
      <c r="I1159">
        <v>0.17810814622295049</v>
      </c>
      <c r="J1159">
        <v>0.96451433213760041</v>
      </c>
      <c r="K1159">
        <v>0.82058815086167491</v>
      </c>
      <c r="M1159">
        <f t="shared" si="55"/>
        <v>2.8101476215897905</v>
      </c>
      <c r="N1159">
        <f t="shared" si="56"/>
        <v>7</v>
      </c>
    </row>
    <row r="1160" spans="1:14" x14ac:dyDescent="0.35">
      <c r="A1160" t="str">
        <f t="shared" si="54"/>
        <v>18097390406_2027</v>
      </c>
      <c r="B1160">
        <v>18097390406</v>
      </c>
      <c r="C1160">
        <v>2027</v>
      </c>
      <c r="D1160">
        <v>-0.15540054806947659</v>
      </c>
      <c r="E1160">
        <v>0.53374691296432941</v>
      </c>
      <c r="F1160">
        <v>-1.2131230119825991</v>
      </c>
      <c r="G1160">
        <v>1.8468451305381131</v>
      </c>
      <c r="I1160">
        <v>5.8731412419767079E-2</v>
      </c>
      <c r="J1160">
        <v>0.9808547080726816</v>
      </c>
      <c r="K1160">
        <v>0.60341021862003952</v>
      </c>
      <c r="M1160">
        <f t="shared" si="55"/>
        <v>2.655064822562855</v>
      </c>
      <c r="N1160">
        <f t="shared" si="56"/>
        <v>7</v>
      </c>
    </row>
    <row r="1161" spans="1:14" x14ac:dyDescent="0.35">
      <c r="A1161" t="str">
        <f t="shared" si="54"/>
        <v>18097390406_2028</v>
      </c>
      <c r="B1161">
        <v>18097390406</v>
      </c>
      <c r="C1161">
        <v>2028</v>
      </c>
      <c r="D1161">
        <v>-6.7878189958947899E-2</v>
      </c>
      <c r="E1161">
        <v>0.52576050318492151</v>
      </c>
      <c r="F1161">
        <v>-1.1590185501688011</v>
      </c>
      <c r="G1161">
        <v>1.781503137284373</v>
      </c>
      <c r="I1161">
        <v>-5.898621467345113E-2</v>
      </c>
      <c r="J1161">
        <v>0.99658435561699776</v>
      </c>
      <c r="K1161">
        <v>0.40347439468746787</v>
      </c>
      <c r="M1161">
        <f t="shared" si="55"/>
        <v>2.4214394359725597</v>
      </c>
      <c r="N1161">
        <f t="shared" si="56"/>
        <v>7</v>
      </c>
    </row>
    <row r="1162" spans="1:14" x14ac:dyDescent="0.35">
      <c r="A1162" t="str">
        <f t="shared" si="54"/>
        <v>18097390408_2024</v>
      </c>
      <c r="B1162">
        <v>18097390408</v>
      </c>
      <c r="C1162">
        <v>2024</v>
      </c>
      <c r="D1162">
        <v>0.91064467839755603</v>
      </c>
      <c r="E1162">
        <v>0.37498975694346481</v>
      </c>
      <c r="G1162">
        <v>0.65133657029736314</v>
      </c>
      <c r="I1162">
        <v>0.81999549548253114</v>
      </c>
      <c r="J1162">
        <v>0.44047310304896209</v>
      </c>
      <c r="M1162">
        <f t="shared" si="55"/>
        <v>3.1974396041698774</v>
      </c>
      <c r="N1162">
        <f t="shared" si="56"/>
        <v>5</v>
      </c>
    </row>
    <row r="1163" spans="1:14" x14ac:dyDescent="0.35">
      <c r="A1163" t="str">
        <f t="shared" si="54"/>
        <v>18097390408_2025</v>
      </c>
      <c r="B1163">
        <v>18097390408</v>
      </c>
      <c r="C1163">
        <v>2025</v>
      </c>
      <c r="D1163">
        <v>0.75932332165899119</v>
      </c>
      <c r="E1163">
        <v>0.33303640420986919</v>
      </c>
      <c r="G1163">
        <v>0.4973255561721624</v>
      </c>
      <c r="I1163">
        <v>0.90375261534853202</v>
      </c>
      <c r="J1163">
        <v>0.44438920708063739</v>
      </c>
      <c r="M1163">
        <f t="shared" si="55"/>
        <v>2.937827104470192</v>
      </c>
      <c r="N1163">
        <f t="shared" si="56"/>
        <v>5</v>
      </c>
    </row>
    <row r="1164" spans="1:14" x14ac:dyDescent="0.35">
      <c r="A1164" t="str">
        <f t="shared" si="54"/>
        <v>18097390408_2026</v>
      </c>
      <c r="B1164">
        <v>18097390408</v>
      </c>
      <c r="C1164">
        <v>2026</v>
      </c>
      <c r="D1164">
        <v>1.0090851160846941</v>
      </c>
      <c r="E1164">
        <v>0.29869820970213468</v>
      </c>
      <c r="G1164">
        <v>0.51148239418312846</v>
      </c>
      <c r="I1164">
        <v>0.62788974174629097</v>
      </c>
      <c r="J1164">
        <v>0.44318219658171548</v>
      </c>
      <c r="M1164">
        <f t="shared" si="55"/>
        <v>2.8903376582979634</v>
      </c>
      <c r="N1164">
        <f t="shared" si="56"/>
        <v>5</v>
      </c>
    </row>
    <row r="1165" spans="1:14" x14ac:dyDescent="0.35">
      <c r="A1165" t="str">
        <f t="shared" si="54"/>
        <v>18097390408_2027</v>
      </c>
      <c r="B1165">
        <v>18097390408</v>
      </c>
      <c r="C1165">
        <v>2027</v>
      </c>
      <c r="D1165">
        <v>0.98213695681937885</v>
      </c>
      <c r="E1165">
        <v>0.25842433865700792</v>
      </c>
      <c r="G1165">
        <v>0.36980867340604229</v>
      </c>
      <c r="I1165">
        <v>0.68366673185931304</v>
      </c>
      <c r="J1165">
        <v>0.43715122637128589</v>
      </c>
      <c r="M1165">
        <f t="shared" si="55"/>
        <v>2.7311879271130279</v>
      </c>
      <c r="N1165">
        <f t="shared" si="56"/>
        <v>5</v>
      </c>
    </row>
    <row r="1166" spans="1:14" x14ac:dyDescent="0.35">
      <c r="A1166" t="str">
        <f t="shared" si="54"/>
        <v>18097390408_2028</v>
      </c>
      <c r="B1166">
        <v>18097390408</v>
      </c>
      <c r="C1166">
        <v>2028</v>
      </c>
      <c r="D1166">
        <v>1.0965595079769821</v>
      </c>
      <c r="E1166">
        <v>0.22618196700326099</v>
      </c>
      <c r="G1166">
        <v>0.36622791648394448</v>
      </c>
      <c r="I1166">
        <v>0.43867755903936789</v>
      </c>
      <c r="J1166">
        <v>0.4260173885704861</v>
      </c>
      <c r="M1166">
        <f t="shared" si="55"/>
        <v>2.5536643390740412</v>
      </c>
      <c r="N1166">
        <f t="shared" si="56"/>
        <v>5</v>
      </c>
    </row>
    <row r="1167" spans="1:14" x14ac:dyDescent="0.35">
      <c r="A1167" t="str">
        <f t="shared" si="54"/>
        <v>18097390409_2024</v>
      </c>
      <c r="B1167">
        <v>18097390409</v>
      </c>
      <c r="C1167">
        <v>2024</v>
      </c>
      <c r="D1167">
        <v>2.1889047970500171</v>
      </c>
      <c r="E1167">
        <v>0.43578718724573351</v>
      </c>
      <c r="F1167">
        <v>-0.87433930771526069</v>
      </c>
      <c r="G1167">
        <v>0.67267087973659057</v>
      </c>
      <c r="J1167">
        <v>0.43691298783949489</v>
      </c>
      <c r="M1167">
        <f t="shared" si="55"/>
        <v>2.8599365441565752</v>
      </c>
      <c r="N1167">
        <f t="shared" si="56"/>
        <v>5</v>
      </c>
    </row>
    <row r="1168" spans="1:14" x14ac:dyDescent="0.35">
      <c r="A1168" t="str">
        <f t="shared" si="54"/>
        <v>18097390409_2025</v>
      </c>
      <c r="B1168">
        <v>18097390409</v>
      </c>
      <c r="C1168">
        <v>2025</v>
      </c>
      <c r="D1168">
        <v>1.950662087003294</v>
      </c>
      <c r="E1168">
        <v>0.26006040840342998</v>
      </c>
      <c r="F1168">
        <v>-0.54876969903922701</v>
      </c>
      <c r="G1168">
        <v>0.44972560906611031</v>
      </c>
      <c r="J1168">
        <v>0.44067033729982602</v>
      </c>
      <c r="M1168">
        <f t="shared" si="55"/>
        <v>2.5523487427334337</v>
      </c>
      <c r="N1168">
        <f t="shared" si="56"/>
        <v>5</v>
      </c>
    </row>
    <row r="1169" spans="1:14" x14ac:dyDescent="0.35">
      <c r="A1169" t="str">
        <f t="shared" si="54"/>
        <v>18097390409_2026</v>
      </c>
      <c r="B1169">
        <v>18097390409</v>
      </c>
      <c r="C1169">
        <v>2026</v>
      </c>
      <c r="D1169">
        <v>2.2925703581010022</v>
      </c>
      <c r="E1169">
        <v>0.15936775886175161</v>
      </c>
      <c r="F1169">
        <v>-0.1961647848756132</v>
      </c>
      <c r="G1169">
        <v>0.21534451515153211</v>
      </c>
      <c r="J1169">
        <v>0.4393175576338153</v>
      </c>
      <c r="M1169">
        <f t="shared" si="55"/>
        <v>2.9104354048724881</v>
      </c>
      <c r="N1169">
        <f t="shared" si="56"/>
        <v>5</v>
      </c>
    </row>
    <row r="1170" spans="1:14" x14ac:dyDescent="0.35">
      <c r="A1170" t="str">
        <f t="shared" si="54"/>
        <v>18097390409_2027</v>
      </c>
      <c r="B1170">
        <v>18097390409</v>
      </c>
      <c r="C1170">
        <v>2027</v>
      </c>
      <c r="D1170">
        <v>2.2202608251014411</v>
      </c>
      <c r="E1170">
        <v>5.3681766080837297E-3</v>
      </c>
      <c r="F1170">
        <v>0.2561488077041299</v>
      </c>
      <c r="G1170">
        <v>2.692906293185459E-2</v>
      </c>
      <c r="J1170">
        <v>0.43312229848452177</v>
      </c>
      <c r="M1170">
        <f t="shared" si="55"/>
        <v>2.9418291708300304</v>
      </c>
      <c r="N1170">
        <f t="shared" si="56"/>
        <v>5</v>
      </c>
    </row>
    <row r="1171" spans="1:14" x14ac:dyDescent="0.35">
      <c r="A1171" t="str">
        <f t="shared" si="54"/>
        <v>18097390409_2028</v>
      </c>
      <c r="B1171">
        <v>18097390409</v>
      </c>
      <c r="C1171">
        <v>2028</v>
      </c>
      <c r="D1171">
        <v>2.350149008086893</v>
      </c>
      <c r="E1171">
        <v>-8.938779458133532E-2</v>
      </c>
      <c r="F1171">
        <v>0.80996394044588882</v>
      </c>
      <c r="G1171">
        <v>-0.14357719015131379</v>
      </c>
      <c r="J1171">
        <v>0.42179306479991541</v>
      </c>
      <c r="M1171">
        <f t="shared" si="55"/>
        <v>3.3489410286000481</v>
      </c>
      <c r="N1171">
        <f t="shared" si="56"/>
        <v>5</v>
      </c>
    </row>
    <row r="1172" spans="1:14" x14ac:dyDescent="0.35">
      <c r="A1172" t="str">
        <f t="shared" si="54"/>
        <v>18097390410_2024</v>
      </c>
      <c r="B1172">
        <v>18097390410</v>
      </c>
      <c r="C1172">
        <v>2024</v>
      </c>
      <c r="D1172">
        <v>-0.3930260641310187</v>
      </c>
      <c r="E1172">
        <v>0.3484343435354163</v>
      </c>
      <c r="F1172">
        <v>-1.164699767737527</v>
      </c>
      <c r="G1172">
        <v>1.539437962495994</v>
      </c>
      <c r="I1172">
        <v>1.4069725695969191</v>
      </c>
      <c r="J1172">
        <v>0.43691298783949489</v>
      </c>
      <c r="M1172">
        <f t="shared" si="55"/>
        <v>2.1740320315992787</v>
      </c>
      <c r="N1172">
        <f t="shared" si="56"/>
        <v>6</v>
      </c>
    </row>
    <row r="1173" spans="1:14" x14ac:dyDescent="0.35">
      <c r="A1173" t="str">
        <f t="shared" si="54"/>
        <v>18097390410_2025</v>
      </c>
      <c r="B1173">
        <v>18097390410</v>
      </c>
      <c r="C1173">
        <v>2025</v>
      </c>
      <c r="D1173">
        <v>-0.45761308495807529</v>
      </c>
      <c r="E1173">
        <v>0.43533086751887168</v>
      </c>
      <c r="F1173">
        <v>-1.1363162889959719</v>
      </c>
      <c r="G1173">
        <v>1.7451283707166989</v>
      </c>
      <c r="I1173">
        <v>1.3604575387985649</v>
      </c>
      <c r="J1173">
        <v>0.44067033729982602</v>
      </c>
      <c r="M1173">
        <f t="shared" si="55"/>
        <v>2.3876577403799142</v>
      </c>
      <c r="N1173">
        <f t="shared" si="56"/>
        <v>6</v>
      </c>
    </row>
    <row r="1174" spans="1:14" x14ac:dyDescent="0.35">
      <c r="A1174" t="str">
        <f t="shared" si="54"/>
        <v>18097390410_2026</v>
      </c>
      <c r="B1174">
        <v>18097390410</v>
      </c>
      <c r="C1174">
        <v>2026</v>
      </c>
      <c r="D1174">
        <v>-0.30113325053164269</v>
      </c>
      <c r="E1174">
        <v>0.13562848581705969</v>
      </c>
      <c r="F1174">
        <v>-1.1339973480953569</v>
      </c>
      <c r="G1174">
        <v>1.87616139979278</v>
      </c>
      <c r="I1174">
        <v>1.1577332959993301</v>
      </c>
      <c r="J1174">
        <v>0.4393175576338153</v>
      </c>
      <c r="M1174">
        <f t="shared" si="55"/>
        <v>2.1737101406159853</v>
      </c>
      <c r="N1174">
        <f t="shared" si="56"/>
        <v>6</v>
      </c>
    </row>
    <row r="1175" spans="1:14" x14ac:dyDescent="0.35">
      <c r="A1175" t="str">
        <f t="shared" si="54"/>
        <v>18097390410_2027</v>
      </c>
      <c r="B1175">
        <v>18097390410</v>
      </c>
      <c r="C1175">
        <v>2027</v>
      </c>
      <c r="D1175">
        <v>-0.28311081917962222</v>
      </c>
      <c r="E1175">
        <v>0.22026847811572961</v>
      </c>
      <c r="F1175">
        <v>-1.0765802396766531</v>
      </c>
      <c r="G1175">
        <v>2.037200729233295</v>
      </c>
      <c r="I1175">
        <v>1.099322623632516</v>
      </c>
      <c r="J1175">
        <v>0.43312229848452177</v>
      </c>
      <c r="M1175">
        <f t="shared" si="55"/>
        <v>2.4302230706097872</v>
      </c>
      <c r="N1175">
        <f t="shared" si="56"/>
        <v>6</v>
      </c>
    </row>
    <row r="1176" spans="1:14" x14ac:dyDescent="0.35">
      <c r="A1176" t="str">
        <f t="shared" si="54"/>
        <v>18097390410_2028</v>
      </c>
      <c r="B1176">
        <v>18097390410</v>
      </c>
      <c r="C1176">
        <v>2028</v>
      </c>
      <c r="D1176">
        <v>-0.18424751114467319</v>
      </c>
      <c r="E1176">
        <v>-5.6154249940608358E-2</v>
      </c>
      <c r="F1176">
        <v>-1.05421380601854</v>
      </c>
      <c r="G1176">
        <v>2.1325236375265288</v>
      </c>
      <c r="I1176">
        <v>0.908780936390158</v>
      </c>
      <c r="J1176">
        <v>0.42179306479991541</v>
      </c>
      <c r="M1176">
        <f t="shared" si="55"/>
        <v>2.1684820716127806</v>
      </c>
      <c r="N1176">
        <f t="shared" si="56"/>
        <v>6</v>
      </c>
    </row>
    <row r="1177" spans="1:14" x14ac:dyDescent="0.35">
      <c r="A1177" t="str">
        <f t="shared" si="54"/>
        <v>18097390411_2024</v>
      </c>
      <c r="B1177">
        <v>18097390411</v>
      </c>
      <c r="C1177">
        <v>2024</v>
      </c>
      <c r="D1177">
        <v>0.72740946814188956</v>
      </c>
      <c r="F1177">
        <v>-0.4788511612018827</v>
      </c>
      <c r="G1177">
        <v>-0.31729416749824002</v>
      </c>
      <c r="I1177">
        <v>0.14080502587271579</v>
      </c>
      <c r="J1177">
        <v>0.43691286716271988</v>
      </c>
      <c r="M1177">
        <f t="shared" si="55"/>
        <v>0.50898203247720253</v>
      </c>
      <c r="N1177">
        <f t="shared" si="56"/>
        <v>5</v>
      </c>
    </row>
    <row r="1178" spans="1:14" x14ac:dyDescent="0.35">
      <c r="A1178" t="str">
        <f t="shared" si="54"/>
        <v>18097390411_2025</v>
      </c>
      <c r="B1178">
        <v>18097390411</v>
      </c>
      <c r="C1178">
        <v>2025</v>
      </c>
      <c r="D1178">
        <v>0.58746396777152987</v>
      </c>
      <c r="F1178">
        <v>-0.57252506791205804</v>
      </c>
      <c r="G1178">
        <v>-0.40018124391835141</v>
      </c>
      <c r="I1178">
        <v>0.13355245225420609</v>
      </c>
      <c r="J1178">
        <v>0.4406700639064644</v>
      </c>
      <c r="M1178">
        <f t="shared" si="55"/>
        <v>0.18898017210179091</v>
      </c>
      <c r="N1178">
        <f t="shared" si="56"/>
        <v>5</v>
      </c>
    </row>
    <row r="1179" spans="1:14" x14ac:dyDescent="0.35">
      <c r="A1179" t="str">
        <f t="shared" si="54"/>
        <v>18097390411_2026</v>
      </c>
      <c r="B1179">
        <v>18097390411</v>
      </c>
      <c r="C1179">
        <v>2026</v>
      </c>
      <c r="D1179">
        <v>0.82441106280781673</v>
      </c>
      <c r="F1179">
        <v>-0.6238007844218062</v>
      </c>
      <c r="G1179">
        <v>-0.47903085142596341</v>
      </c>
      <c r="I1179">
        <v>-0.231920068968689</v>
      </c>
      <c r="J1179">
        <v>0.43931710685547409</v>
      </c>
      <c r="M1179">
        <f t="shared" si="55"/>
        <v>-7.1023535153167727E-2</v>
      </c>
      <c r="N1179">
        <f t="shared" si="56"/>
        <v>5</v>
      </c>
    </row>
    <row r="1180" spans="1:14" x14ac:dyDescent="0.35">
      <c r="A1180" t="str">
        <f t="shared" si="54"/>
        <v>18097390411_2027</v>
      </c>
      <c r="B1180">
        <v>18097390411</v>
      </c>
      <c r="C1180">
        <v>2027</v>
      </c>
      <c r="D1180">
        <v>0.80323359006349737</v>
      </c>
      <c r="F1180">
        <v>-0.66270624601731665</v>
      </c>
      <c r="G1180">
        <v>-0.54485569789187493</v>
      </c>
      <c r="I1180">
        <v>-0.24842250847964631</v>
      </c>
      <c r="J1180">
        <v>0.43312164109579399</v>
      </c>
      <c r="M1180">
        <f t="shared" si="55"/>
        <v>-0.21962922122954653</v>
      </c>
      <c r="N1180">
        <f t="shared" si="56"/>
        <v>5</v>
      </c>
    </row>
    <row r="1181" spans="1:14" x14ac:dyDescent="0.35">
      <c r="A1181" t="str">
        <f t="shared" si="54"/>
        <v>18097390411_2028</v>
      </c>
      <c r="B1181">
        <v>18097390411</v>
      </c>
      <c r="C1181">
        <v>2028</v>
      </c>
      <c r="D1181">
        <v>0.91556029262761884</v>
      </c>
      <c r="F1181">
        <v>-0.68850575829946137</v>
      </c>
      <c r="G1181">
        <v>-0.59768678821337662</v>
      </c>
      <c r="I1181">
        <v>-0.57839663554128284</v>
      </c>
      <c r="J1181">
        <v>0.4217921636543675</v>
      </c>
      <c r="M1181">
        <f t="shared" si="55"/>
        <v>-0.52723672577213443</v>
      </c>
      <c r="N1181">
        <f t="shared" si="56"/>
        <v>5</v>
      </c>
    </row>
    <row r="1182" spans="1:14" x14ac:dyDescent="0.35">
      <c r="A1182" t="str">
        <f t="shared" si="54"/>
        <v>18097390500_2024</v>
      </c>
      <c r="B1182">
        <v>18097390500</v>
      </c>
      <c r="C1182">
        <v>2024</v>
      </c>
      <c r="D1182">
        <v>0.40413072064480299</v>
      </c>
      <c r="E1182">
        <v>-1.067082432134046</v>
      </c>
      <c r="F1182">
        <v>-0.60858342668057808</v>
      </c>
      <c r="G1182">
        <v>-0.45810728153563368</v>
      </c>
      <c r="H1182">
        <v>-0.88622234741913619</v>
      </c>
      <c r="I1182">
        <v>-1.6033417743884579</v>
      </c>
      <c r="J1182">
        <v>-0.73043488162322245</v>
      </c>
      <c r="K1182">
        <v>-0.30243144718142029</v>
      </c>
      <c r="M1182">
        <f t="shared" si="55"/>
        <v>-5.2520728703176909</v>
      </c>
      <c r="N1182">
        <f t="shared" si="56"/>
        <v>8</v>
      </c>
    </row>
    <row r="1183" spans="1:14" x14ac:dyDescent="0.35">
      <c r="A1183" t="str">
        <f t="shared" si="54"/>
        <v>18097390500_2025</v>
      </c>
      <c r="B1183">
        <v>18097390500</v>
      </c>
      <c r="C1183">
        <v>2025</v>
      </c>
      <c r="D1183">
        <v>0.46798984839184088</v>
      </c>
      <c r="E1183">
        <v>-1.0666736210379859</v>
      </c>
      <c r="F1183">
        <v>-0.65977515136119891</v>
      </c>
      <c r="G1183">
        <v>-0.39501417694894742</v>
      </c>
      <c r="H1183">
        <v>-0.72250937799010095</v>
      </c>
      <c r="I1183">
        <v>-1.523028983692273</v>
      </c>
      <c r="J1183">
        <v>-0.77575080685259856</v>
      </c>
      <c r="K1183">
        <v>-0.3026261648227021</v>
      </c>
      <c r="M1183">
        <f t="shared" si="55"/>
        <v>-4.9773884343139665</v>
      </c>
      <c r="N1183">
        <f t="shared" si="56"/>
        <v>8</v>
      </c>
    </row>
    <row r="1184" spans="1:14" x14ac:dyDescent="0.35">
      <c r="A1184" t="str">
        <f t="shared" si="54"/>
        <v>18097390500_2026</v>
      </c>
      <c r="B1184">
        <v>18097390500</v>
      </c>
      <c r="C1184">
        <v>2026</v>
      </c>
      <c r="D1184">
        <v>0.35271039385185482</v>
      </c>
      <c r="E1184">
        <v>-1.065322558085757</v>
      </c>
      <c r="F1184">
        <v>-0.6925970908277298</v>
      </c>
      <c r="G1184">
        <v>-0.33950766219403578</v>
      </c>
      <c r="H1184">
        <v>-0.52960577519773333</v>
      </c>
      <c r="I1184">
        <v>-1.4311046393089599</v>
      </c>
      <c r="J1184">
        <v>-0.80759953080489566</v>
      </c>
      <c r="K1184">
        <v>-0.3129254901347196</v>
      </c>
      <c r="M1184">
        <f t="shared" si="55"/>
        <v>-4.8259523527019761</v>
      </c>
      <c r="N1184">
        <f t="shared" si="56"/>
        <v>8</v>
      </c>
    </row>
    <row r="1185" spans="1:14" x14ac:dyDescent="0.35">
      <c r="A1185" t="str">
        <f t="shared" si="54"/>
        <v>18097390500_2027</v>
      </c>
      <c r="B1185">
        <v>18097390500</v>
      </c>
      <c r="C1185">
        <v>2027</v>
      </c>
      <c r="D1185">
        <v>0.33033397957052629</v>
      </c>
      <c r="E1185">
        <v>-1.0602451128510091</v>
      </c>
      <c r="F1185">
        <v>-0.70803025727027658</v>
      </c>
      <c r="G1185">
        <v>-0.28360324839395301</v>
      </c>
      <c r="H1185">
        <v>-0.38290561857778749</v>
      </c>
      <c r="I1185">
        <v>-1.3428526975735231</v>
      </c>
      <c r="J1185">
        <v>-0.83598879733534148</v>
      </c>
      <c r="K1185">
        <v>-0.31526604176078699</v>
      </c>
      <c r="M1185">
        <f t="shared" si="55"/>
        <v>-4.5985577941921516</v>
      </c>
      <c r="N1185">
        <f t="shared" si="56"/>
        <v>8</v>
      </c>
    </row>
    <row r="1186" spans="1:14" x14ac:dyDescent="0.35">
      <c r="A1186" t="str">
        <f t="shared" si="54"/>
        <v>18097390500_2028</v>
      </c>
      <c r="B1186">
        <v>18097390500</v>
      </c>
      <c r="C1186">
        <v>2028</v>
      </c>
      <c r="D1186">
        <v>0.25235574364903107</v>
      </c>
      <c r="E1186">
        <v>-1.0520157203873599</v>
      </c>
      <c r="F1186">
        <v>-0.71999679236628056</v>
      </c>
      <c r="G1186">
        <v>-0.23457095326059979</v>
      </c>
      <c r="H1186">
        <v>-0.22932056710253099</v>
      </c>
      <c r="I1186">
        <v>-1.2494638892094341</v>
      </c>
      <c r="J1186">
        <v>-0.86628512551994674</v>
      </c>
      <c r="K1186">
        <v>-0.312362319550194</v>
      </c>
      <c r="M1186">
        <f t="shared" si="55"/>
        <v>-4.4116596237473145</v>
      </c>
      <c r="N1186">
        <f t="shared" si="56"/>
        <v>8</v>
      </c>
    </row>
    <row r="1187" spans="1:14" x14ac:dyDescent="0.35">
      <c r="A1187" t="str">
        <f t="shared" si="54"/>
        <v>18097390601_2024</v>
      </c>
      <c r="B1187">
        <v>18097390601</v>
      </c>
      <c r="C1187">
        <v>2024</v>
      </c>
      <c r="D1187">
        <v>-1.130265825481729</v>
      </c>
      <c r="E1187">
        <v>2.050216493302933</v>
      </c>
      <c r="F1187">
        <v>1.3893048355946209</v>
      </c>
      <c r="G1187">
        <v>1.188627889984719E-2</v>
      </c>
      <c r="I1187">
        <v>1.180676572061268</v>
      </c>
      <c r="J1187">
        <v>-1.082827724134428</v>
      </c>
      <c r="K1187">
        <v>-0.4457365525982388</v>
      </c>
      <c r="M1187">
        <f t="shared" si="55"/>
        <v>1.9732540776442735</v>
      </c>
      <c r="N1187">
        <f t="shared" si="56"/>
        <v>7</v>
      </c>
    </row>
    <row r="1188" spans="1:14" x14ac:dyDescent="0.35">
      <c r="A1188" t="str">
        <f t="shared" si="54"/>
        <v>18097390601_2025</v>
      </c>
      <c r="B1188">
        <v>18097390601</v>
      </c>
      <c r="C1188">
        <v>2025</v>
      </c>
      <c r="D1188">
        <v>-1.1253283233130129</v>
      </c>
      <c r="E1188">
        <v>2.1702668609159508</v>
      </c>
      <c r="F1188">
        <v>1.2414396786305411</v>
      </c>
      <c r="G1188">
        <v>-2.1046938804953869E-2</v>
      </c>
      <c r="I1188">
        <v>1.600387326934875</v>
      </c>
      <c r="J1188">
        <v>-1.1152786391356</v>
      </c>
      <c r="K1188">
        <v>-0.50634476217728075</v>
      </c>
      <c r="M1188">
        <f t="shared" si="55"/>
        <v>2.2440952030505197</v>
      </c>
      <c r="N1188">
        <f t="shared" si="56"/>
        <v>7</v>
      </c>
    </row>
    <row r="1189" spans="1:14" x14ac:dyDescent="0.35">
      <c r="A1189" t="str">
        <f t="shared" si="54"/>
        <v>18097390601_2026</v>
      </c>
      <c r="B1189">
        <v>18097390601</v>
      </c>
      <c r="C1189">
        <v>2026</v>
      </c>
      <c r="D1189">
        <v>-1.099882342504352</v>
      </c>
      <c r="E1189">
        <v>2.0314524475250209</v>
      </c>
      <c r="F1189">
        <v>1.5288538522201669</v>
      </c>
      <c r="G1189">
        <v>1.8082551760396082E-2</v>
      </c>
      <c r="I1189">
        <v>2.0555739708797112</v>
      </c>
      <c r="J1189">
        <v>-1.1579142530381901</v>
      </c>
      <c r="K1189">
        <v>-0.55216529670984271</v>
      </c>
      <c r="M1189">
        <f t="shared" si="55"/>
        <v>2.8240009301329101</v>
      </c>
      <c r="N1189">
        <f t="shared" si="56"/>
        <v>7</v>
      </c>
    </row>
    <row r="1190" spans="1:14" x14ac:dyDescent="0.35">
      <c r="A1190" t="str">
        <f t="shared" si="54"/>
        <v>18097390601_2027</v>
      </c>
      <c r="B1190">
        <v>18097390601</v>
      </c>
      <c r="C1190">
        <v>2027</v>
      </c>
      <c r="D1190">
        <v>-1.066320662651502</v>
      </c>
      <c r="E1190">
        <v>2.111040067562215</v>
      </c>
      <c r="F1190">
        <v>1.3868910419323499</v>
      </c>
      <c r="G1190">
        <v>-1.3385784860317039E-2</v>
      </c>
      <c r="I1190">
        <v>2.0592602302587819</v>
      </c>
      <c r="J1190">
        <v>-1.2121595355077941</v>
      </c>
      <c r="K1190">
        <v>-0.57229695774639744</v>
      </c>
      <c r="M1190">
        <f t="shared" si="55"/>
        <v>2.6930283989873356</v>
      </c>
      <c r="N1190">
        <f t="shared" si="56"/>
        <v>7</v>
      </c>
    </row>
    <row r="1191" spans="1:14" x14ac:dyDescent="0.35">
      <c r="A1191" t="str">
        <f t="shared" si="54"/>
        <v>18097390601_2028</v>
      </c>
      <c r="B1191">
        <v>18097390601</v>
      </c>
      <c r="C1191">
        <v>2028</v>
      </c>
      <c r="D1191">
        <v>-1.0255894331456259</v>
      </c>
      <c r="E1191">
        <v>1.992518356787174</v>
      </c>
      <c r="F1191">
        <v>1.583866296765793</v>
      </c>
      <c r="G1191">
        <v>1.308130153779942E-2</v>
      </c>
      <c r="I1191">
        <v>2.0438725065098411</v>
      </c>
      <c r="J1191">
        <v>-1.279551099745559</v>
      </c>
      <c r="K1191">
        <v>-0.56959480963357445</v>
      </c>
      <c r="M1191">
        <f t="shared" si="55"/>
        <v>2.7586031190758482</v>
      </c>
      <c r="N1191">
        <f t="shared" si="56"/>
        <v>7</v>
      </c>
    </row>
    <row r="1192" spans="1:14" x14ac:dyDescent="0.35">
      <c r="A1192" t="str">
        <f t="shared" si="54"/>
        <v>18097390602_2024</v>
      </c>
      <c r="B1192">
        <v>18097390602</v>
      </c>
      <c r="C1192">
        <v>2024</v>
      </c>
      <c r="D1192">
        <v>-1.4387085112616</v>
      </c>
      <c r="E1192">
        <v>1.1134059756458909</v>
      </c>
      <c r="F1192">
        <v>0.63657495725279656</v>
      </c>
      <c r="I1192">
        <v>-0.50715502340298968</v>
      </c>
      <c r="J1192">
        <v>-1.0715886057841311</v>
      </c>
      <c r="K1192">
        <v>-0.44367919033425801</v>
      </c>
      <c r="M1192">
        <f t="shared" si="55"/>
        <v>-1.7111503978842912</v>
      </c>
      <c r="N1192">
        <f t="shared" si="56"/>
        <v>6</v>
      </c>
    </row>
    <row r="1193" spans="1:14" x14ac:dyDescent="0.35">
      <c r="A1193" t="str">
        <f t="shared" si="54"/>
        <v>18097390602_2025</v>
      </c>
      <c r="B1193">
        <v>18097390602</v>
      </c>
      <c r="C1193">
        <v>2025</v>
      </c>
      <c r="D1193">
        <v>-1.422395607231709</v>
      </c>
      <c r="E1193">
        <v>1.1787787996871999</v>
      </c>
      <c r="F1193">
        <v>0.51183728618642332</v>
      </c>
      <c r="I1193">
        <v>-0.52899956061194608</v>
      </c>
      <c r="J1193">
        <v>-1.1039434910598509</v>
      </c>
      <c r="K1193">
        <v>-0.50293252457388005</v>
      </c>
      <c r="M1193">
        <f t="shared" si="55"/>
        <v>-1.8676550976037627</v>
      </c>
      <c r="N1193">
        <f t="shared" si="56"/>
        <v>6</v>
      </c>
    </row>
    <row r="1194" spans="1:14" x14ac:dyDescent="0.35">
      <c r="A1194" t="str">
        <f t="shared" si="54"/>
        <v>18097390602_2026</v>
      </c>
      <c r="B1194">
        <v>18097390602</v>
      </c>
      <c r="C1194">
        <v>2026</v>
      </c>
      <c r="D1194">
        <v>-1.3821974182524299</v>
      </c>
      <c r="E1194">
        <v>1.2544476307093959</v>
      </c>
      <c r="F1194">
        <v>0.38526106088798812</v>
      </c>
      <c r="I1194">
        <v>-0.53886141689809386</v>
      </c>
      <c r="J1194">
        <v>-1.1465734976551289</v>
      </c>
      <c r="K1194">
        <v>-0.54759928605677288</v>
      </c>
      <c r="M1194">
        <f t="shared" si="55"/>
        <v>-1.9755229272650416</v>
      </c>
      <c r="N1194">
        <f t="shared" si="56"/>
        <v>6</v>
      </c>
    </row>
    <row r="1195" spans="1:14" x14ac:dyDescent="0.35">
      <c r="A1195" t="str">
        <f t="shared" si="54"/>
        <v>18097390602_2027</v>
      </c>
      <c r="B1195">
        <v>18097390602</v>
      </c>
      <c r="C1195">
        <v>2027</v>
      </c>
      <c r="D1195">
        <v>-1.332960139943733</v>
      </c>
      <c r="E1195">
        <v>1.309898787968923</v>
      </c>
      <c r="F1195">
        <v>0.26332982669401023</v>
      </c>
      <c r="I1195">
        <v>-0.55018152531564146</v>
      </c>
      <c r="J1195">
        <v>-1.200867153822802</v>
      </c>
      <c r="K1195">
        <v>-0.56691504698492035</v>
      </c>
      <c r="M1195">
        <f t="shared" si="55"/>
        <v>-2.0776952514041636</v>
      </c>
      <c r="N1195">
        <f t="shared" si="56"/>
        <v>6</v>
      </c>
    </row>
    <row r="1196" spans="1:14" x14ac:dyDescent="0.35">
      <c r="A1196" t="str">
        <f t="shared" si="54"/>
        <v>18097390602_2028</v>
      </c>
      <c r="B1196">
        <v>18097390602</v>
      </c>
      <c r="C1196">
        <v>2028</v>
      </c>
      <c r="D1196">
        <v>-1.2726411128486379</v>
      </c>
      <c r="E1196">
        <v>1.370174154874733</v>
      </c>
      <c r="F1196">
        <v>0.16753359056473521</v>
      </c>
      <c r="I1196">
        <v>-0.55722980622518525</v>
      </c>
      <c r="J1196">
        <v>-1.268367337720264</v>
      </c>
      <c r="K1196">
        <v>-0.56384317558706321</v>
      </c>
      <c r="M1196">
        <f t="shared" si="55"/>
        <v>-2.124373686941682</v>
      </c>
      <c r="N1196">
        <f t="shared" si="56"/>
        <v>6</v>
      </c>
    </row>
    <row r="1197" spans="1:14" x14ac:dyDescent="0.35">
      <c r="A1197" t="str">
        <f t="shared" si="54"/>
        <v>18097390700_2024</v>
      </c>
      <c r="B1197">
        <v>18097390700</v>
      </c>
      <c r="C1197">
        <v>2024</v>
      </c>
      <c r="D1197">
        <v>0.67832181897127908</v>
      </c>
      <c r="E1197">
        <v>-1.107266646416484</v>
      </c>
      <c r="F1197">
        <v>-0.73562525900595532</v>
      </c>
      <c r="G1197">
        <v>-0.2146683821060644</v>
      </c>
      <c r="H1197">
        <v>-0.23906495183685331</v>
      </c>
      <c r="I1197">
        <v>-1.658057561924374</v>
      </c>
      <c r="J1197">
        <v>-1.5716386708465679</v>
      </c>
      <c r="K1197">
        <v>-0.83369200615994576</v>
      </c>
      <c r="M1197">
        <f t="shared" si="55"/>
        <v>-5.6816916593249651</v>
      </c>
      <c r="N1197">
        <f t="shared" si="56"/>
        <v>8</v>
      </c>
    </row>
    <row r="1198" spans="1:14" x14ac:dyDescent="0.35">
      <c r="A1198" t="str">
        <f t="shared" si="54"/>
        <v>18097390700_2025</v>
      </c>
      <c r="B1198">
        <v>18097390700</v>
      </c>
      <c r="C1198">
        <v>2025</v>
      </c>
      <c r="D1198">
        <v>0.59218610891439183</v>
      </c>
      <c r="E1198">
        <v>-1.1209492656528339</v>
      </c>
      <c r="F1198">
        <v>-0.81244865715415981</v>
      </c>
      <c r="G1198">
        <v>-0.13324034972541099</v>
      </c>
      <c r="H1198">
        <v>-7.4022800165517016E-2</v>
      </c>
      <c r="I1198">
        <v>-1.742906064113154</v>
      </c>
      <c r="J1198">
        <v>-1.5660159792332851</v>
      </c>
      <c r="K1198">
        <v>-0.82131735623767799</v>
      </c>
      <c r="M1198">
        <f t="shared" si="55"/>
        <v>-5.6787143633676465</v>
      </c>
      <c r="N1198">
        <f t="shared" si="56"/>
        <v>8</v>
      </c>
    </row>
    <row r="1199" spans="1:14" x14ac:dyDescent="0.35">
      <c r="A1199" t="str">
        <f t="shared" si="54"/>
        <v>18097390700_2026</v>
      </c>
      <c r="B1199">
        <v>18097390700</v>
      </c>
      <c r="C1199">
        <v>2026</v>
      </c>
      <c r="D1199">
        <v>0.45290227423068252</v>
      </c>
      <c r="E1199">
        <v>-1.1120473779819231</v>
      </c>
      <c r="F1199">
        <v>-0.85593569695532667</v>
      </c>
      <c r="G1199">
        <v>-5.9655063377240629E-2</v>
      </c>
      <c r="H1199">
        <v>9.7521163346666606E-2</v>
      </c>
      <c r="I1199">
        <v>-1.8074687876536439</v>
      </c>
      <c r="J1199">
        <v>-1.5591932778562849</v>
      </c>
      <c r="K1199">
        <v>-0.78733899126696261</v>
      </c>
      <c r="M1199">
        <f t="shared" si="55"/>
        <v>-5.6312157575140329</v>
      </c>
      <c r="N1199">
        <f t="shared" si="56"/>
        <v>8</v>
      </c>
    </row>
    <row r="1200" spans="1:14" x14ac:dyDescent="0.35">
      <c r="A1200" t="str">
        <f t="shared" si="54"/>
        <v>18097390700_2027</v>
      </c>
      <c r="B1200">
        <v>18097390700</v>
      </c>
      <c r="C1200">
        <v>2027</v>
      </c>
      <c r="D1200">
        <v>0.35960174795663852</v>
      </c>
      <c r="E1200">
        <v>-1.1066510166912971</v>
      </c>
      <c r="F1200">
        <v>-0.87106565982359041</v>
      </c>
      <c r="G1200">
        <v>1.931796485590534E-2</v>
      </c>
      <c r="H1200">
        <v>0.230579657452049</v>
      </c>
      <c r="I1200">
        <v>-1.87161325047254</v>
      </c>
      <c r="J1200">
        <v>-1.548310591253423</v>
      </c>
      <c r="K1200">
        <v>-0.73647639131512366</v>
      </c>
      <c r="M1200">
        <f t="shared" si="55"/>
        <v>-5.5246175392913814</v>
      </c>
      <c r="N1200">
        <f t="shared" si="56"/>
        <v>8</v>
      </c>
    </row>
    <row r="1201" spans="1:14" x14ac:dyDescent="0.35">
      <c r="A1201" t="str">
        <f t="shared" si="54"/>
        <v>18097390700_2028</v>
      </c>
      <c r="B1201">
        <v>18097390700</v>
      </c>
      <c r="C1201">
        <v>2028</v>
      </c>
      <c r="D1201">
        <v>0.24156840160063051</v>
      </c>
      <c r="E1201">
        <v>-1.095724333120401</v>
      </c>
      <c r="F1201">
        <v>-0.88006181084508162</v>
      </c>
      <c r="G1201">
        <v>8.3690561370576358E-2</v>
      </c>
      <c r="H1201">
        <v>0.3590241899113793</v>
      </c>
      <c r="I1201">
        <v>-1.9206202120896909</v>
      </c>
      <c r="J1201">
        <v>-1.5294603638738991</v>
      </c>
      <c r="K1201">
        <v>-0.6727868977742214</v>
      </c>
      <c r="M1201">
        <f t="shared" si="55"/>
        <v>-5.4143704648207081</v>
      </c>
      <c r="N1201">
        <f t="shared" si="56"/>
        <v>8</v>
      </c>
    </row>
    <row r="1202" spans="1:14" x14ac:dyDescent="0.35">
      <c r="A1202" t="str">
        <f t="shared" si="54"/>
        <v>18097390801_2024</v>
      </c>
      <c r="B1202">
        <v>18097390801</v>
      </c>
      <c r="C1202">
        <v>2024</v>
      </c>
      <c r="D1202">
        <v>-1.7815502020388809</v>
      </c>
      <c r="J1202">
        <v>-1.1395805795560821</v>
      </c>
      <c r="M1202">
        <f t="shared" si="55"/>
        <v>-2.9211307815949628</v>
      </c>
      <c r="N1202">
        <f t="shared" si="56"/>
        <v>2</v>
      </c>
    </row>
    <row r="1203" spans="1:14" x14ac:dyDescent="0.35">
      <c r="A1203" t="str">
        <f t="shared" si="54"/>
        <v>18097390801_2025</v>
      </c>
      <c r="B1203">
        <v>18097390801</v>
      </c>
      <c r="C1203">
        <v>2025</v>
      </c>
      <c r="D1203">
        <v>-1.75272317466252</v>
      </c>
      <c r="J1203">
        <v>-1.153925071011537</v>
      </c>
      <c r="M1203">
        <f t="shared" si="55"/>
        <v>-2.9066482456740568</v>
      </c>
      <c r="N1203">
        <f t="shared" si="56"/>
        <v>2</v>
      </c>
    </row>
    <row r="1204" spans="1:14" x14ac:dyDescent="0.35">
      <c r="A1204" t="str">
        <f t="shared" si="54"/>
        <v>18097390801_2026</v>
      </c>
      <c r="B1204">
        <v>18097390801</v>
      </c>
      <c r="C1204">
        <v>2026</v>
      </c>
      <c r="D1204">
        <v>-1.6960938570082511</v>
      </c>
      <c r="J1204">
        <v>-1.177436549144997</v>
      </c>
      <c r="M1204">
        <f t="shared" si="55"/>
        <v>-2.8735304061532481</v>
      </c>
      <c r="N1204">
        <f t="shared" si="56"/>
        <v>2</v>
      </c>
    </row>
    <row r="1205" spans="1:14" x14ac:dyDescent="0.35">
      <c r="A1205" t="str">
        <f t="shared" si="54"/>
        <v>18097390801_2027</v>
      </c>
      <c r="B1205">
        <v>18097390801</v>
      </c>
      <c r="C1205">
        <v>2027</v>
      </c>
      <c r="D1205">
        <v>-1.629517627006499</v>
      </c>
      <c r="J1205">
        <v>-1.2090090026693889</v>
      </c>
      <c r="M1205">
        <f t="shared" si="55"/>
        <v>-2.8385266296758882</v>
      </c>
      <c r="N1205">
        <f t="shared" si="56"/>
        <v>2</v>
      </c>
    </row>
    <row r="1206" spans="1:14" x14ac:dyDescent="0.35">
      <c r="A1206" t="str">
        <f t="shared" si="54"/>
        <v>18097390801_2028</v>
      </c>
      <c r="B1206">
        <v>18097390801</v>
      </c>
      <c r="C1206">
        <v>2028</v>
      </c>
      <c r="D1206">
        <v>-1.547420810823148</v>
      </c>
      <c r="J1206">
        <v>-1.2483090531159911</v>
      </c>
      <c r="M1206">
        <f t="shared" si="55"/>
        <v>-2.795729863939139</v>
      </c>
      <c r="N1206">
        <f t="shared" si="56"/>
        <v>2</v>
      </c>
    </row>
    <row r="1207" spans="1:14" x14ac:dyDescent="0.35">
      <c r="A1207" t="str">
        <f t="shared" si="54"/>
        <v>18097390802_2024</v>
      </c>
      <c r="B1207">
        <v>18097390802</v>
      </c>
      <c r="C1207">
        <v>2024</v>
      </c>
      <c r="D1207">
        <v>0.57371073367857539</v>
      </c>
      <c r="E1207">
        <v>-0.65083274056631857</v>
      </c>
      <c r="F1207">
        <v>0.97505464217534277</v>
      </c>
      <c r="G1207">
        <v>0.15650826493982731</v>
      </c>
      <c r="H1207">
        <v>0.42102707794063948</v>
      </c>
      <c r="I1207">
        <v>0.3885925091526598</v>
      </c>
      <c r="J1207">
        <v>-0.85586758272332053</v>
      </c>
      <c r="K1207">
        <v>0.40985121789711948</v>
      </c>
      <c r="M1207">
        <f t="shared" si="55"/>
        <v>1.4180441224945251</v>
      </c>
      <c r="N1207">
        <f t="shared" si="56"/>
        <v>8</v>
      </c>
    </row>
    <row r="1208" spans="1:14" x14ac:dyDescent="0.35">
      <c r="A1208" t="str">
        <f t="shared" si="54"/>
        <v>18097390802_2025</v>
      </c>
      <c r="B1208">
        <v>18097390802</v>
      </c>
      <c r="C1208">
        <v>2025</v>
      </c>
      <c r="D1208">
        <v>0.55002012256593191</v>
      </c>
      <c r="E1208">
        <v>-0.55564110911947795</v>
      </c>
      <c r="F1208">
        <v>1.328383532005176</v>
      </c>
      <c r="G1208">
        <v>0.15483772211005509</v>
      </c>
      <c r="H1208">
        <v>0.20554322642070669</v>
      </c>
      <c r="I1208">
        <v>0.4007924892338835</v>
      </c>
      <c r="J1208">
        <v>-0.85679122487328818</v>
      </c>
      <c r="K1208">
        <v>0.64601446281637398</v>
      </c>
      <c r="M1208">
        <f t="shared" si="55"/>
        <v>1.8731592211593611</v>
      </c>
      <c r="N1208">
        <f t="shared" si="56"/>
        <v>8</v>
      </c>
    </row>
    <row r="1209" spans="1:14" x14ac:dyDescent="0.35">
      <c r="A1209" t="str">
        <f t="shared" si="54"/>
        <v>18097390802_2026</v>
      </c>
      <c r="B1209">
        <v>18097390802</v>
      </c>
      <c r="C1209">
        <v>2026</v>
      </c>
      <c r="D1209">
        <v>0.49359523905777453</v>
      </c>
      <c r="E1209">
        <v>-0.46680320765668948</v>
      </c>
      <c r="F1209">
        <v>1.9077127345936411</v>
      </c>
      <c r="G1209">
        <v>0.1143319466493507</v>
      </c>
      <c r="H1209">
        <v>0.3766552036033351</v>
      </c>
      <c r="I1209">
        <v>0.22504996554952139</v>
      </c>
      <c r="J1209">
        <v>-0.86659721974113246</v>
      </c>
      <c r="K1209">
        <v>0.83386900769824723</v>
      </c>
      <c r="M1209">
        <f t="shared" si="55"/>
        <v>2.6178136697540482</v>
      </c>
      <c r="N1209">
        <f t="shared" si="56"/>
        <v>8</v>
      </c>
    </row>
    <row r="1210" spans="1:14" x14ac:dyDescent="0.35">
      <c r="A1210" t="str">
        <f t="shared" si="54"/>
        <v>18097390802_2027</v>
      </c>
      <c r="B1210">
        <v>18097390802</v>
      </c>
      <c r="C1210">
        <v>2027</v>
      </c>
      <c r="D1210">
        <v>0.4476483160455727</v>
      </c>
      <c r="E1210">
        <v>-0.38289037826945971</v>
      </c>
      <c r="F1210">
        <v>2.384882751996058</v>
      </c>
      <c r="G1210">
        <v>9.3889399224193162E-2</v>
      </c>
      <c r="H1210">
        <v>0.30523959626577418</v>
      </c>
      <c r="I1210">
        <v>0.2256827891952492</v>
      </c>
      <c r="J1210">
        <v>-0.88255056153429601</v>
      </c>
      <c r="K1210">
        <v>0.98636190975035698</v>
      </c>
      <c r="M1210">
        <f t="shared" si="55"/>
        <v>3.1782638226734483</v>
      </c>
      <c r="N1210">
        <f t="shared" si="56"/>
        <v>8</v>
      </c>
    </row>
    <row r="1211" spans="1:14" x14ac:dyDescent="0.35">
      <c r="A1211" t="str">
        <f t="shared" si="54"/>
        <v>18097390802_2028</v>
      </c>
      <c r="B1211">
        <v>18097390802</v>
      </c>
      <c r="C1211">
        <v>2028</v>
      </c>
      <c r="D1211">
        <v>0.3858093464224861</v>
      </c>
      <c r="E1211">
        <v>-0.29903008144269783</v>
      </c>
      <c r="F1211">
        <v>3.019251110655131</v>
      </c>
      <c r="G1211">
        <v>5.8604287651074748E-2</v>
      </c>
      <c r="H1211">
        <v>0.37507747799293217</v>
      </c>
      <c r="I1211">
        <v>6.8700873658177314E-2</v>
      </c>
      <c r="J1211">
        <v>-0.90406950272562481</v>
      </c>
      <c r="K1211">
        <v>1.074546659562962</v>
      </c>
      <c r="M1211">
        <f t="shared" si="55"/>
        <v>3.7788901717744405</v>
      </c>
      <c r="N1211">
        <f t="shared" si="56"/>
        <v>8</v>
      </c>
    </row>
    <row r="1212" spans="1:14" x14ac:dyDescent="0.35">
      <c r="A1212" t="str">
        <f t="shared" si="54"/>
        <v>18097390900_2024</v>
      </c>
      <c r="B1212">
        <v>18097390900</v>
      </c>
      <c r="C1212">
        <v>2024</v>
      </c>
      <c r="D1212">
        <v>0.49123854029679731</v>
      </c>
      <c r="E1212">
        <v>2.1257114497275338</v>
      </c>
      <c r="F1212">
        <v>7.3499141555645242E-2</v>
      </c>
      <c r="G1212">
        <v>0.47687642597195917</v>
      </c>
      <c r="H1212">
        <v>-0.31609564520636763</v>
      </c>
      <c r="I1212">
        <v>0.49967338366601272</v>
      </c>
      <c r="J1212">
        <v>1.8143801368420931</v>
      </c>
      <c r="K1212">
        <v>0.1189919362341146</v>
      </c>
      <c r="M1212">
        <f t="shared" si="55"/>
        <v>5.2842753690877879</v>
      </c>
      <c r="N1212">
        <f t="shared" si="56"/>
        <v>8</v>
      </c>
    </row>
    <row r="1213" spans="1:14" x14ac:dyDescent="0.35">
      <c r="A1213" t="str">
        <f t="shared" si="54"/>
        <v>18097390900_2025</v>
      </c>
      <c r="B1213">
        <v>18097390900</v>
      </c>
      <c r="C1213">
        <v>2025</v>
      </c>
      <c r="D1213">
        <v>0.58805670916479313</v>
      </c>
      <c r="E1213">
        <v>2.1321459542342822</v>
      </c>
      <c r="F1213">
        <v>8.2060975353114105E-3</v>
      </c>
      <c r="G1213">
        <v>0.47613868739153448</v>
      </c>
      <c r="H1213">
        <v>-0.25696975971421188</v>
      </c>
      <c r="I1213">
        <v>0.59934172021599785</v>
      </c>
      <c r="J1213">
        <v>1.7738966041759301</v>
      </c>
      <c r="K1213">
        <v>2.1888923982758369E-2</v>
      </c>
      <c r="M1213">
        <f t="shared" si="55"/>
        <v>5.3427049369863955</v>
      </c>
      <c r="N1213">
        <f t="shared" si="56"/>
        <v>8</v>
      </c>
    </row>
    <row r="1214" spans="1:14" x14ac:dyDescent="0.35">
      <c r="A1214" t="str">
        <f t="shared" si="54"/>
        <v>18097390900_2026</v>
      </c>
      <c r="B1214">
        <v>18097390900</v>
      </c>
      <c r="C1214">
        <v>2026</v>
      </c>
      <c r="D1214">
        <v>0.54707294123806183</v>
      </c>
      <c r="E1214">
        <v>2.1478655117996008</v>
      </c>
      <c r="F1214">
        <v>-5.0623199352734218E-2</v>
      </c>
      <c r="G1214">
        <v>0.46499599639577388</v>
      </c>
      <c r="H1214">
        <v>-0.16665451507367751</v>
      </c>
      <c r="I1214">
        <v>0.68247078529396488</v>
      </c>
      <c r="J1214">
        <v>1.781445817414397</v>
      </c>
      <c r="K1214">
        <v>-8.5721380129310909E-2</v>
      </c>
      <c r="M1214">
        <f t="shared" si="55"/>
        <v>5.3208519575860764</v>
      </c>
      <c r="N1214">
        <f t="shared" si="56"/>
        <v>8</v>
      </c>
    </row>
    <row r="1215" spans="1:14" x14ac:dyDescent="0.35">
      <c r="A1215" t="str">
        <f t="shared" si="54"/>
        <v>18097390900_2027</v>
      </c>
      <c r="B1215">
        <v>18097390900</v>
      </c>
      <c r="C1215">
        <v>2027</v>
      </c>
      <c r="D1215">
        <v>0.58195579403935316</v>
      </c>
      <c r="E1215">
        <v>2.135872107990858</v>
      </c>
      <c r="F1215">
        <v>-0.1041275564648388</v>
      </c>
      <c r="G1215">
        <v>0.45963699446592832</v>
      </c>
      <c r="H1215">
        <v>-0.10640056631966729</v>
      </c>
      <c r="I1215">
        <v>0.76980599262553784</v>
      </c>
      <c r="J1215">
        <v>1.815164424850876</v>
      </c>
      <c r="K1215">
        <v>-0.1704226450546322</v>
      </c>
      <c r="M1215">
        <f t="shared" si="55"/>
        <v>5.3814845461334144</v>
      </c>
      <c r="N1215">
        <f t="shared" si="56"/>
        <v>8</v>
      </c>
    </row>
    <row r="1216" spans="1:14" x14ac:dyDescent="0.35">
      <c r="A1216" t="str">
        <f t="shared" si="54"/>
        <v>18097390900_2028</v>
      </c>
      <c r="B1216">
        <v>18097390900</v>
      </c>
      <c r="C1216">
        <v>2028</v>
      </c>
      <c r="D1216">
        <v>0.55085641289083376</v>
      </c>
      <c r="E1216">
        <v>2.1331794937266588</v>
      </c>
      <c r="F1216">
        <v>-0.1455579208330009</v>
      </c>
      <c r="G1216">
        <v>0.43470913931475041</v>
      </c>
      <c r="H1216">
        <v>-3.4397462534483843E-2</v>
      </c>
      <c r="I1216">
        <v>0.84529894628569602</v>
      </c>
      <c r="J1216">
        <v>1.865294620467332</v>
      </c>
      <c r="K1216">
        <v>-0.23476679323785241</v>
      </c>
      <c r="M1216">
        <f t="shared" si="55"/>
        <v>5.4146164360799336</v>
      </c>
      <c r="N1216">
        <f t="shared" si="56"/>
        <v>8</v>
      </c>
    </row>
    <row r="1217" spans="1:14" x14ac:dyDescent="0.35">
      <c r="A1217" t="str">
        <f t="shared" si="54"/>
        <v>18097391001_2024</v>
      </c>
      <c r="B1217">
        <v>18097391001</v>
      </c>
      <c r="C1217">
        <v>2024</v>
      </c>
      <c r="D1217">
        <v>0.42950002514835123</v>
      </c>
      <c r="E1217">
        <v>1.17559491498552</v>
      </c>
      <c r="F1217">
        <v>0.87071951688872806</v>
      </c>
      <c r="H1217">
        <v>-2.2933339240075981</v>
      </c>
      <c r="I1217">
        <v>-0.21917666576582881</v>
      </c>
      <c r="J1217">
        <v>0.83126794531469106</v>
      </c>
      <c r="K1217">
        <v>-0.64238754338391901</v>
      </c>
      <c r="M1217">
        <f t="shared" si="55"/>
        <v>0.15218426917994421</v>
      </c>
      <c r="N1217">
        <f t="shared" si="56"/>
        <v>7</v>
      </c>
    </row>
    <row r="1218" spans="1:14" x14ac:dyDescent="0.35">
      <c r="A1218" t="str">
        <f t="shared" si="54"/>
        <v>18097391001_2025</v>
      </c>
      <c r="B1218">
        <v>18097391001</v>
      </c>
      <c r="C1218">
        <v>2025</v>
      </c>
      <c r="D1218">
        <v>0.52698263843917414</v>
      </c>
      <c r="E1218">
        <v>0.7854903225150488</v>
      </c>
      <c r="F1218">
        <v>0.8345364204149408</v>
      </c>
      <c r="H1218">
        <v>-2.7450561027815019</v>
      </c>
      <c r="I1218">
        <v>-8.0124691678337676E-2</v>
      </c>
      <c r="J1218">
        <v>0.76215348634666069</v>
      </c>
      <c r="K1218">
        <v>-0.47019768767642423</v>
      </c>
      <c r="M1218">
        <f t="shared" si="55"/>
        <v>-0.38621561442043961</v>
      </c>
      <c r="N1218">
        <f t="shared" si="56"/>
        <v>7</v>
      </c>
    </row>
    <row r="1219" spans="1:14" x14ac:dyDescent="0.35">
      <c r="A1219" t="str">
        <f t="shared" ref="A1219:A1282" si="57">TEXT(B1219,0)&amp;"_"&amp;TEXT(C1219,0)</f>
        <v>18097391001_2026</v>
      </c>
      <c r="B1219">
        <v>18097391001</v>
      </c>
      <c r="C1219">
        <v>2026</v>
      </c>
      <c r="D1219">
        <v>0.50246329507489707</v>
      </c>
      <c r="E1219">
        <v>0.4275694594922213</v>
      </c>
      <c r="F1219">
        <v>0.78161422811003223</v>
      </c>
      <c r="H1219">
        <v>-3.0379782191281999</v>
      </c>
      <c r="I1219">
        <v>-0.61328758383617821</v>
      </c>
      <c r="J1219">
        <v>0.71865037951144828</v>
      </c>
      <c r="K1219">
        <v>-0.29461613991532531</v>
      </c>
      <c r="M1219">
        <f t="shared" ref="M1219:M1282" si="58">SUM(D1219:K1219)</f>
        <v>-1.5155845806911046</v>
      </c>
      <c r="N1219">
        <f t="shared" ref="N1219:N1282" si="59">IF(D1219=0,0,1)+IF(E1219=0,0,1)+IF(F1219=0,0,1)+IF(G1219=0,0,1)+IF(H1219=0,0,1)+IF(I1219=0,0,1)++IF(J1219=0,0,1)++IF(K1219=0,0,1)</f>
        <v>7</v>
      </c>
    </row>
    <row r="1220" spans="1:14" x14ac:dyDescent="0.35">
      <c r="A1220" t="str">
        <f t="shared" si="57"/>
        <v>18097391001_2027</v>
      </c>
      <c r="B1220">
        <v>18097391001</v>
      </c>
      <c r="C1220">
        <v>2027</v>
      </c>
      <c r="D1220">
        <v>0.54405044016515225</v>
      </c>
      <c r="E1220">
        <v>7.7957872779340256E-2</v>
      </c>
      <c r="F1220">
        <v>0.70705408597107344</v>
      </c>
      <c r="H1220">
        <v>-3.3391851986952421</v>
      </c>
      <c r="I1220">
        <v>-0.50945120439175184</v>
      </c>
      <c r="J1220">
        <v>0.6825819641609453</v>
      </c>
      <c r="K1220">
        <v>-0.13415325661675759</v>
      </c>
      <c r="M1220">
        <f t="shared" si="58"/>
        <v>-1.9711452966272405</v>
      </c>
      <c r="N1220">
        <f t="shared" si="59"/>
        <v>7</v>
      </c>
    </row>
    <row r="1221" spans="1:14" x14ac:dyDescent="0.35">
      <c r="A1221" t="str">
        <f t="shared" si="57"/>
        <v>18097391001_2028</v>
      </c>
      <c r="B1221">
        <v>18097391001</v>
      </c>
      <c r="C1221">
        <v>2028</v>
      </c>
      <c r="D1221">
        <v>0.52451144256861093</v>
      </c>
      <c r="E1221">
        <v>-0.24690460264517261</v>
      </c>
      <c r="F1221">
        <v>0.65577708677438817</v>
      </c>
      <c r="H1221">
        <v>-3.5142003573298628</v>
      </c>
      <c r="I1221">
        <v>-0.97630480545403597</v>
      </c>
      <c r="J1221">
        <v>0.64467231400426261</v>
      </c>
      <c r="K1221">
        <v>-2.0681731445171998E-3</v>
      </c>
      <c r="M1221">
        <f t="shared" si="58"/>
        <v>-2.9145170952263268</v>
      </c>
      <c r="N1221">
        <f t="shared" si="59"/>
        <v>7</v>
      </c>
    </row>
    <row r="1222" spans="1:14" x14ac:dyDescent="0.35">
      <c r="A1222" t="str">
        <f t="shared" si="57"/>
        <v>18097391002_2024</v>
      </c>
      <c r="B1222">
        <v>18097391002</v>
      </c>
      <c r="C1222">
        <v>2024</v>
      </c>
      <c r="D1222">
        <v>4.2049595156411312</v>
      </c>
      <c r="F1222">
        <v>0.72041524712745131</v>
      </c>
      <c r="G1222">
        <v>1.247571403408327</v>
      </c>
      <c r="I1222">
        <v>1.0138969977909409</v>
      </c>
      <c r="J1222">
        <v>1.652156842903044</v>
      </c>
      <c r="M1222">
        <f t="shared" si="58"/>
        <v>8.8390000068708936</v>
      </c>
      <c r="N1222">
        <f t="shared" si="59"/>
        <v>5</v>
      </c>
    </row>
    <row r="1223" spans="1:14" x14ac:dyDescent="0.35">
      <c r="A1223" t="str">
        <f t="shared" si="57"/>
        <v>18097391002_2025</v>
      </c>
      <c r="B1223">
        <v>18097391002</v>
      </c>
      <c r="C1223">
        <v>2025</v>
      </c>
      <c r="D1223">
        <v>5.0891735063516537</v>
      </c>
      <c r="F1223">
        <v>0.83698716943945495</v>
      </c>
      <c r="G1223">
        <v>1.2776163936223519</v>
      </c>
      <c r="I1223">
        <v>1.1013005465145049</v>
      </c>
      <c r="J1223">
        <v>1.449714248185493</v>
      </c>
      <c r="M1223">
        <f t="shared" si="58"/>
        <v>9.754791864113459</v>
      </c>
      <c r="N1223">
        <f t="shared" si="59"/>
        <v>5</v>
      </c>
    </row>
    <row r="1224" spans="1:14" x14ac:dyDescent="0.35">
      <c r="A1224" t="str">
        <f t="shared" si="57"/>
        <v>18097391002_2026</v>
      </c>
      <c r="B1224">
        <v>18097391002</v>
      </c>
      <c r="C1224">
        <v>2026</v>
      </c>
      <c r="D1224">
        <v>5.4152350833349159</v>
      </c>
      <c r="F1224">
        <v>0.91827437464419981</v>
      </c>
      <c r="G1224">
        <v>1.4451346933314679</v>
      </c>
      <c r="I1224">
        <v>1.163637552727447</v>
      </c>
      <c r="J1224">
        <v>1.2666612556325221</v>
      </c>
      <c r="M1224">
        <f t="shared" si="58"/>
        <v>10.208942959670553</v>
      </c>
      <c r="N1224">
        <f t="shared" si="59"/>
        <v>5</v>
      </c>
    </row>
    <row r="1225" spans="1:14" x14ac:dyDescent="0.35">
      <c r="A1225" t="str">
        <f t="shared" si="57"/>
        <v>18097391002_2027</v>
      </c>
      <c r="B1225">
        <v>18097391002</v>
      </c>
      <c r="C1225">
        <v>2027</v>
      </c>
      <c r="D1225">
        <v>6.0300232873689579</v>
      </c>
      <c r="F1225">
        <v>0.97093888863918598</v>
      </c>
      <c r="G1225">
        <v>1.474927930126696</v>
      </c>
      <c r="I1225">
        <v>1.2328992219802679</v>
      </c>
      <c r="J1225">
        <v>1.080003563809449</v>
      </c>
      <c r="M1225">
        <f t="shared" si="58"/>
        <v>10.788792891924556</v>
      </c>
      <c r="N1225">
        <f t="shared" si="59"/>
        <v>5</v>
      </c>
    </row>
    <row r="1226" spans="1:14" x14ac:dyDescent="0.35">
      <c r="A1226" t="str">
        <f t="shared" si="57"/>
        <v>18097391002_2028</v>
      </c>
      <c r="B1226">
        <v>18097391002</v>
      </c>
      <c r="C1226">
        <v>2028</v>
      </c>
      <c r="D1226">
        <v>6.3741373328838717</v>
      </c>
      <c r="F1226">
        <v>1.037470741791551</v>
      </c>
      <c r="G1226">
        <v>1.5821617582234959</v>
      </c>
      <c r="I1226">
        <v>1.287238253138296</v>
      </c>
      <c r="J1226">
        <v>0.87551484999452933</v>
      </c>
      <c r="M1226">
        <f t="shared" si="58"/>
        <v>11.156522936031743</v>
      </c>
      <c r="N1226">
        <f t="shared" si="59"/>
        <v>5</v>
      </c>
    </row>
    <row r="1227" spans="1:14" x14ac:dyDescent="0.35">
      <c r="A1227" t="str">
        <f t="shared" si="57"/>
        <v>18097310103_2024</v>
      </c>
      <c r="B1227">
        <v>18097310103</v>
      </c>
      <c r="C1227">
        <v>2024</v>
      </c>
      <c r="E1227">
        <v>1.12589423937552</v>
      </c>
      <c r="F1227">
        <v>-1.2488254351628409</v>
      </c>
      <c r="G1227">
        <v>3.3210071056432811</v>
      </c>
      <c r="H1227">
        <v>1.565628013236011</v>
      </c>
      <c r="I1227">
        <v>0.1067127162305293</v>
      </c>
      <c r="M1227">
        <f t="shared" si="58"/>
        <v>4.8704166393225004</v>
      </c>
      <c r="N1227">
        <f t="shared" si="59"/>
        <v>5</v>
      </c>
    </row>
    <row r="1228" spans="1:14" x14ac:dyDescent="0.35">
      <c r="A1228" t="str">
        <f t="shared" si="57"/>
        <v>18097310103_2025</v>
      </c>
      <c r="B1228">
        <v>18097310103</v>
      </c>
      <c r="C1228">
        <v>2025</v>
      </c>
      <c r="E1228">
        <v>1.086017643685854</v>
      </c>
      <c r="F1228">
        <v>-1.217235924988225</v>
      </c>
      <c r="G1228">
        <v>3.3643746322558128</v>
      </c>
      <c r="H1228">
        <v>1.466113515427544</v>
      </c>
      <c r="I1228">
        <v>8.7116380105262056E-2</v>
      </c>
      <c r="M1228">
        <f t="shared" si="58"/>
        <v>4.7863862464862477</v>
      </c>
      <c r="N1228">
        <f t="shared" si="59"/>
        <v>5</v>
      </c>
    </row>
    <row r="1229" spans="1:14" x14ac:dyDescent="0.35">
      <c r="A1229" t="str">
        <f t="shared" si="57"/>
        <v>18097310103_2026</v>
      </c>
      <c r="B1229">
        <v>18097310103</v>
      </c>
      <c r="C1229">
        <v>2026</v>
      </c>
      <c r="E1229">
        <v>0.97278465506266765</v>
      </c>
      <c r="F1229">
        <v>-1.1587126947411941</v>
      </c>
      <c r="G1229">
        <v>3.2882166333820839</v>
      </c>
      <c r="H1229">
        <v>1.3578439574848351</v>
      </c>
      <c r="I1229">
        <v>7.3909177923286648E-2</v>
      </c>
      <c r="M1229">
        <f t="shared" si="58"/>
        <v>4.5340417291116788</v>
      </c>
      <c r="N1229">
        <f t="shared" si="59"/>
        <v>5</v>
      </c>
    </row>
    <row r="1230" spans="1:14" x14ac:dyDescent="0.35">
      <c r="A1230" t="str">
        <f t="shared" si="57"/>
        <v>18097310103_2027</v>
      </c>
      <c r="B1230">
        <v>18097310103</v>
      </c>
      <c r="C1230">
        <v>2027</v>
      </c>
      <c r="E1230">
        <v>0.9313375627944922</v>
      </c>
      <c r="F1230">
        <v>-1.0959615038877131</v>
      </c>
      <c r="G1230">
        <v>3.2602798433204052</v>
      </c>
      <c r="H1230">
        <v>1.2537650974066941</v>
      </c>
      <c r="I1230">
        <v>5.6028147202658952E-2</v>
      </c>
      <c r="M1230">
        <f t="shared" si="58"/>
        <v>4.4054491468365375</v>
      </c>
      <c r="N1230">
        <f t="shared" si="59"/>
        <v>5</v>
      </c>
    </row>
    <row r="1231" spans="1:14" x14ac:dyDescent="0.35">
      <c r="A1231" t="str">
        <f t="shared" si="57"/>
        <v>18097310103_2028</v>
      </c>
      <c r="B1231">
        <v>18097310103</v>
      </c>
      <c r="C1231">
        <v>2028</v>
      </c>
      <c r="E1231">
        <v>0.8262026135738928</v>
      </c>
      <c r="F1231">
        <v>-1.042591390079658</v>
      </c>
      <c r="G1231">
        <v>3.1399847477271319</v>
      </c>
      <c r="H1231">
        <v>1.1513900059464439</v>
      </c>
      <c r="I1231">
        <v>4.3395135898172017E-2</v>
      </c>
      <c r="M1231">
        <f t="shared" si="58"/>
        <v>4.1183811130659826</v>
      </c>
      <c r="N1231">
        <f t="shared" si="59"/>
        <v>5</v>
      </c>
    </row>
    <row r="1232" spans="1:14" x14ac:dyDescent="0.35">
      <c r="A1232" t="str">
        <f t="shared" si="57"/>
        <v>18097320203_2024</v>
      </c>
      <c r="B1232">
        <v>18097320203</v>
      </c>
      <c r="C1232">
        <v>2024</v>
      </c>
      <c r="E1232">
        <v>0.65856150492590815</v>
      </c>
      <c r="F1232">
        <v>1.114650034616222</v>
      </c>
      <c r="G1232">
        <v>-0.50812202201377299</v>
      </c>
      <c r="H1232">
        <v>0.64566711596368864</v>
      </c>
      <c r="I1232">
        <v>0.80260438727627148</v>
      </c>
      <c r="M1232">
        <f t="shared" si="58"/>
        <v>2.7133610207683172</v>
      </c>
      <c r="N1232">
        <f t="shared" si="59"/>
        <v>5</v>
      </c>
    </row>
    <row r="1233" spans="1:14" x14ac:dyDescent="0.35">
      <c r="A1233" t="str">
        <f t="shared" si="57"/>
        <v>18097320203_2025</v>
      </c>
      <c r="B1233">
        <v>18097320203</v>
      </c>
      <c r="C1233">
        <v>2025</v>
      </c>
      <c r="E1233">
        <v>0.60219820733677487</v>
      </c>
      <c r="F1233">
        <v>0.92511622777206037</v>
      </c>
      <c r="G1233">
        <v>-0.54586844832196313</v>
      </c>
      <c r="H1233">
        <v>0.52786546986061111</v>
      </c>
      <c r="I1233">
        <v>0.85033552415479818</v>
      </c>
      <c r="M1233">
        <f t="shared" si="58"/>
        <v>2.3596469808022813</v>
      </c>
      <c r="N1233">
        <f t="shared" si="59"/>
        <v>5</v>
      </c>
    </row>
    <row r="1234" spans="1:14" x14ac:dyDescent="0.35">
      <c r="A1234" t="str">
        <f t="shared" si="57"/>
        <v>18097320203_2026</v>
      </c>
      <c r="B1234">
        <v>18097320203</v>
      </c>
      <c r="C1234">
        <v>2026</v>
      </c>
      <c r="E1234">
        <v>0.5554972714341273</v>
      </c>
      <c r="F1234">
        <v>0.93154296885975196</v>
      </c>
      <c r="G1234">
        <v>-0.57790993879413743</v>
      </c>
      <c r="H1234">
        <v>0.43117037712970557</v>
      </c>
      <c r="I1234">
        <v>0.88266493348904407</v>
      </c>
      <c r="M1234">
        <f t="shared" si="58"/>
        <v>2.2229656121184918</v>
      </c>
      <c r="N1234">
        <f t="shared" si="59"/>
        <v>5</v>
      </c>
    </row>
    <row r="1235" spans="1:14" x14ac:dyDescent="0.35">
      <c r="A1235" t="str">
        <f t="shared" si="57"/>
        <v>18097320203_2027</v>
      </c>
      <c r="B1235">
        <v>18097320203</v>
      </c>
      <c r="C1235">
        <v>2027</v>
      </c>
      <c r="E1235">
        <v>0.49938100641602579</v>
      </c>
      <c r="F1235">
        <v>0.77748536683216529</v>
      </c>
      <c r="G1235">
        <v>-0.60488514010523708</v>
      </c>
      <c r="H1235">
        <v>0.33017522447746128</v>
      </c>
      <c r="I1235">
        <v>0.92090023820246281</v>
      </c>
      <c r="M1235">
        <f t="shared" si="58"/>
        <v>1.9230566958228779</v>
      </c>
      <c r="N1235">
        <f t="shared" si="59"/>
        <v>5</v>
      </c>
    </row>
    <row r="1236" spans="1:14" x14ac:dyDescent="0.35">
      <c r="A1236" t="str">
        <f t="shared" si="57"/>
        <v>18097320203_2028</v>
      </c>
      <c r="B1236">
        <v>18097320203</v>
      </c>
      <c r="C1236">
        <v>2028</v>
      </c>
      <c r="E1236">
        <v>0.45211176836007072</v>
      </c>
      <c r="F1236">
        <v>0.74143270337923806</v>
      </c>
      <c r="G1236">
        <v>-0.6231377584483615</v>
      </c>
      <c r="H1236">
        <v>0.25076198522690901</v>
      </c>
      <c r="I1236">
        <v>0.9481029166073992</v>
      </c>
      <c r="M1236">
        <f t="shared" si="58"/>
        <v>1.7692716151252554</v>
      </c>
      <c r="N1236">
        <f t="shared" si="59"/>
        <v>5</v>
      </c>
    </row>
    <row r="1237" spans="1:14" x14ac:dyDescent="0.35">
      <c r="A1237" t="str">
        <f t="shared" si="57"/>
        <v>18097320204_2024</v>
      </c>
      <c r="B1237">
        <v>18097320204</v>
      </c>
      <c r="C1237">
        <v>2024</v>
      </c>
      <c r="E1237">
        <v>0.29192684054839452</v>
      </c>
      <c r="F1237">
        <v>0.26613038651566018</v>
      </c>
      <c r="G1237">
        <v>-0.77277674386538842</v>
      </c>
      <c r="H1237">
        <v>-0.42286932867290078</v>
      </c>
      <c r="I1237">
        <v>-0.19628462269666769</v>
      </c>
      <c r="M1237">
        <f t="shared" si="58"/>
        <v>-0.83387346817090213</v>
      </c>
      <c r="N1237">
        <f t="shared" si="59"/>
        <v>5</v>
      </c>
    </row>
    <row r="1238" spans="1:14" x14ac:dyDescent="0.35">
      <c r="A1238" t="str">
        <f t="shared" si="57"/>
        <v>18097320204_2025</v>
      </c>
      <c r="B1238">
        <v>18097320204</v>
      </c>
      <c r="C1238">
        <v>2025</v>
      </c>
      <c r="E1238">
        <v>0.24293848335443519</v>
      </c>
      <c r="F1238">
        <v>0.14340676960989321</v>
      </c>
      <c r="G1238">
        <v>-0.76856149998673917</v>
      </c>
      <c r="H1238">
        <v>-0.4616843788185801</v>
      </c>
      <c r="I1238">
        <v>-0.22638479917103699</v>
      </c>
      <c r="M1238">
        <f t="shared" si="58"/>
        <v>-1.0702854250120279</v>
      </c>
      <c r="N1238">
        <f t="shared" si="59"/>
        <v>5</v>
      </c>
    </row>
    <row r="1239" spans="1:14" x14ac:dyDescent="0.35">
      <c r="A1239" t="str">
        <f t="shared" si="57"/>
        <v>18097320204_2026</v>
      </c>
      <c r="B1239">
        <v>18097320204</v>
      </c>
      <c r="C1239">
        <v>2026</v>
      </c>
      <c r="E1239">
        <v>0.20338827928358769</v>
      </c>
      <c r="F1239">
        <v>3.7705538705954861E-2</v>
      </c>
      <c r="G1239">
        <v>-0.80875669262841354</v>
      </c>
      <c r="H1239">
        <v>-0.46783582121663742</v>
      </c>
      <c r="I1239">
        <v>-0.26920801203784062</v>
      </c>
      <c r="M1239">
        <f t="shared" si="58"/>
        <v>-1.304706707893349</v>
      </c>
      <c r="N1239">
        <f t="shared" si="59"/>
        <v>5</v>
      </c>
    </row>
    <row r="1240" spans="1:14" x14ac:dyDescent="0.35">
      <c r="A1240" t="str">
        <f t="shared" si="57"/>
        <v>18097320204_2027</v>
      </c>
      <c r="B1240">
        <v>18097320204</v>
      </c>
      <c r="C1240">
        <v>2027</v>
      </c>
      <c r="E1240">
        <v>0.15893578708916581</v>
      </c>
      <c r="F1240">
        <v>-6.282698290787575E-2</v>
      </c>
      <c r="G1240">
        <v>-0.80384884531448486</v>
      </c>
      <c r="H1240">
        <v>-0.48604535848408942</v>
      </c>
      <c r="I1240">
        <v>-0.30115125090546663</v>
      </c>
      <c r="M1240">
        <f t="shared" si="58"/>
        <v>-1.4949366505227508</v>
      </c>
      <c r="N1240">
        <f t="shared" si="59"/>
        <v>5</v>
      </c>
    </row>
    <row r="1241" spans="1:14" x14ac:dyDescent="0.35">
      <c r="A1241" t="str">
        <f t="shared" si="57"/>
        <v>18097320204_2028</v>
      </c>
      <c r="B1241">
        <v>18097320204</v>
      </c>
      <c r="C1241">
        <v>2028</v>
      </c>
      <c r="E1241">
        <v>0.12246850506717639</v>
      </c>
      <c r="F1241">
        <v>-0.13835491354159429</v>
      </c>
      <c r="G1241">
        <v>-0.81925104527455361</v>
      </c>
      <c r="H1241">
        <v>-0.48078982472520732</v>
      </c>
      <c r="I1241">
        <v>-0.33516536498979482</v>
      </c>
      <c r="M1241">
        <f t="shared" si="58"/>
        <v>-1.6510926434639737</v>
      </c>
      <c r="N1241">
        <f t="shared" si="59"/>
        <v>5</v>
      </c>
    </row>
    <row r="1242" spans="1:14" x14ac:dyDescent="0.35">
      <c r="A1242" t="str">
        <f t="shared" si="57"/>
        <v>18097320205_2024</v>
      </c>
      <c r="B1242">
        <v>18097320205</v>
      </c>
      <c r="C1242">
        <v>2024</v>
      </c>
      <c r="E1242">
        <v>1.6218463067397459</v>
      </c>
      <c r="F1242">
        <v>-6.4751500295585587E-2</v>
      </c>
      <c r="G1242">
        <v>0.26825966625821501</v>
      </c>
      <c r="H1242">
        <v>-0.15644652359236799</v>
      </c>
      <c r="I1242">
        <v>0.70953733492607163</v>
      </c>
      <c r="M1242">
        <f t="shared" si="58"/>
        <v>2.3784452840360792</v>
      </c>
      <c r="N1242">
        <f t="shared" si="59"/>
        <v>5</v>
      </c>
    </row>
    <row r="1243" spans="1:14" x14ac:dyDescent="0.35">
      <c r="A1243" t="str">
        <f t="shared" si="57"/>
        <v>18097320205_2025</v>
      </c>
      <c r="B1243">
        <v>18097320205</v>
      </c>
      <c r="C1243">
        <v>2025</v>
      </c>
      <c r="E1243">
        <v>1.6843898573235501</v>
      </c>
      <c r="F1243">
        <v>-0.28422588878640759</v>
      </c>
      <c r="G1243">
        <v>0.50735255659238088</v>
      </c>
      <c r="H1243">
        <v>-0.62050447375810447</v>
      </c>
      <c r="I1243">
        <v>0.89590174872954886</v>
      </c>
      <c r="M1243">
        <f t="shared" si="58"/>
        <v>2.1829138001009678</v>
      </c>
      <c r="N1243">
        <f t="shared" si="59"/>
        <v>5</v>
      </c>
    </row>
    <row r="1244" spans="1:14" x14ac:dyDescent="0.35">
      <c r="A1244" t="str">
        <f t="shared" si="57"/>
        <v>18097320205_2026</v>
      </c>
      <c r="B1244">
        <v>18097320205</v>
      </c>
      <c r="C1244">
        <v>2026</v>
      </c>
      <c r="E1244">
        <v>1.72897582408692</v>
      </c>
      <c r="F1244">
        <v>-0.40890829916649368</v>
      </c>
      <c r="G1244">
        <v>0.72458138419034657</v>
      </c>
      <c r="H1244">
        <v>2.6000695155767219E-2</v>
      </c>
      <c r="I1244">
        <v>0.91110357941694065</v>
      </c>
      <c r="M1244">
        <f t="shared" si="58"/>
        <v>2.9817531836834812</v>
      </c>
      <c r="N1244">
        <f t="shared" si="59"/>
        <v>5</v>
      </c>
    </row>
    <row r="1245" spans="1:14" x14ac:dyDescent="0.35">
      <c r="A1245" t="str">
        <f t="shared" si="57"/>
        <v>18097320205_2027</v>
      </c>
      <c r="B1245">
        <v>18097320205</v>
      </c>
      <c r="C1245">
        <v>2027</v>
      </c>
      <c r="E1245">
        <v>1.77060609940907</v>
      </c>
      <c r="F1245">
        <v>-0.51870459587324591</v>
      </c>
      <c r="G1245">
        <v>0.96446030527687798</v>
      </c>
      <c r="H1245">
        <v>-0.32098636943299902</v>
      </c>
      <c r="I1245">
        <v>1.0221945483829691</v>
      </c>
      <c r="M1245">
        <f t="shared" si="58"/>
        <v>2.917569987762672</v>
      </c>
      <c r="N1245">
        <f t="shared" si="59"/>
        <v>5</v>
      </c>
    </row>
    <row r="1246" spans="1:14" x14ac:dyDescent="0.35">
      <c r="A1246" t="str">
        <f t="shared" si="57"/>
        <v>18097320205_2028</v>
      </c>
      <c r="B1246">
        <v>18097320205</v>
      </c>
      <c r="C1246">
        <v>2028</v>
      </c>
      <c r="E1246">
        <v>1.8060143714498249</v>
      </c>
      <c r="F1246">
        <v>-0.590718279355119</v>
      </c>
      <c r="G1246">
        <v>1.1725548290888259</v>
      </c>
      <c r="H1246">
        <v>0.18096671256693139</v>
      </c>
      <c r="I1246">
        <v>1.0661612151511199</v>
      </c>
      <c r="M1246">
        <f t="shared" si="58"/>
        <v>3.6349788489015831</v>
      </c>
      <c r="N1246">
        <f t="shared" si="59"/>
        <v>5</v>
      </c>
    </row>
    <row r="1247" spans="1:14" x14ac:dyDescent="0.35">
      <c r="A1247" t="str">
        <f t="shared" si="57"/>
        <v>18097320303_2024</v>
      </c>
      <c r="B1247">
        <v>18097320303</v>
      </c>
      <c r="C1247">
        <v>2024</v>
      </c>
      <c r="E1247">
        <v>0.15235207687767949</v>
      </c>
      <c r="F1247">
        <v>1.551494095273503</v>
      </c>
      <c r="G1247">
        <v>-0.25243433031037898</v>
      </c>
      <c r="H1247">
        <v>0.99599095764118917</v>
      </c>
      <c r="M1247">
        <f t="shared" si="58"/>
        <v>2.4474027994819929</v>
      </c>
      <c r="N1247">
        <f t="shared" si="59"/>
        <v>4</v>
      </c>
    </row>
    <row r="1248" spans="1:14" x14ac:dyDescent="0.35">
      <c r="A1248" t="str">
        <f t="shared" si="57"/>
        <v>18097320303_2025</v>
      </c>
      <c r="B1248">
        <v>18097320303</v>
      </c>
      <c r="C1248">
        <v>2025</v>
      </c>
      <c r="E1248">
        <v>1.29771630656658E-3</v>
      </c>
      <c r="F1248">
        <v>1.601176151656966</v>
      </c>
      <c r="G1248">
        <v>-0.26259855837388368</v>
      </c>
      <c r="H1248">
        <v>1.126922219883993</v>
      </c>
      <c r="M1248">
        <f t="shared" si="58"/>
        <v>2.4667975294736419</v>
      </c>
      <c r="N1248">
        <f t="shared" si="59"/>
        <v>4</v>
      </c>
    </row>
    <row r="1249" spans="1:14" x14ac:dyDescent="0.35">
      <c r="A1249" t="str">
        <f t="shared" si="57"/>
        <v>18097320303_2026</v>
      </c>
      <c r="B1249">
        <v>18097320303</v>
      </c>
      <c r="C1249">
        <v>2026</v>
      </c>
      <c r="E1249">
        <v>-0.14095761633824411</v>
      </c>
      <c r="F1249">
        <v>1.607736544301128</v>
      </c>
      <c r="G1249">
        <v>-0.29494900795721152</v>
      </c>
      <c r="H1249">
        <v>1.202952078889435</v>
      </c>
      <c r="M1249">
        <f t="shared" si="58"/>
        <v>2.3747819988951075</v>
      </c>
      <c r="N1249">
        <f t="shared" si="59"/>
        <v>4</v>
      </c>
    </row>
    <row r="1250" spans="1:14" x14ac:dyDescent="0.35">
      <c r="A1250" t="str">
        <f t="shared" si="57"/>
        <v>18097320303_2027</v>
      </c>
      <c r="B1250">
        <v>18097320303</v>
      </c>
      <c r="C1250">
        <v>2027</v>
      </c>
      <c r="E1250">
        <v>-0.28182902528920872</v>
      </c>
      <c r="F1250">
        <v>1.574542143042476</v>
      </c>
      <c r="G1250">
        <v>-0.3257205504726895</v>
      </c>
      <c r="H1250">
        <v>1.248328956101362</v>
      </c>
      <c r="M1250">
        <f t="shared" si="58"/>
        <v>2.2153215233819399</v>
      </c>
      <c r="N1250">
        <f t="shared" si="59"/>
        <v>4</v>
      </c>
    </row>
    <row r="1251" spans="1:14" x14ac:dyDescent="0.35">
      <c r="A1251" t="str">
        <f t="shared" si="57"/>
        <v>18097320303_2028</v>
      </c>
      <c r="B1251">
        <v>18097320303</v>
      </c>
      <c r="C1251">
        <v>2028</v>
      </c>
      <c r="E1251">
        <v>-0.4104556962939343</v>
      </c>
      <c r="F1251">
        <v>1.5680142792651759</v>
      </c>
      <c r="G1251">
        <v>-0.35709675517264472</v>
      </c>
      <c r="H1251">
        <v>1.1513900059464439</v>
      </c>
      <c r="M1251">
        <f t="shared" si="58"/>
        <v>1.9518518337450408</v>
      </c>
      <c r="N1251">
        <f t="shared" si="59"/>
        <v>4</v>
      </c>
    </row>
    <row r="1252" spans="1:14" x14ac:dyDescent="0.35">
      <c r="A1252" t="str">
        <f t="shared" si="57"/>
        <v>18097320304_2024</v>
      </c>
      <c r="B1252">
        <v>18097320304</v>
      </c>
      <c r="C1252">
        <v>2024</v>
      </c>
      <c r="E1252">
        <v>1.8467516226828209</v>
      </c>
      <c r="F1252">
        <v>-0.69554544253407247</v>
      </c>
      <c r="G1252">
        <v>1.679137044236312</v>
      </c>
      <c r="I1252">
        <v>0.96924859279682496</v>
      </c>
      <c r="M1252">
        <f t="shared" si="58"/>
        <v>3.7995918171818857</v>
      </c>
      <c r="N1252">
        <f t="shared" si="59"/>
        <v>4</v>
      </c>
    </row>
    <row r="1253" spans="1:14" x14ac:dyDescent="0.35">
      <c r="A1253" t="str">
        <f t="shared" si="57"/>
        <v>18097320304_2025</v>
      </c>
      <c r="B1253">
        <v>18097320304</v>
      </c>
      <c r="C1253">
        <v>2025</v>
      </c>
      <c r="E1253">
        <v>1.7856101259362089</v>
      </c>
      <c r="F1253">
        <v>-0.73570287881803398</v>
      </c>
      <c r="G1253">
        <v>1.6456496144903949</v>
      </c>
      <c r="I1253">
        <v>0.93466387601406198</v>
      </c>
      <c r="M1253">
        <f t="shared" si="58"/>
        <v>3.6302207376226319</v>
      </c>
      <c r="N1253">
        <f t="shared" si="59"/>
        <v>4</v>
      </c>
    </row>
    <row r="1254" spans="1:14" x14ac:dyDescent="0.35">
      <c r="A1254" t="str">
        <f t="shared" si="57"/>
        <v>18097320304_2026</v>
      </c>
      <c r="B1254">
        <v>18097320304</v>
      </c>
      <c r="C1254">
        <v>2026</v>
      </c>
      <c r="E1254">
        <v>1.7506579204268959</v>
      </c>
      <c r="F1254">
        <v>-0.69764417257082534</v>
      </c>
      <c r="G1254">
        <v>1.5480530805212369</v>
      </c>
      <c r="I1254">
        <v>0.8825810807347062</v>
      </c>
      <c r="M1254">
        <f t="shared" si="58"/>
        <v>3.4836479091120136</v>
      </c>
      <c r="N1254">
        <f t="shared" si="59"/>
        <v>4</v>
      </c>
    </row>
    <row r="1255" spans="1:14" x14ac:dyDescent="0.35">
      <c r="A1255" t="str">
        <f t="shared" si="57"/>
        <v>18097320304_2027</v>
      </c>
      <c r="B1255">
        <v>18097320304</v>
      </c>
      <c r="C1255">
        <v>2027</v>
      </c>
      <c r="E1255">
        <v>1.692757173405165</v>
      </c>
      <c r="F1255">
        <v>-0.70298382036143825</v>
      </c>
      <c r="G1255">
        <v>1.4807473283989241</v>
      </c>
      <c r="I1255">
        <v>0.84000650703239099</v>
      </c>
      <c r="M1255">
        <f t="shared" si="58"/>
        <v>3.3105271884750418</v>
      </c>
      <c r="N1255">
        <f t="shared" si="59"/>
        <v>4</v>
      </c>
    </row>
    <row r="1256" spans="1:14" x14ac:dyDescent="0.35">
      <c r="A1256" t="str">
        <f t="shared" si="57"/>
        <v>18097320304_2028</v>
      </c>
      <c r="B1256">
        <v>18097320304</v>
      </c>
      <c r="C1256">
        <v>2028</v>
      </c>
      <c r="E1256">
        <v>1.6489513624162651</v>
      </c>
      <c r="F1256">
        <v>-0.67372836930828184</v>
      </c>
      <c r="G1256">
        <v>1.369773587279222</v>
      </c>
      <c r="I1256">
        <v>0.7899127225851682</v>
      </c>
      <c r="M1256">
        <f t="shared" si="58"/>
        <v>3.1349093029723734</v>
      </c>
      <c r="N1256">
        <f t="shared" si="59"/>
        <v>4</v>
      </c>
    </row>
    <row r="1257" spans="1:14" x14ac:dyDescent="0.35">
      <c r="A1257" t="str">
        <f t="shared" si="57"/>
        <v>18097322600_2024</v>
      </c>
      <c r="B1257">
        <v>18097322600</v>
      </c>
      <c r="C1257">
        <v>2024</v>
      </c>
      <c r="E1257">
        <v>-0.45846316488280642</v>
      </c>
      <c r="F1257">
        <v>-0.34660047987968479</v>
      </c>
      <c r="G1257">
        <v>-1.1907911863844809</v>
      </c>
      <c r="H1257">
        <v>-0.49449166759769297</v>
      </c>
      <c r="I1257">
        <v>-1.7732162032782071</v>
      </c>
      <c r="M1257">
        <f t="shared" si="58"/>
        <v>-4.2635627020228721</v>
      </c>
      <c r="N1257">
        <f t="shared" si="59"/>
        <v>5</v>
      </c>
    </row>
    <row r="1258" spans="1:14" x14ac:dyDescent="0.35">
      <c r="A1258" t="str">
        <f t="shared" si="57"/>
        <v>18097322600_2025</v>
      </c>
      <c r="B1258">
        <v>18097322600</v>
      </c>
      <c r="C1258">
        <v>2025</v>
      </c>
      <c r="E1258">
        <v>-0.42321303582599301</v>
      </c>
      <c r="F1258">
        <v>-0.46717816213537933</v>
      </c>
      <c r="G1258">
        <v>-1.184986750793618</v>
      </c>
      <c r="H1258">
        <v>-0.606614480769336</v>
      </c>
      <c r="I1258">
        <v>-1.7059403567392899</v>
      </c>
      <c r="M1258">
        <f t="shared" si="58"/>
        <v>-4.3879327862636162</v>
      </c>
      <c r="N1258">
        <f t="shared" si="59"/>
        <v>5</v>
      </c>
    </row>
    <row r="1259" spans="1:14" x14ac:dyDescent="0.35">
      <c r="A1259" t="str">
        <f t="shared" si="57"/>
        <v>18097322600_2026</v>
      </c>
      <c r="B1259">
        <v>18097322600</v>
      </c>
      <c r="C1259">
        <v>2026</v>
      </c>
      <c r="E1259">
        <v>-0.38517871412665661</v>
      </c>
      <c r="F1259">
        <v>-0.55841219058561176</v>
      </c>
      <c r="G1259">
        <v>-1.1569570651347589</v>
      </c>
      <c r="H1259">
        <v>-0.66051446514244572</v>
      </c>
      <c r="I1259">
        <v>-1.624556836076575</v>
      </c>
      <c r="M1259">
        <f t="shared" si="58"/>
        <v>-4.385619271066048</v>
      </c>
      <c r="N1259">
        <f t="shared" si="59"/>
        <v>5</v>
      </c>
    </row>
    <row r="1260" spans="1:14" x14ac:dyDescent="0.35">
      <c r="A1260" t="str">
        <f t="shared" si="57"/>
        <v>18097322600_2027</v>
      </c>
      <c r="B1260">
        <v>18097322600</v>
      </c>
      <c r="C1260">
        <v>2027</v>
      </c>
      <c r="E1260">
        <v>-0.35116789284821842</v>
      </c>
      <c r="F1260">
        <v>-0.62048965593435279</v>
      </c>
      <c r="G1260">
        <v>-1.1353181512469199</v>
      </c>
      <c r="H1260">
        <v>-0.73177312237896153</v>
      </c>
      <c r="I1260">
        <v>-1.5472260881447371</v>
      </c>
      <c r="M1260">
        <f t="shared" si="58"/>
        <v>-4.3859749105531893</v>
      </c>
      <c r="N1260">
        <f t="shared" si="59"/>
        <v>5</v>
      </c>
    </row>
    <row r="1261" spans="1:14" x14ac:dyDescent="0.35">
      <c r="A1261" t="str">
        <f t="shared" si="57"/>
        <v>18097322600_2028</v>
      </c>
      <c r="B1261">
        <v>18097322600</v>
      </c>
      <c r="C1261">
        <v>2028</v>
      </c>
      <c r="E1261">
        <v>-0.31426611173510238</v>
      </c>
      <c r="F1261">
        <v>-0.66631892179728602</v>
      </c>
      <c r="G1261">
        <v>-1.096250539982889</v>
      </c>
      <c r="H1261">
        <v>-0.76173097930141687</v>
      </c>
      <c r="I1261">
        <v>-1.4627107552949661</v>
      </c>
      <c r="M1261">
        <f t="shared" si="58"/>
        <v>-4.3012773081116604</v>
      </c>
      <c r="N1261">
        <f t="shared" si="59"/>
        <v>5</v>
      </c>
    </row>
    <row r="1262" spans="1:14" x14ac:dyDescent="0.35">
      <c r="A1262" t="str">
        <f t="shared" si="57"/>
        <v>18097330203_2024</v>
      </c>
      <c r="B1262">
        <v>18097330203</v>
      </c>
      <c r="C1262">
        <v>2024</v>
      </c>
      <c r="E1262">
        <v>2.0904229317755281</v>
      </c>
      <c r="F1262">
        <v>-1.380902815338509</v>
      </c>
      <c r="G1262">
        <v>4.1000046732773541</v>
      </c>
      <c r="I1262">
        <v>1.5935236148265</v>
      </c>
      <c r="M1262">
        <f t="shared" si="58"/>
        <v>6.4030484045408738</v>
      </c>
      <c r="N1262">
        <f t="shared" si="59"/>
        <v>4</v>
      </c>
    </row>
    <row r="1263" spans="1:14" x14ac:dyDescent="0.35">
      <c r="A1263" t="str">
        <f t="shared" si="57"/>
        <v>18097330203_2025</v>
      </c>
      <c r="B1263">
        <v>18097330203</v>
      </c>
      <c r="C1263">
        <v>2025</v>
      </c>
      <c r="E1263">
        <v>2.070885769405459</v>
      </c>
      <c r="F1263">
        <v>-1.314634604237209</v>
      </c>
      <c r="G1263">
        <v>3.9848817454089298</v>
      </c>
      <c r="I1263">
        <v>1.6342552799472081</v>
      </c>
      <c r="M1263">
        <f t="shared" si="58"/>
        <v>6.3753881905243883</v>
      </c>
      <c r="N1263">
        <f t="shared" si="59"/>
        <v>4</v>
      </c>
    </row>
    <row r="1264" spans="1:14" x14ac:dyDescent="0.35">
      <c r="A1264" t="str">
        <f t="shared" si="57"/>
        <v>18097330203_2026</v>
      </c>
      <c r="B1264">
        <v>18097330203</v>
      </c>
      <c r="C1264">
        <v>2026</v>
      </c>
      <c r="E1264">
        <v>2.0520562503896409</v>
      </c>
      <c r="F1264">
        <v>-1.2311878167530681</v>
      </c>
      <c r="G1264">
        <v>3.9284785904929089</v>
      </c>
      <c r="I1264">
        <v>1.6488287684843179</v>
      </c>
      <c r="M1264">
        <f t="shared" si="58"/>
        <v>6.3981757926137997</v>
      </c>
      <c r="N1264">
        <f t="shared" si="59"/>
        <v>4</v>
      </c>
    </row>
    <row r="1265" spans="1:14" x14ac:dyDescent="0.35">
      <c r="A1265" t="str">
        <f t="shared" si="57"/>
        <v>18097330203_2027</v>
      </c>
      <c r="B1265">
        <v>18097330203</v>
      </c>
      <c r="C1265">
        <v>2027</v>
      </c>
      <c r="E1265">
        <v>2.0199406501516028</v>
      </c>
      <c r="F1265">
        <v>-1.137463708468669</v>
      </c>
      <c r="G1265">
        <v>3.7697360356602698</v>
      </c>
      <c r="I1265">
        <v>1.6728199780327639</v>
      </c>
      <c r="M1265">
        <f t="shared" si="58"/>
        <v>6.3250329553759679</v>
      </c>
      <c r="N1265">
        <f t="shared" si="59"/>
        <v>4</v>
      </c>
    </row>
    <row r="1266" spans="1:14" x14ac:dyDescent="0.35">
      <c r="A1266" t="str">
        <f t="shared" si="57"/>
        <v>18097330203_2028</v>
      </c>
      <c r="B1266">
        <v>18097330203</v>
      </c>
      <c r="C1266">
        <v>2028</v>
      </c>
      <c r="E1266">
        <v>1.9942117018292911</v>
      </c>
      <c r="F1266">
        <v>-1.061961410309046</v>
      </c>
      <c r="G1266">
        <v>3.6363308793326299</v>
      </c>
      <c r="I1266">
        <v>1.6802378252562871</v>
      </c>
      <c r="M1266">
        <f t="shared" si="58"/>
        <v>6.2488189961091622</v>
      </c>
      <c r="N1266">
        <f t="shared" si="59"/>
        <v>4</v>
      </c>
    </row>
    <row r="1267" spans="1:14" x14ac:dyDescent="0.35">
      <c r="A1267" t="str">
        <f t="shared" si="57"/>
        <v>18097330206_2024</v>
      </c>
      <c r="B1267">
        <v>18097330206</v>
      </c>
      <c r="C1267">
        <v>2024</v>
      </c>
      <c r="E1267">
        <v>1.1601204940140339</v>
      </c>
      <c r="F1267">
        <v>-1.437683249581456</v>
      </c>
      <c r="G1267">
        <v>2.301264920323129</v>
      </c>
      <c r="H1267">
        <v>1.333913437949968</v>
      </c>
      <c r="I1267">
        <v>-9.5169435877167398E-3</v>
      </c>
      <c r="M1267">
        <f t="shared" si="58"/>
        <v>3.3480986591179578</v>
      </c>
      <c r="N1267">
        <f t="shared" si="59"/>
        <v>5</v>
      </c>
    </row>
    <row r="1268" spans="1:14" x14ac:dyDescent="0.35">
      <c r="A1268" t="str">
        <f t="shared" si="57"/>
        <v>18097330206_2025</v>
      </c>
      <c r="B1268">
        <v>18097330206</v>
      </c>
      <c r="C1268">
        <v>2025</v>
      </c>
      <c r="E1268">
        <v>1.212234258848802</v>
      </c>
      <c r="F1268">
        <v>-1.3906818927834921</v>
      </c>
      <c r="G1268">
        <v>2.2451655541296329</v>
      </c>
      <c r="H1268">
        <v>1.2302245399951179</v>
      </c>
      <c r="I1268">
        <v>-8.4882502617927749E-2</v>
      </c>
      <c r="M1268">
        <f t="shared" si="58"/>
        <v>3.2120599575721331</v>
      </c>
      <c r="N1268">
        <f t="shared" si="59"/>
        <v>5</v>
      </c>
    </row>
    <row r="1269" spans="1:14" x14ac:dyDescent="0.35">
      <c r="A1269" t="str">
        <f t="shared" si="57"/>
        <v>18097330206_2026</v>
      </c>
      <c r="B1269">
        <v>18097330206</v>
      </c>
      <c r="C1269">
        <v>2026</v>
      </c>
      <c r="E1269">
        <v>1.1971100604681839</v>
      </c>
      <c r="F1269">
        <v>-1.3213766475187001</v>
      </c>
      <c r="G1269">
        <v>2.111599403237852</v>
      </c>
      <c r="H1269">
        <v>1.1256708876869299</v>
      </c>
      <c r="I1269">
        <v>-0.16851873898474579</v>
      </c>
      <c r="M1269">
        <f t="shared" si="58"/>
        <v>2.9444849648895195</v>
      </c>
      <c r="N1269">
        <f t="shared" si="59"/>
        <v>5</v>
      </c>
    </row>
    <row r="1270" spans="1:14" x14ac:dyDescent="0.35">
      <c r="A1270" t="str">
        <f t="shared" si="57"/>
        <v>18097330206_2027</v>
      </c>
      <c r="B1270">
        <v>18097330206</v>
      </c>
      <c r="C1270">
        <v>2027</v>
      </c>
      <c r="E1270">
        <v>1.211993889339654</v>
      </c>
      <c r="F1270">
        <v>-1.23777472607727</v>
      </c>
      <c r="G1270">
        <v>2.0184861757966428</v>
      </c>
      <c r="H1270">
        <v>1.023117787224251</v>
      </c>
      <c r="I1270">
        <v>-0.24419483051758911</v>
      </c>
      <c r="M1270">
        <f t="shared" si="58"/>
        <v>2.7716282957656886</v>
      </c>
      <c r="N1270">
        <f t="shared" si="59"/>
        <v>5</v>
      </c>
    </row>
    <row r="1271" spans="1:14" x14ac:dyDescent="0.35">
      <c r="A1271" t="str">
        <f t="shared" si="57"/>
        <v>18097330206_2028</v>
      </c>
      <c r="B1271">
        <v>18097330206</v>
      </c>
      <c r="C1271">
        <v>2028</v>
      </c>
      <c r="E1271">
        <v>1.2075763942384099</v>
      </c>
      <c r="F1271">
        <v>-1.1724612112484101</v>
      </c>
      <c r="G1271">
        <v>1.8705781505028261</v>
      </c>
      <c r="H1271">
        <v>0.92714366166502382</v>
      </c>
      <c r="I1271">
        <v>-0.31769128592920221</v>
      </c>
      <c r="M1271">
        <f t="shared" si="58"/>
        <v>2.5151457092286478</v>
      </c>
      <c r="N1271">
        <f t="shared" si="59"/>
        <v>5</v>
      </c>
    </row>
    <row r="1272" spans="1:14" x14ac:dyDescent="0.35">
      <c r="A1272" t="str">
        <f t="shared" si="57"/>
        <v>18097330208_2024</v>
      </c>
      <c r="B1272">
        <v>18097330208</v>
      </c>
      <c r="C1272">
        <v>2024</v>
      </c>
      <c r="E1272">
        <v>0.93376095388115077</v>
      </c>
      <c r="F1272">
        <v>-0.94802301499031305</v>
      </c>
      <c r="G1272">
        <v>0.86703987698686136</v>
      </c>
      <c r="H1272">
        <v>1.178715961925334</v>
      </c>
      <c r="I1272">
        <v>0.66172795258862283</v>
      </c>
      <c r="M1272">
        <f t="shared" si="58"/>
        <v>2.6932217303916559</v>
      </c>
      <c r="N1272">
        <f t="shared" si="59"/>
        <v>5</v>
      </c>
    </row>
    <row r="1273" spans="1:14" x14ac:dyDescent="0.35">
      <c r="A1273" t="str">
        <f t="shared" si="57"/>
        <v>18097330208_2025</v>
      </c>
      <c r="B1273">
        <v>18097330208</v>
      </c>
      <c r="C1273">
        <v>2025</v>
      </c>
      <c r="E1273">
        <v>0.88742905197684696</v>
      </c>
      <c r="F1273">
        <v>-0.93843428327804101</v>
      </c>
      <c r="G1273">
        <v>0.84039382943640994</v>
      </c>
      <c r="H1273">
        <v>1.0711806528805561</v>
      </c>
      <c r="I1273">
        <v>0.69043224949736726</v>
      </c>
      <c r="M1273">
        <f t="shared" si="58"/>
        <v>2.5510015005131392</v>
      </c>
      <c r="N1273">
        <f t="shared" si="59"/>
        <v>5</v>
      </c>
    </row>
    <row r="1274" spans="1:14" x14ac:dyDescent="0.35">
      <c r="A1274" t="str">
        <f t="shared" si="57"/>
        <v>18097330208_2026</v>
      </c>
      <c r="B1274">
        <v>18097330208</v>
      </c>
      <c r="C1274">
        <v>2026</v>
      </c>
      <c r="E1274">
        <v>0.85730256542691397</v>
      </c>
      <c r="F1274">
        <v>-0.91491917997903216</v>
      </c>
      <c r="G1274">
        <v>0.7597375255197284</v>
      </c>
      <c r="H1274">
        <v>0.99208358498514682</v>
      </c>
      <c r="I1274">
        <v>0.61612581891659723</v>
      </c>
      <c r="M1274">
        <f t="shared" si="58"/>
        <v>2.3103303148693541</v>
      </c>
      <c r="N1274">
        <f t="shared" si="59"/>
        <v>5</v>
      </c>
    </row>
    <row r="1275" spans="1:14" x14ac:dyDescent="0.35">
      <c r="A1275" t="str">
        <f t="shared" si="57"/>
        <v>18097330208_2027</v>
      </c>
      <c r="B1275">
        <v>18097330208</v>
      </c>
      <c r="C1275">
        <v>2027</v>
      </c>
      <c r="E1275">
        <v>0.81501563145435674</v>
      </c>
      <c r="F1275">
        <v>-0.88038424851527453</v>
      </c>
      <c r="G1275">
        <v>0.69488706155582969</v>
      </c>
      <c r="H1275">
        <v>0.89903539551802136</v>
      </c>
      <c r="I1275">
        <v>0.59545505718828529</v>
      </c>
      <c r="M1275">
        <f t="shared" si="58"/>
        <v>2.1240088972012185</v>
      </c>
      <c r="N1275">
        <f t="shared" si="59"/>
        <v>5</v>
      </c>
    </row>
    <row r="1276" spans="1:14" x14ac:dyDescent="0.35">
      <c r="A1276" t="str">
        <f t="shared" si="57"/>
        <v>18097330208_2028</v>
      </c>
      <c r="B1276">
        <v>18097330208</v>
      </c>
      <c r="C1276">
        <v>2028</v>
      </c>
      <c r="E1276">
        <v>0.78218292745802276</v>
      </c>
      <c r="F1276">
        <v>-0.85398672737036874</v>
      </c>
      <c r="G1276">
        <v>0.60518904758556413</v>
      </c>
      <c r="H1276">
        <v>0.8200944619559325</v>
      </c>
      <c r="I1276">
        <v>0.54601405086215271</v>
      </c>
      <c r="M1276">
        <f t="shared" si="58"/>
        <v>1.8994937604913034</v>
      </c>
      <c r="N1276">
        <f t="shared" si="59"/>
        <v>5</v>
      </c>
    </row>
    <row r="1277" spans="1:14" x14ac:dyDescent="0.35">
      <c r="A1277" t="str">
        <f t="shared" si="57"/>
        <v>18097330209_2024</v>
      </c>
      <c r="B1277">
        <v>18097330209</v>
      </c>
      <c r="C1277">
        <v>2024</v>
      </c>
      <c r="E1277">
        <v>-0.30068567091179849</v>
      </c>
      <c r="F1277">
        <v>-4.1540184115452308E-2</v>
      </c>
      <c r="G1277">
        <v>1.400260314089053</v>
      </c>
      <c r="H1277">
        <v>0.81915781420395395</v>
      </c>
      <c r="I1277">
        <v>-0.39898171257597842</v>
      </c>
      <c r="M1277">
        <f t="shared" si="58"/>
        <v>1.4782105606897777</v>
      </c>
      <c r="N1277">
        <f t="shared" si="59"/>
        <v>5</v>
      </c>
    </row>
    <row r="1278" spans="1:14" x14ac:dyDescent="0.35">
      <c r="A1278" t="str">
        <f t="shared" si="57"/>
        <v>18097330209_2025</v>
      </c>
      <c r="B1278">
        <v>18097330209</v>
      </c>
      <c r="C1278">
        <v>2025</v>
      </c>
      <c r="E1278">
        <v>-0.43217585925224061</v>
      </c>
      <c r="F1278">
        <v>0.20888335508933861</v>
      </c>
      <c r="G1278">
        <v>1.435154891695448</v>
      </c>
      <c r="H1278">
        <v>0.7135644405646987</v>
      </c>
      <c r="I1278">
        <v>-0.48119138927164662</v>
      </c>
      <c r="M1278">
        <f t="shared" si="58"/>
        <v>1.4442354388255982</v>
      </c>
      <c r="N1278">
        <f t="shared" si="59"/>
        <v>5</v>
      </c>
    </row>
    <row r="1279" spans="1:14" x14ac:dyDescent="0.35">
      <c r="A1279" t="str">
        <f t="shared" si="57"/>
        <v>18097330209_2026</v>
      </c>
      <c r="B1279">
        <v>18097330209</v>
      </c>
      <c r="C1279">
        <v>2026</v>
      </c>
      <c r="E1279">
        <v>-0.55302550851341825</v>
      </c>
      <c r="F1279">
        <v>0.46420358225817743</v>
      </c>
      <c r="G1279">
        <v>1.4092961308806939</v>
      </c>
      <c r="H1279">
        <v>0.62256629564764365</v>
      </c>
      <c r="I1279">
        <v>-0.56167472260888385</v>
      </c>
      <c r="M1279">
        <f t="shared" si="58"/>
        <v>1.381365777664213</v>
      </c>
      <c r="N1279">
        <f t="shared" si="59"/>
        <v>5</v>
      </c>
    </row>
    <row r="1280" spans="1:14" x14ac:dyDescent="0.35">
      <c r="A1280" t="str">
        <f t="shared" si="57"/>
        <v>18097330209_2027</v>
      </c>
      <c r="B1280">
        <v>18097330209</v>
      </c>
      <c r="C1280">
        <v>2027</v>
      </c>
      <c r="E1280">
        <v>-0.66857174157973909</v>
      </c>
      <c r="F1280">
        <v>0.71306801706282497</v>
      </c>
      <c r="G1280">
        <v>1.407589855094018</v>
      </c>
      <c r="H1280">
        <v>0.52861433174463934</v>
      </c>
      <c r="I1280">
        <v>-0.63678758620942044</v>
      </c>
      <c r="M1280">
        <f t="shared" si="58"/>
        <v>1.3439128761123227</v>
      </c>
      <c r="N1280">
        <f t="shared" si="59"/>
        <v>5</v>
      </c>
    </row>
    <row r="1281" spans="1:14" x14ac:dyDescent="0.35">
      <c r="A1281" t="str">
        <f t="shared" si="57"/>
        <v>18097330209_2028</v>
      </c>
      <c r="B1281">
        <v>18097330209</v>
      </c>
      <c r="C1281">
        <v>2028</v>
      </c>
      <c r="E1281">
        <v>-0.7736202675232019</v>
      </c>
      <c r="F1281">
        <v>0.98781225643075798</v>
      </c>
      <c r="G1281">
        <v>1.3590189495142431</v>
      </c>
      <c r="H1281">
        <v>0.4508978492127973</v>
      </c>
      <c r="I1281">
        <v>-0.70634784363869019</v>
      </c>
      <c r="M1281">
        <f t="shared" si="58"/>
        <v>1.3177609439959066</v>
      </c>
      <c r="N1281">
        <f t="shared" si="59"/>
        <v>5</v>
      </c>
    </row>
    <row r="1282" spans="1:14" x14ac:dyDescent="0.35">
      <c r="A1282" t="str">
        <f t="shared" si="57"/>
        <v>18097330213_2024</v>
      </c>
      <c r="B1282">
        <v>18097330213</v>
      </c>
      <c r="C1282">
        <v>2024</v>
      </c>
      <c r="E1282">
        <v>1.015663335209962</v>
      </c>
      <c r="F1282">
        <v>-1.3658130164031901</v>
      </c>
      <c r="G1282">
        <v>0.80963754043470493</v>
      </c>
      <c r="I1282">
        <v>1.2805149529930679</v>
      </c>
      <c r="M1282">
        <f t="shared" si="58"/>
        <v>1.7400028122345448</v>
      </c>
      <c r="N1282">
        <f t="shared" si="59"/>
        <v>4</v>
      </c>
    </row>
    <row r="1283" spans="1:14" x14ac:dyDescent="0.35">
      <c r="A1283" t="str">
        <f t="shared" ref="A1283:A1346" si="60">TEXT(B1283,0)&amp;"_"&amp;TEXT(C1283,0)</f>
        <v>18097330213_2025</v>
      </c>
      <c r="B1283">
        <v>18097330213</v>
      </c>
      <c r="C1283">
        <v>2025</v>
      </c>
      <c r="E1283">
        <v>1.0758720087535449</v>
      </c>
      <c r="F1283">
        <v>-1.3432310588684979</v>
      </c>
      <c r="G1283">
        <v>0.71364024241365986</v>
      </c>
      <c r="I1283">
        <v>1.391216565829797</v>
      </c>
      <c r="M1283">
        <f t="shared" ref="M1283:M1346" si="61">SUM(D1283:K1283)</f>
        <v>1.8374977581285039</v>
      </c>
      <c r="N1283">
        <f t="shared" ref="N1283:N1346" si="62">IF(D1283=0,0,1)+IF(E1283=0,0,1)+IF(F1283=0,0,1)+IF(G1283=0,0,1)+IF(H1283=0,0,1)+IF(I1283=0,0,1)++IF(J1283=0,0,1)++IF(K1283=0,0,1)</f>
        <v>4</v>
      </c>
    </row>
    <row r="1284" spans="1:14" x14ac:dyDescent="0.35">
      <c r="A1284" t="str">
        <f t="shared" si="60"/>
        <v>18097330213_2026</v>
      </c>
      <c r="B1284">
        <v>18097330213</v>
      </c>
      <c r="C1284">
        <v>2026</v>
      </c>
      <c r="E1284">
        <v>1.139208287901341</v>
      </c>
      <c r="F1284">
        <v>-1.2945612397613899</v>
      </c>
      <c r="G1284">
        <v>0.58659108796626946</v>
      </c>
      <c r="I1284">
        <v>1.4799421257287431</v>
      </c>
      <c r="M1284">
        <f t="shared" si="61"/>
        <v>1.9111802618349636</v>
      </c>
      <c r="N1284">
        <f t="shared" si="62"/>
        <v>4</v>
      </c>
    </row>
    <row r="1285" spans="1:14" x14ac:dyDescent="0.35">
      <c r="A1285" t="str">
        <f t="shared" si="60"/>
        <v>18097330213_2027</v>
      </c>
      <c r="B1285">
        <v>18097330213</v>
      </c>
      <c r="C1285">
        <v>2027</v>
      </c>
      <c r="E1285">
        <v>1.185877238899061</v>
      </c>
      <c r="F1285">
        <v>-1.226934888635598</v>
      </c>
      <c r="G1285">
        <v>0.48501820889870439</v>
      </c>
      <c r="I1285">
        <v>1.5746736054323489</v>
      </c>
      <c r="M1285">
        <f t="shared" si="61"/>
        <v>2.0186341645945163</v>
      </c>
      <c r="N1285">
        <f t="shared" si="62"/>
        <v>4</v>
      </c>
    </row>
    <row r="1286" spans="1:14" x14ac:dyDescent="0.35">
      <c r="A1286" t="str">
        <f t="shared" si="60"/>
        <v>18097330213_2028</v>
      </c>
      <c r="B1286">
        <v>18097330213</v>
      </c>
      <c r="C1286">
        <v>2028</v>
      </c>
      <c r="E1286">
        <v>1.237074837884605</v>
      </c>
      <c r="F1286">
        <v>-1.173103566922024</v>
      </c>
      <c r="G1286">
        <v>0.37113512930951509</v>
      </c>
      <c r="I1286">
        <v>1.650959443343254</v>
      </c>
      <c r="M1286">
        <f t="shared" si="61"/>
        <v>2.0860658436153501</v>
      </c>
      <c r="N1286">
        <f t="shared" si="62"/>
        <v>4</v>
      </c>
    </row>
    <row r="1287" spans="1:14" x14ac:dyDescent="0.35">
      <c r="A1287" t="str">
        <f t="shared" si="60"/>
        <v>18097330700_2024</v>
      </c>
      <c r="B1287">
        <v>18097330700</v>
      </c>
      <c r="C1287">
        <v>2024</v>
      </c>
      <c r="E1287">
        <v>-1.054785405418776</v>
      </c>
      <c r="F1287">
        <v>5.2132458094276588</v>
      </c>
      <c r="G1287">
        <v>-0.65071755356646088</v>
      </c>
      <c r="I1287">
        <v>-0.25984025573612118</v>
      </c>
      <c r="M1287">
        <f t="shared" si="61"/>
        <v>3.2479025947063009</v>
      </c>
      <c r="N1287">
        <f t="shared" si="62"/>
        <v>4</v>
      </c>
    </row>
    <row r="1288" spans="1:14" x14ac:dyDescent="0.35">
      <c r="A1288" t="str">
        <f t="shared" si="60"/>
        <v>18097330700_2025</v>
      </c>
      <c r="B1288">
        <v>18097330700</v>
      </c>
      <c r="C1288">
        <v>2025</v>
      </c>
      <c r="E1288">
        <v>-1.0135976718483439</v>
      </c>
      <c r="F1288">
        <v>4.9276026117501672</v>
      </c>
      <c r="G1288">
        <v>-0.6324681343244698</v>
      </c>
      <c r="I1288">
        <v>-0.25894864504460902</v>
      </c>
      <c r="M1288">
        <f t="shared" si="61"/>
        <v>3.0225881605327443</v>
      </c>
      <c r="N1288">
        <f t="shared" si="62"/>
        <v>4</v>
      </c>
    </row>
    <row r="1289" spans="1:14" x14ac:dyDescent="0.35">
      <c r="A1289" t="str">
        <f t="shared" si="60"/>
        <v>18097330700_2026</v>
      </c>
      <c r="B1289">
        <v>18097330700</v>
      </c>
      <c r="C1289">
        <v>2026</v>
      </c>
      <c r="E1289">
        <v>-0.97321671090750161</v>
      </c>
      <c r="F1289">
        <v>4.5506008482472451</v>
      </c>
      <c r="G1289">
        <v>-0.60996267502046486</v>
      </c>
      <c r="I1289">
        <v>-0.26100219758140969</v>
      </c>
      <c r="M1289">
        <f t="shared" si="61"/>
        <v>2.7064192647378689</v>
      </c>
      <c r="N1289">
        <f t="shared" si="62"/>
        <v>4</v>
      </c>
    </row>
    <row r="1290" spans="1:14" x14ac:dyDescent="0.35">
      <c r="A1290" t="str">
        <f t="shared" si="60"/>
        <v>18097330700_2027</v>
      </c>
      <c r="B1290">
        <v>18097330700</v>
      </c>
      <c r="C1290">
        <v>2027</v>
      </c>
      <c r="E1290">
        <v>-0.93183621283874141</v>
      </c>
      <c r="F1290">
        <v>4.1164003157565574</v>
      </c>
      <c r="G1290">
        <v>-0.58797547440214659</v>
      </c>
      <c r="I1290">
        <v>-0.25936578374987151</v>
      </c>
      <c r="M1290">
        <f t="shared" si="61"/>
        <v>2.3372228447657979</v>
      </c>
      <c r="N1290">
        <f t="shared" si="62"/>
        <v>4</v>
      </c>
    </row>
    <row r="1291" spans="1:14" x14ac:dyDescent="0.35">
      <c r="A1291" t="str">
        <f t="shared" si="60"/>
        <v>18097330700_2028</v>
      </c>
      <c r="B1291">
        <v>18097330700</v>
      </c>
      <c r="C1291">
        <v>2028</v>
      </c>
      <c r="E1291">
        <v>-0.88905581945279344</v>
      </c>
      <c r="F1291">
        <v>3.7836437258703062</v>
      </c>
      <c r="G1291">
        <v>-0.56307688728681693</v>
      </c>
      <c r="I1291">
        <v>-0.2580629393266427</v>
      </c>
      <c r="M1291">
        <f t="shared" si="61"/>
        <v>2.0734480798040531</v>
      </c>
      <c r="N1291">
        <f t="shared" si="62"/>
        <v>4</v>
      </c>
    </row>
    <row r="1292" spans="1:14" x14ac:dyDescent="0.35">
      <c r="A1292" t="str">
        <f t="shared" si="60"/>
        <v>18097340109_2024</v>
      </c>
      <c r="B1292">
        <v>18097340109</v>
      </c>
      <c r="C1292">
        <v>2024</v>
      </c>
      <c r="E1292">
        <v>1.58295609834836E-3</v>
      </c>
      <c r="F1292">
        <v>-9.6767875790074565E-2</v>
      </c>
      <c r="G1292">
        <v>-0.3949627845928157</v>
      </c>
      <c r="H1292">
        <v>-1.3709480359636279</v>
      </c>
      <c r="I1292">
        <v>-1.1065078104423161</v>
      </c>
      <c r="M1292">
        <f t="shared" si="61"/>
        <v>-2.9676035506904856</v>
      </c>
      <c r="N1292">
        <f t="shared" si="62"/>
        <v>5</v>
      </c>
    </row>
    <row r="1293" spans="1:14" x14ac:dyDescent="0.35">
      <c r="A1293" t="str">
        <f t="shared" si="60"/>
        <v>18097340109_2025</v>
      </c>
      <c r="B1293">
        <v>18097340109</v>
      </c>
      <c r="C1293">
        <v>2025</v>
      </c>
      <c r="E1293">
        <v>2.91558430939679E-2</v>
      </c>
      <c r="F1293">
        <v>-0.13381658356625731</v>
      </c>
      <c r="G1293">
        <v>-0.47151429365495962</v>
      </c>
      <c r="H1293">
        <v>-1.528612241314445</v>
      </c>
      <c r="I1293">
        <v>-1.09894507971609</v>
      </c>
      <c r="M1293">
        <f t="shared" si="61"/>
        <v>-3.2037323551577837</v>
      </c>
      <c r="N1293">
        <f t="shared" si="62"/>
        <v>5</v>
      </c>
    </row>
    <row r="1294" spans="1:14" x14ac:dyDescent="0.35">
      <c r="A1294" t="str">
        <f t="shared" si="60"/>
        <v>18097340109_2026</v>
      </c>
      <c r="B1294">
        <v>18097340109</v>
      </c>
      <c r="C1294">
        <v>2026</v>
      </c>
      <c r="E1294">
        <v>5.1316031732107199E-2</v>
      </c>
      <c r="F1294">
        <v>-1.5828291439190349E-2</v>
      </c>
      <c r="G1294">
        <v>-0.5341482595927145</v>
      </c>
      <c r="H1294">
        <v>-1.6591973021027799</v>
      </c>
      <c r="I1294">
        <v>-1.0846577676422311</v>
      </c>
      <c r="M1294">
        <f t="shared" si="61"/>
        <v>-3.2425155890448085</v>
      </c>
      <c r="N1294">
        <f t="shared" si="62"/>
        <v>5</v>
      </c>
    </row>
    <row r="1295" spans="1:14" x14ac:dyDescent="0.35">
      <c r="A1295" t="str">
        <f t="shared" si="60"/>
        <v>18097340109_2027</v>
      </c>
      <c r="B1295">
        <v>18097340109</v>
      </c>
      <c r="C1295">
        <v>2027</v>
      </c>
      <c r="E1295">
        <v>7.4209459767680203E-2</v>
      </c>
      <c r="F1295">
        <v>-5.7269700050373518E-2</v>
      </c>
      <c r="G1295">
        <v>-0.59091074473117577</v>
      </c>
      <c r="H1295">
        <v>-1.767641776239224</v>
      </c>
      <c r="I1295">
        <v>-1.069729864117428</v>
      </c>
      <c r="M1295">
        <f t="shared" si="61"/>
        <v>-3.411342625370521</v>
      </c>
      <c r="N1295">
        <f t="shared" si="62"/>
        <v>5</v>
      </c>
    </row>
    <row r="1296" spans="1:14" x14ac:dyDescent="0.35">
      <c r="A1296" t="str">
        <f t="shared" si="60"/>
        <v>18097340109_2028</v>
      </c>
      <c r="B1296">
        <v>18097340109</v>
      </c>
      <c r="C1296">
        <v>2028</v>
      </c>
      <c r="E1296">
        <v>9.5923231417812019E-2</v>
      </c>
      <c r="F1296">
        <v>3.7208659390213603E-2</v>
      </c>
      <c r="G1296">
        <v>-0.6322094454432694</v>
      </c>
      <c r="H1296">
        <v>-1.8298913856380581</v>
      </c>
      <c r="I1296">
        <v>-1.0493290424465871</v>
      </c>
      <c r="M1296">
        <f t="shared" si="61"/>
        <v>-3.3782979827198893</v>
      </c>
      <c r="N1296">
        <f t="shared" si="62"/>
        <v>5</v>
      </c>
    </row>
    <row r="1297" spans="1:14" x14ac:dyDescent="0.35">
      <c r="A1297" t="str">
        <f t="shared" si="60"/>
        <v>18097340300_2024</v>
      </c>
      <c r="B1297">
        <v>18097340300</v>
      </c>
      <c r="C1297">
        <v>2024</v>
      </c>
      <c r="E1297">
        <v>-1.259554152104849</v>
      </c>
      <c r="F1297">
        <v>1.5405235868847891</v>
      </c>
      <c r="G1297">
        <v>-0.75800177262581236</v>
      </c>
      <c r="H1297">
        <v>1.565628013236011</v>
      </c>
      <c r="I1297">
        <v>-1.982142973487081</v>
      </c>
      <c r="M1297">
        <f t="shared" si="61"/>
        <v>-0.89354729809694233</v>
      </c>
      <c r="N1297">
        <f t="shared" si="62"/>
        <v>5</v>
      </c>
    </row>
    <row r="1298" spans="1:14" x14ac:dyDescent="0.35">
      <c r="A1298" t="str">
        <f t="shared" si="60"/>
        <v>18097340300_2025</v>
      </c>
      <c r="B1298">
        <v>18097340300</v>
      </c>
      <c r="C1298">
        <v>2025</v>
      </c>
      <c r="E1298">
        <v>-1.2644090022672809</v>
      </c>
      <c r="F1298">
        <v>1.50282385055534</v>
      </c>
      <c r="G1298">
        <v>-0.74275803279363461</v>
      </c>
      <c r="H1298">
        <v>1.466113515427544</v>
      </c>
      <c r="I1298">
        <v>-1.987562591069771</v>
      </c>
      <c r="M1298">
        <f t="shared" si="61"/>
        <v>-1.0257922601478024</v>
      </c>
      <c r="N1298">
        <f t="shared" si="62"/>
        <v>5</v>
      </c>
    </row>
    <row r="1299" spans="1:14" x14ac:dyDescent="0.35">
      <c r="A1299" t="str">
        <f t="shared" si="60"/>
        <v>18097340300_2026</v>
      </c>
      <c r="B1299">
        <v>18097340300</v>
      </c>
      <c r="C1299">
        <v>2026</v>
      </c>
      <c r="E1299">
        <v>-1.26922266802342</v>
      </c>
      <c r="F1299">
        <v>1.4253812294388899</v>
      </c>
      <c r="G1299">
        <v>-0.72016559588952955</v>
      </c>
      <c r="H1299">
        <v>1.3578439574848351</v>
      </c>
      <c r="I1299">
        <v>-1.9734782588323729</v>
      </c>
      <c r="M1299">
        <f t="shared" si="61"/>
        <v>-1.1796413358215974</v>
      </c>
      <c r="N1299">
        <f t="shared" si="62"/>
        <v>5</v>
      </c>
    </row>
    <row r="1300" spans="1:14" x14ac:dyDescent="0.35">
      <c r="A1300" t="str">
        <f t="shared" si="60"/>
        <v>18097340300_2027</v>
      </c>
      <c r="B1300">
        <v>18097340300</v>
      </c>
      <c r="C1300">
        <v>2027</v>
      </c>
      <c r="E1300">
        <v>-1.2682337448661509</v>
      </c>
      <c r="F1300">
        <v>1.3205793994517669</v>
      </c>
      <c r="G1300">
        <v>-0.69913303288312423</v>
      </c>
      <c r="H1300">
        <v>1.2537650974066941</v>
      </c>
      <c r="I1300">
        <v>-1.962447646422574</v>
      </c>
      <c r="M1300">
        <f t="shared" si="61"/>
        <v>-1.3554699273133881</v>
      </c>
      <c r="N1300">
        <f t="shared" si="62"/>
        <v>5</v>
      </c>
    </row>
    <row r="1301" spans="1:14" x14ac:dyDescent="0.35">
      <c r="A1301" t="str">
        <f t="shared" si="60"/>
        <v>18097340300_2028</v>
      </c>
      <c r="B1301">
        <v>18097340300</v>
      </c>
      <c r="C1301">
        <v>2028</v>
      </c>
      <c r="E1301">
        <v>-1.2642509002032809</v>
      </c>
      <c r="F1301">
        <v>1.245621444731255</v>
      </c>
      <c r="G1301">
        <v>-0.67229090265524516</v>
      </c>
      <c r="H1301">
        <v>1.1513900059464439</v>
      </c>
      <c r="I1301">
        <v>-1.938401928667278</v>
      </c>
      <c r="M1301">
        <f t="shared" si="61"/>
        <v>-1.4779322808481052</v>
      </c>
      <c r="N1301">
        <f t="shared" si="62"/>
        <v>5</v>
      </c>
    </row>
    <row r="1302" spans="1:14" x14ac:dyDescent="0.35">
      <c r="A1302" t="str">
        <f t="shared" si="60"/>
        <v>18097340902_2024</v>
      </c>
      <c r="B1302">
        <v>18097340902</v>
      </c>
      <c r="C1302">
        <v>2024</v>
      </c>
      <c r="E1302">
        <v>0.63648058121277618</v>
      </c>
      <c r="F1302">
        <v>-0.2458442521679475</v>
      </c>
      <c r="G1302">
        <v>-0.67633270341861107</v>
      </c>
      <c r="I1302">
        <v>-5.0648443062911941E-2</v>
      </c>
      <c r="M1302">
        <f t="shared" si="61"/>
        <v>-0.33634481743669431</v>
      </c>
      <c r="N1302">
        <f t="shared" si="62"/>
        <v>4</v>
      </c>
    </row>
    <row r="1303" spans="1:14" x14ac:dyDescent="0.35">
      <c r="A1303" t="str">
        <f t="shared" si="60"/>
        <v>18097340902_2025</v>
      </c>
      <c r="B1303">
        <v>18097340902</v>
      </c>
      <c r="C1303">
        <v>2025</v>
      </c>
      <c r="E1303">
        <v>0.70913482957074292</v>
      </c>
      <c r="F1303">
        <v>-0.34442303671970481</v>
      </c>
      <c r="G1303">
        <v>-0.67977360762264227</v>
      </c>
      <c r="I1303">
        <v>0.17960757758669771</v>
      </c>
      <c r="M1303">
        <f t="shared" si="61"/>
        <v>-0.13545423718490646</v>
      </c>
      <c r="N1303">
        <f t="shared" si="62"/>
        <v>4</v>
      </c>
    </row>
    <row r="1304" spans="1:14" x14ac:dyDescent="0.35">
      <c r="A1304" t="str">
        <f t="shared" si="60"/>
        <v>18097340902_2026</v>
      </c>
      <c r="B1304">
        <v>18097340902</v>
      </c>
      <c r="C1304">
        <v>2026</v>
      </c>
      <c r="E1304">
        <v>0.78100252552686045</v>
      </c>
      <c r="F1304">
        <v>-0.43159221920099511</v>
      </c>
      <c r="G1304">
        <v>-0.6797818729533236</v>
      </c>
      <c r="I1304">
        <v>0.1213585914265678</v>
      </c>
      <c r="M1304">
        <f t="shared" si="61"/>
        <v>-0.20901297520089046</v>
      </c>
      <c r="N1304">
        <f t="shared" si="62"/>
        <v>4</v>
      </c>
    </row>
    <row r="1305" spans="1:14" x14ac:dyDescent="0.35">
      <c r="A1305" t="str">
        <f t="shared" si="60"/>
        <v>18097340902_2027</v>
      </c>
      <c r="B1305">
        <v>18097340902</v>
      </c>
      <c r="C1305">
        <v>2027</v>
      </c>
      <c r="E1305">
        <v>0.84156228882598039</v>
      </c>
      <c r="F1305">
        <v>-0.49109870221340191</v>
      </c>
      <c r="G1305">
        <v>-0.67634567344065966</v>
      </c>
      <c r="I1305">
        <v>0.33603003323424341</v>
      </c>
      <c r="M1305">
        <f t="shared" si="61"/>
        <v>1.0147946406162234E-2</v>
      </c>
      <c r="N1305">
        <f t="shared" si="62"/>
        <v>4</v>
      </c>
    </row>
    <row r="1306" spans="1:14" x14ac:dyDescent="0.35">
      <c r="A1306" t="str">
        <f t="shared" si="60"/>
        <v>18097340902_2028</v>
      </c>
      <c r="B1306">
        <v>18097340902</v>
      </c>
      <c r="C1306">
        <v>2028</v>
      </c>
      <c r="E1306">
        <v>0.90320007429604676</v>
      </c>
      <c r="F1306">
        <v>-0.54086879308051405</v>
      </c>
      <c r="G1306">
        <v>-0.66819104453831757</v>
      </c>
      <c r="I1306">
        <v>0.28156195283973018</v>
      </c>
      <c r="M1306">
        <f t="shared" si="61"/>
        <v>-2.4297810483054683E-2</v>
      </c>
      <c r="N1306">
        <f t="shared" si="62"/>
        <v>4</v>
      </c>
    </row>
    <row r="1307" spans="1:14" x14ac:dyDescent="0.35">
      <c r="A1307" t="str">
        <f t="shared" si="60"/>
        <v>18097341700_2024</v>
      </c>
      <c r="B1307">
        <v>18097341700</v>
      </c>
      <c r="C1307">
        <v>2024</v>
      </c>
      <c r="E1307">
        <v>-1.4519963969304099</v>
      </c>
      <c r="F1307">
        <v>1.8121925551319229</v>
      </c>
      <c r="G1307">
        <v>-1.0929031994163141</v>
      </c>
      <c r="H1307">
        <v>-0.50016667946347182</v>
      </c>
      <c r="I1307">
        <v>-0.30349397582593118</v>
      </c>
      <c r="M1307">
        <f t="shared" si="61"/>
        <v>-1.5363676965042041</v>
      </c>
      <c r="N1307">
        <f t="shared" si="62"/>
        <v>5</v>
      </c>
    </row>
    <row r="1308" spans="1:14" x14ac:dyDescent="0.35">
      <c r="A1308" t="str">
        <f t="shared" si="60"/>
        <v>18097341700_2025</v>
      </c>
      <c r="B1308">
        <v>18097341700</v>
      </c>
      <c r="C1308">
        <v>2025</v>
      </c>
      <c r="E1308">
        <v>-1.498031452047865</v>
      </c>
      <c r="F1308">
        <v>1.843609030941751</v>
      </c>
      <c r="G1308">
        <v>-1.0654547040690641</v>
      </c>
      <c r="H1308">
        <v>-0.4374559831159765</v>
      </c>
      <c r="I1308">
        <v>-0.3226188921605439</v>
      </c>
      <c r="M1308">
        <f t="shared" si="61"/>
        <v>-1.4799520004516986</v>
      </c>
      <c r="N1308">
        <f t="shared" si="62"/>
        <v>5</v>
      </c>
    </row>
    <row r="1309" spans="1:14" x14ac:dyDescent="0.35">
      <c r="A1309" t="str">
        <f t="shared" si="60"/>
        <v>18097341700_2026</v>
      </c>
      <c r="B1309">
        <v>18097341700</v>
      </c>
      <c r="C1309">
        <v>2026</v>
      </c>
      <c r="E1309">
        <v>-1.4790251815891671</v>
      </c>
      <c r="F1309">
        <v>1.8240901646646679</v>
      </c>
      <c r="G1309">
        <v>-1.0710150486772769</v>
      </c>
      <c r="H1309">
        <v>-0.40060063222013659</v>
      </c>
      <c r="I1309">
        <v>-0.34293683978192901</v>
      </c>
      <c r="M1309">
        <f t="shared" si="61"/>
        <v>-1.4694875376038417</v>
      </c>
      <c r="N1309">
        <f t="shared" si="62"/>
        <v>5</v>
      </c>
    </row>
    <row r="1310" spans="1:14" x14ac:dyDescent="0.35">
      <c r="A1310" t="str">
        <f t="shared" si="60"/>
        <v>18097341700_2027</v>
      </c>
      <c r="B1310">
        <v>18097341700</v>
      </c>
      <c r="C1310">
        <v>2027</v>
      </c>
      <c r="E1310">
        <v>-1.507203846674795</v>
      </c>
      <c r="F1310">
        <v>1.7632187454180079</v>
      </c>
      <c r="G1310">
        <v>-1.03939923321745</v>
      </c>
      <c r="H1310">
        <v>-0.34662244087725669</v>
      </c>
      <c r="I1310">
        <v>-0.35942225767966079</v>
      </c>
      <c r="M1310">
        <f t="shared" si="61"/>
        <v>-1.4894290330311546</v>
      </c>
      <c r="N1310">
        <f t="shared" si="62"/>
        <v>5</v>
      </c>
    </row>
    <row r="1311" spans="1:14" x14ac:dyDescent="0.35">
      <c r="A1311" t="str">
        <f t="shared" si="60"/>
        <v>18097341700_2028</v>
      </c>
      <c r="B1311">
        <v>18097341700</v>
      </c>
      <c r="C1311">
        <v>2028</v>
      </c>
      <c r="E1311">
        <v>-1.4864122316218971</v>
      </c>
      <c r="F1311">
        <v>1.733257066772548</v>
      </c>
      <c r="G1311">
        <v>-1.0245767388083671</v>
      </c>
      <c r="H1311">
        <v>-0.30395053431772118</v>
      </c>
      <c r="I1311">
        <v>-0.37467786578041712</v>
      </c>
      <c r="M1311">
        <f t="shared" si="61"/>
        <v>-1.4563603037558543</v>
      </c>
      <c r="N1311">
        <f t="shared" si="62"/>
        <v>5</v>
      </c>
    </row>
    <row r="1312" spans="1:14" x14ac:dyDescent="0.35">
      <c r="A1312" t="str">
        <f t="shared" si="60"/>
        <v>18097354200_2024</v>
      </c>
      <c r="B1312">
        <v>18097354200</v>
      </c>
      <c r="C1312">
        <v>2024</v>
      </c>
      <c r="E1312">
        <v>1.79800901702928</v>
      </c>
      <c r="F1312">
        <v>0.67289697721334363</v>
      </c>
      <c r="G1312">
        <v>5.9452114652752998E-2</v>
      </c>
      <c r="H1312">
        <v>0.1048163157416388</v>
      </c>
      <c r="I1312">
        <v>0.2979602324381101</v>
      </c>
      <c r="M1312">
        <f t="shared" si="61"/>
        <v>2.9331346570751249</v>
      </c>
      <c r="N1312">
        <f t="shared" si="62"/>
        <v>5</v>
      </c>
    </row>
    <row r="1313" spans="1:14" x14ac:dyDescent="0.35">
      <c r="A1313" t="str">
        <f t="shared" si="60"/>
        <v>18097354200_2025</v>
      </c>
      <c r="B1313">
        <v>18097354200</v>
      </c>
      <c r="C1313">
        <v>2025</v>
      </c>
      <c r="E1313">
        <v>1.8483243335132109</v>
      </c>
      <c r="F1313">
        <v>0.68757397422923572</v>
      </c>
      <c r="G1313">
        <v>2.5531224383109979E-2</v>
      </c>
      <c r="H1313">
        <v>1.42735577049386E-2</v>
      </c>
      <c r="I1313">
        <v>0.31185432729652279</v>
      </c>
      <c r="M1313">
        <f t="shared" si="61"/>
        <v>2.8875574171270175</v>
      </c>
      <c r="N1313">
        <f t="shared" si="62"/>
        <v>5</v>
      </c>
    </row>
    <row r="1314" spans="1:14" x14ac:dyDescent="0.35">
      <c r="A1314" t="str">
        <f t="shared" si="60"/>
        <v>18097354200_2026</v>
      </c>
      <c r="B1314">
        <v>18097354200</v>
      </c>
      <c r="C1314">
        <v>2026</v>
      </c>
      <c r="E1314">
        <v>1.872405592645652</v>
      </c>
      <c r="F1314">
        <v>0.67202897419573537</v>
      </c>
      <c r="G1314">
        <v>-2.1338077653936631E-2</v>
      </c>
      <c r="H1314">
        <v>-4.615468067557011E-2</v>
      </c>
      <c r="I1314">
        <v>0.31454960994309439</v>
      </c>
      <c r="M1314">
        <f t="shared" si="61"/>
        <v>2.7914914184549748</v>
      </c>
      <c r="N1314">
        <f t="shared" si="62"/>
        <v>5</v>
      </c>
    </row>
    <row r="1315" spans="1:14" x14ac:dyDescent="0.35">
      <c r="A1315" t="str">
        <f t="shared" si="60"/>
        <v>18097354200_2027</v>
      </c>
      <c r="B1315">
        <v>18097354200</v>
      </c>
      <c r="C1315">
        <v>2027</v>
      </c>
      <c r="E1315">
        <v>1.911006926774794</v>
      </c>
      <c r="F1315">
        <v>0.64051191252216022</v>
      </c>
      <c r="G1315">
        <v>-5.7113604875890289E-2</v>
      </c>
      <c r="H1315">
        <v>-0.1153529068858815</v>
      </c>
      <c r="I1315">
        <v>0.32319555378866532</v>
      </c>
      <c r="M1315">
        <f t="shared" si="61"/>
        <v>2.7022478813238475</v>
      </c>
      <c r="N1315">
        <f t="shared" si="62"/>
        <v>5</v>
      </c>
    </row>
    <row r="1316" spans="1:14" x14ac:dyDescent="0.35">
      <c r="A1316" t="str">
        <f t="shared" si="60"/>
        <v>18097354200_2028</v>
      </c>
      <c r="B1316">
        <v>18097354200</v>
      </c>
      <c r="C1316">
        <v>2028</v>
      </c>
      <c r="E1316">
        <v>1.9219631726941999</v>
      </c>
      <c r="F1316">
        <v>0.62172157259120286</v>
      </c>
      <c r="G1316">
        <v>-9.843419631087244E-2</v>
      </c>
      <c r="H1316">
        <v>-0.15857505629403201</v>
      </c>
      <c r="I1316">
        <v>0.32633533247314878</v>
      </c>
      <c r="M1316">
        <f t="shared" si="61"/>
        <v>2.6130108251536472</v>
      </c>
      <c r="N1316">
        <f t="shared" si="62"/>
        <v>5</v>
      </c>
    </row>
    <row r="1317" spans="1:14" x14ac:dyDescent="0.35">
      <c r="A1317" t="str">
        <f t="shared" si="60"/>
        <v>18097357600_2024</v>
      </c>
      <c r="B1317">
        <v>18097357600</v>
      </c>
      <c r="C1317">
        <v>2024</v>
      </c>
      <c r="E1317">
        <v>-1.3595786831582291</v>
      </c>
      <c r="F1317">
        <v>0.28084092118461151</v>
      </c>
      <c r="G1317">
        <v>-0.99299794970929223</v>
      </c>
      <c r="I1317">
        <v>0.62689455904336622</v>
      </c>
      <c r="M1317">
        <f t="shared" si="61"/>
        <v>-1.4448411526395435</v>
      </c>
      <c r="N1317">
        <f t="shared" si="62"/>
        <v>4</v>
      </c>
    </row>
    <row r="1318" spans="1:14" x14ac:dyDescent="0.35">
      <c r="A1318" t="str">
        <f t="shared" si="60"/>
        <v>18097357600_2025</v>
      </c>
      <c r="B1318">
        <v>18097357600</v>
      </c>
      <c r="C1318">
        <v>2025</v>
      </c>
      <c r="E1318">
        <v>-1.362697899936528</v>
      </c>
      <c r="F1318">
        <v>0.19877403136544389</v>
      </c>
      <c r="G1318">
        <v>-1.0127718279727529</v>
      </c>
      <c r="I1318">
        <v>0.66163300191164054</v>
      </c>
      <c r="M1318">
        <f t="shared" si="61"/>
        <v>-1.5150626946321968</v>
      </c>
      <c r="N1318">
        <f t="shared" si="62"/>
        <v>4</v>
      </c>
    </row>
    <row r="1319" spans="1:14" x14ac:dyDescent="0.35">
      <c r="A1319" t="str">
        <f t="shared" si="60"/>
        <v>18097357600_2026</v>
      </c>
      <c r="B1319">
        <v>18097357600</v>
      </c>
      <c r="C1319">
        <v>2026</v>
      </c>
      <c r="E1319">
        <v>-1.36607114255422</v>
      </c>
      <c r="F1319">
        <v>0.1156854666649247</v>
      </c>
      <c r="G1319">
        <v>-1.0133628231920431</v>
      </c>
      <c r="I1319">
        <v>0.68066220399813049</v>
      </c>
      <c r="M1319">
        <f t="shared" si="61"/>
        <v>-1.5830862950832081</v>
      </c>
      <c r="N1319">
        <f t="shared" si="62"/>
        <v>4</v>
      </c>
    </row>
    <row r="1320" spans="1:14" x14ac:dyDescent="0.35">
      <c r="A1320" t="str">
        <f t="shared" si="60"/>
        <v>18097357600_2027</v>
      </c>
      <c r="B1320">
        <v>18097357600</v>
      </c>
      <c r="C1320">
        <v>2027</v>
      </c>
      <c r="E1320">
        <v>-1.3630167335776719</v>
      </c>
      <c r="F1320">
        <v>3.5923295744144559E-2</v>
      </c>
      <c r="G1320">
        <v>-1.0159110586775739</v>
      </c>
      <c r="I1320">
        <v>0.70606224982056787</v>
      </c>
      <c r="M1320">
        <f t="shared" si="61"/>
        <v>-1.6369422466905332</v>
      </c>
      <c r="N1320">
        <f t="shared" si="62"/>
        <v>4</v>
      </c>
    </row>
    <row r="1321" spans="1:14" x14ac:dyDescent="0.35">
      <c r="A1321" t="str">
        <f t="shared" si="60"/>
        <v>18097357600_2028</v>
      </c>
      <c r="B1321">
        <v>18097357600</v>
      </c>
      <c r="C1321">
        <v>2028</v>
      </c>
      <c r="E1321">
        <v>-1.35719271103603</v>
      </c>
      <c r="F1321">
        <v>-2.6713817439194969E-2</v>
      </c>
      <c r="G1321">
        <v>-1.001292632114712</v>
      </c>
      <c r="I1321">
        <v>0.72246350737642973</v>
      </c>
      <c r="M1321">
        <f t="shared" si="61"/>
        <v>-1.6627356532135074</v>
      </c>
      <c r="N1321">
        <f t="shared" si="62"/>
        <v>4</v>
      </c>
    </row>
    <row r="1322" spans="1:14" x14ac:dyDescent="0.35">
      <c r="A1322" t="str">
        <f t="shared" si="60"/>
        <v>18097361400_2024</v>
      </c>
      <c r="B1322">
        <v>18097361400</v>
      </c>
      <c r="C1322">
        <v>2024</v>
      </c>
      <c r="E1322">
        <v>-0.62884791136825091</v>
      </c>
      <c r="F1322">
        <v>-1.006024993007107</v>
      </c>
      <c r="G1322">
        <v>-0.46537900229881451</v>
      </c>
      <c r="H1322">
        <v>1.2116962730315679</v>
      </c>
      <c r="I1322">
        <v>1.009688753849449</v>
      </c>
      <c r="M1322">
        <f t="shared" si="61"/>
        <v>0.12113312020684464</v>
      </c>
      <c r="N1322">
        <f t="shared" si="62"/>
        <v>5</v>
      </c>
    </row>
    <row r="1323" spans="1:14" x14ac:dyDescent="0.35">
      <c r="A1323" t="str">
        <f t="shared" si="60"/>
        <v>18097361400_2025</v>
      </c>
      <c r="B1323">
        <v>18097361400</v>
      </c>
      <c r="C1323">
        <v>2025</v>
      </c>
      <c r="E1323">
        <v>-0.63544655377918169</v>
      </c>
      <c r="F1323">
        <v>-0.96734292484833861</v>
      </c>
      <c r="G1323">
        <v>-0.5421399404518582</v>
      </c>
      <c r="H1323">
        <v>1.169578100120269</v>
      </c>
      <c r="I1323">
        <v>1.0740974541380841</v>
      </c>
      <c r="M1323">
        <f t="shared" si="61"/>
        <v>9.8746135178974459E-2</v>
      </c>
      <c r="N1323">
        <f t="shared" si="62"/>
        <v>5</v>
      </c>
    </row>
    <row r="1324" spans="1:14" x14ac:dyDescent="0.35">
      <c r="A1324" t="str">
        <f t="shared" si="60"/>
        <v>18097361400_2026</v>
      </c>
      <c r="B1324">
        <v>18097361400</v>
      </c>
      <c r="C1324">
        <v>2026</v>
      </c>
      <c r="E1324">
        <v>-0.63791801868143871</v>
      </c>
      <c r="F1324">
        <v>-0.95423148649499878</v>
      </c>
      <c r="G1324">
        <v>-0.60801987220133147</v>
      </c>
      <c r="H1324">
        <v>1.12181505176422</v>
      </c>
      <c r="I1324">
        <v>1.11681574582258</v>
      </c>
      <c r="M1324">
        <f t="shared" si="61"/>
        <v>3.8461420209031205E-2</v>
      </c>
      <c r="N1324">
        <f t="shared" si="62"/>
        <v>5</v>
      </c>
    </row>
    <row r="1325" spans="1:14" x14ac:dyDescent="0.35">
      <c r="A1325" t="str">
        <f t="shared" si="60"/>
        <v>18097361400_2027</v>
      </c>
      <c r="B1325">
        <v>18097361400</v>
      </c>
      <c r="C1325">
        <v>2027</v>
      </c>
      <c r="E1325">
        <v>-0.64044506917298627</v>
      </c>
      <c r="F1325">
        <v>-0.90598055524836141</v>
      </c>
      <c r="G1325">
        <v>-0.66400969748586558</v>
      </c>
      <c r="H1325">
        <v>1.0699096136814339</v>
      </c>
      <c r="I1325">
        <v>1.1666428333727541</v>
      </c>
      <c r="M1325">
        <f t="shared" si="61"/>
        <v>2.6117125146974729E-2</v>
      </c>
      <c r="N1325">
        <f t="shared" si="62"/>
        <v>5</v>
      </c>
    </row>
    <row r="1326" spans="1:14" x14ac:dyDescent="0.35">
      <c r="A1326" t="str">
        <f t="shared" si="60"/>
        <v>18097361400_2028</v>
      </c>
      <c r="B1326">
        <v>18097361400</v>
      </c>
      <c r="C1326">
        <v>2028</v>
      </c>
      <c r="E1326">
        <v>-0.6385050408600017</v>
      </c>
      <c r="F1326">
        <v>-0.88113622382694579</v>
      </c>
      <c r="G1326">
        <v>-0.70487136454725408</v>
      </c>
      <c r="H1326">
        <v>1.017304782266921</v>
      </c>
      <c r="I1326">
        <v>1.2028555165260779</v>
      </c>
      <c r="M1326">
        <f t="shared" si="61"/>
        <v>-4.3523304412025343E-3</v>
      </c>
      <c r="N1326">
        <f t="shared" si="62"/>
        <v>5</v>
      </c>
    </row>
    <row r="1327" spans="1:14" x14ac:dyDescent="0.35">
      <c r="A1327" t="str">
        <f t="shared" si="60"/>
        <v>18097361600_2024</v>
      </c>
      <c r="B1327">
        <v>18097361600</v>
      </c>
      <c r="C1327">
        <v>2024</v>
      </c>
      <c r="E1327">
        <v>-0.13873643953609541</v>
      </c>
      <c r="F1327">
        <v>-1.4706600088450821</v>
      </c>
      <c r="G1327">
        <v>0.34464801912781368</v>
      </c>
      <c r="H1327">
        <v>1.413627087412801</v>
      </c>
      <c r="I1327">
        <v>-4.2445616333881428E-2</v>
      </c>
      <c r="M1327">
        <f t="shared" si="61"/>
        <v>0.10643304182555559</v>
      </c>
      <c r="N1327">
        <f t="shared" si="62"/>
        <v>5</v>
      </c>
    </row>
    <row r="1328" spans="1:14" x14ac:dyDescent="0.35">
      <c r="A1328" t="str">
        <f t="shared" si="60"/>
        <v>18097361600_2025</v>
      </c>
      <c r="B1328">
        <v>18097361600</v>
      </c>
      <c r="C1328">
        <v>2025</v>
      </c>
      <c r="E1328">
        <v>-0.17067397469022119</v>
      </c>
      <c r="F1328">
        <v>-1.426408015360028</v>
      </c>
      <c r="G1328">
        <v>0.2645313238091857</v>
      </c>
      <c r="H1328">
        <v>1.3424028044501239</v>
      </c>
      <c r="I1328">
        <v>-8.5101945529498166E-2</v>
      </c>
      <c r="M1328">
        <f t="shared" si="61"/>
        <v>-7.5249807320437775E-2</v>
      </c>
      <c r="N1328">
        <f t="shared" si="62"/>
        <v>5</v>
      </c>
    </row>
    <row r="1329" spans="1:14" x14ac:dyDescent="0.35">
      <c r="A1329" t="str">
        <f t="shared" si="60"/>
        <v>18097361600_2026</v>
      </c>
      <c r="B1329">
        <v>18097361600</v>
      </c>
      <c r="C1329">
        <v>2026</v>
      </c>
      <c r="E1329">
        <v>-0.19603712792590561</v>
      </c>
      <c r="F1329">
        <v>-1.3530271075231559</v>
      </c>
      <c r="G1329">
        <v>0.1419724547810981</v>
      </c>
      <c r="H1329">
        <v>1.302529108708484</v>
      </c>
      <c r="I1329">
        <v>-0.133000513868123</v>
      </c>
      <c r="M1329">
        <f t="shared" si="61"/>
        <v>-0.23756318582760244</v>
      </c>
      <c r="N1329">
        <f t="shared" si="62"/>
        <v>5</v>
      </c>
    </row>
    <row r="1330" spans="1:14" x14ac:dyDescent="0.35">
      <c r="A1330" t="str">
        <f t="shared" si="60"/>
        <v>18097361600_2027</v>
      </c>
      <c r="B1330">
        <v>18097361600</v>
      </c>
      <c r="C1330">
        <v>2027</v>
      </c>
      <c r="E1330">
        <v>-0.2235481608405564</v>
      </c>
      <c r="F1330">
        <v>-1.2701637982093279</v>
      </c>
      <c r="G1330">
        <v>6.3693004080014326E-2</v>
      </c>
      <c r="H1330">
        <v>1.225251140384418</v>
      </c>
      <c r="I1330">
        <v>-0.17465728786141491</v>
      </c>
      <c r="M1330">
        <f t="shared" si="61"/>
        <v>-0.37942510244686678</v>
      </c>
      <c r="N1330">
        <f t="shared" si="62"/>
        <v>5</v>
      </c>
    </row>
    <row r="1331" spans="1:14" x14ac:dyDescent="0.35">
      <c r="A1331" t="str">
        <f t="shared" si="60"/>
        <v>18097361600_2028</v>
      </c>
      <c r="B1331">
        <v>18097361600</v>
      </c>
      <c r="C1331">
        <v>2028</v>
      </c>
      <c r="E1331">
        <v>-0.2447387480985056</v>
      </c>
      <c r="F1331">
        <v>-1.203445318140786</v>
      </c>
      <c r="G1331">
        <v>-3.6423912373915138E-2</v>
      </c>
      <c r="H1331">
        <v>1.1513900059464439</v>
      </c>
      <c r="I1331">
        <v>-0.21595140659077999</v>
      </c>
      <c r="M1331">
        <f t="shared" si="61"/>
        <v>-0.54916937925754294</v>
      </c>
      <c r="N1331">
        <f t="shared" si="62"/>
        <v>5</v>
      </c>
    </row>
    <row r="1332" spans="1:14" x14ac:dyDescent="0.35">
      <c r="A1332" t="str">
        <f t="shared" si="60"/>
        <v>18097370202_2024</v>
      </c>
      <c r="B1332">
        <v>18097370202</v>
      </c>
      <c r="C1332">
        <v>2024</v>
      </c>
      <c r="E1332">
        <v>-1.1480609807363711</v>
      </c>
      <c r="F1332">
        <v>0.18475625769354281</v>
      </c>
      <c r="G1332">
        <v>-1.097526872841271</v>
      </c>
      <c r="H1332">
        <v>0.25977359752345441</v>
      </c>
      <c r="I1332">
        <v>1.0525840259200869</v>
      </c>
      <c r="M1332">
        <f t="shared" si="61"/>
        <v>-0.74847397244055802</v>
      </c>
      <c r="N1332">
        <f t="shared" si="62"/>
        <v>5</v>
      </c>
    </row>
    <row r="1333" spans="1:14" x14ac:dyDescent="0.35">
      <c r="A1333" t="str">
        <f t="shared" si="60"/>
        <v>18097370202_2025</v>
      </c>
      <c r="B1333">
        <v>18097370202</v>
      </c>
      <c r="C1333">
        <v>2025</v>
      </c>
      <c r="E1333">
        <v>-1.1468082314721519</v>
      </c>
      <c r="F1333">
        <v>0.1087137597787281</v>
      </c>
      <c r="G1333">
        <v>-1.132943359216108</v>
      </c>
      <c r="H1333">
        <v>0.27090767158899831</v>
      </c>
      <c r="I1333">
        <v>1.05836450742979</v>
      </c>
      <c r="M1333">
        <f t="shared" si="61"/>
        <v>-0.84176565189074348</v>
      </c>
      <c r="N1333">
        <f t="shared" si="62"/>
        <v>5</v>
      </c>
    </row>
    <row r="1334" spans="1:14" x14ac:dyDescent="0.35">
      <c r="A1334" t="str">
        <f t="shared" si="60"/>
        <v>18097370202_2026</v>
      </c>
      <c r="B1334">
        <v>18097370202</v>
      </c>
      <c r="C1334">
        <v>2026</v>
      </c>
      <c r="E1334">
        <v>-1.1452083824726671</v>
      </c>
      <c r="F1334">
        <v>3.2289379789912198E-2</v>
      </c>
      <c r="G1334">
        <v>-1.1368625885268671</v>
      </c>
      <c r="H1334">
        <v>0.28607187005671558</v>
      </c>
      <c r="I1334">
        <v>1.06533995913182</v>
      </c>
      <c r="M1334">
        <f t="shared" si="61"/>
        <v>-0.89836976202108665</v>
      </c>
      <c r="N1334">
        <f t="shared" si="62"/>
        <v>5</v>
      </c>
    </row>
    <row r="1335" spans="1:14" x14ac:dyDescent="0.35">
      <c r="A1335" t="str">
        <f t="shared" si="60"/>
        <v>18097370202_2027</v>
      </c>
      <c r="B1335">
        <v>18097370202</v>
      </c>
      <c r="C1335">
        <v>2027</v>
      </c>
      <c r="E1335">
        <v>-1.1391847670455479</v>
      </c>
      <c r="F1335">
        <v>-3.9451133372141629E-2</v>
      </c>
      <c r="G1335">
        <v>-1.1467352769599579</v>
      </c>
      <c r="H1335">
        <v>0.29091575769056138</v>
      </c>
      <c r="I1335">
        <v>1.065869035572268</v>
      </c>
      <c r="M1335">
        <f t="shared" si="61"/>
        <v>-0.9685863841148179</v>
      </c>
      <c r="N1335">
        <f t="shared" si="62"/>
        <v>5</v>
      </c>
    </row>
    <row r="1336" spans="1:14" x14ac:dyDescent="0.35">
      <c r="A1336" t="str">
        <f t="shared" si="60"/>
        <v>18097370202_2028</v>
      </c>
      <c r="B1336">
        <v>18097370202</v>
      </c>
      <c r="C1336">
        <v>2028</v>
      </c>
      <c r="E1336">
        <v>-1.1302101175322159</v>
      </c>
      <c r="F1336">
        <v>-9.6029918249642021E-2</v>
      </c>
      <c r="G1336">
        <v>-1.1321215740861259</v>
      </c>
      <c r="H1336">
        <v>0.30146032419367308</v>
      </c>
      <c r="I1336">
        <v>1.0653824637754179</v>
      </c>
      <c r="M1336">
        <f t="shared" si="61"/>
        <v>-0.99151882189889284</v>
      </c>
      <c r="N1336">
        <f t="shared" si="62"/>
        <v>5</v>
      </c>
    </row>
    <row r="1337" spans="1:14" x14ac:dyDescent="0.35">
      <c r="A1337" t="str">
        <f t="shared" si="60"/>
        <v>18097370301_2024</v>
      </c>
      <c r="B1337">
        <v>18097370301</v>
      </c>
      <c r="C1337">
        <v>2024</v>
      </c>
      <c r="E1337">
        <v>-0.60105131205766271</v>
      </c>
      <c r="F1337">
        <v>0.68284024219823491</v>
      </c>
      <c r="G1337">
        <v>0.4301282603311995</v>
      </c>
      <c r="I1337">
        <v>1.1611766980171221</v>
      </c>
      <c r="M1337">
        <f t="shared" si="61"/>
        <v>1.6730938884888937</v>
      </c>
      <c r="N1337">
        <f t="shared" si="62"/>
        <v>4</v>
      </c>
    </row>
    <row r="1338" spans="1:14" x14ac:dyDescent="0.35">
      <c r="A1338" t="str">
        <f t="shared" si="60"/>
        <v>18097370301_2025</v>
      </c>
      <c r="B1338">
        <v>18097370301</v>
      </c>
      <c r="C1338">
        <v>2025</v>
      </c>
      <c r="E1338">
        <v>-0.6217941954868963</v>
      </c>
      <c r="F1338">
        <v>1.062311515933275</v>
      </c>
      <c r="G1338">
        <v>0.36839249617202419</v>
      </c>
      <c r="I1338">
        <v>1.2044805334482269</v>
      </c>
      <c r="M1338">
        <f t="shared" si="61"/>
        <v>2.0133903500666297</v>
      </c>
      <c r="N1338">
        <f t="shared" si="62"/>
        <v>4</v>
      </c>
    </row>
    <row r="1339" spans="1:14" x14ac:dyDescent="0.35">
      <c r="A1339" t="str">
        <f t="shared" si="60"/>
        <v>18097370301_2026</v>
      </c>
      <c r="B1339">
        <v>18097370301</v>
      </c>
      <c r="C1339">
        <v>2026</v>
      </c>
      <c r="E1339">
        <v>-0.60143203752602392</v>
      </c>
      <c r="F1339">
        <v>1.44693031996541</v>
      </c>
      <c r="G1339">
        <v>0.28531358842128252</v>
      </c>
      <c r="I1339">
        <v>1.2248387984102389</v>
      </c>
      <c r="M1339">
        <f t="shared" si="61"/>
        <v>2.3556506692709074</v>
      </c>
      <c r="N1339">
        <f t="shared" si="62"/>
        <v>4</v>
      </c>
    </row>
    <row r="1340" spans="1:14" x14ac:dyDescent="0.35">
      <c r="A1340" t="str">
        <f t="shared" si="60"/>
        <v>18097370301_2027</v>
      </c>
      <c r="B1340">
        <v>18097370301</v>
      </c>
      <c r="C1340">
        <v>2027</v>
      </c>
      <c r="E1340">
        <v>-0.6152888181888011</v>
      </c>
      <c r="F1340">
        <v>1.822314530635788</v>
      </c>
      <c r="G1340">
        <v>0.21983490960848459</v>
      </c>
      <c r="I1340">
        <v>1.253485481112061</v>
      </c>
      <c r="M1340">
        <f t="shared" si="61"/>
        <v>2.6803461031675324</v>
      </c>
      <c r="N1340">
        <f t="shared" si="62"/>
        <v>4</v>
      </c>
    </row>
    <row r="1341" spans="1:14" x14ac:dyDescent="0.35">
      <c r="A1341" t="str">
        <f t="shared" si="60"/>
        <v>18097370301_2028</v>
      </c>
      <c r="B1341">
        <v>18097370301</v>
      </c>
      <c r="C1341">
        <v>2028</v>
      </c>
      <c r="E1341">
        <v>-0.59449505313894713</v>
      </c>
      <c r="F1341">
        <v>2.2577224935575568</v>
      </c>
      <c r="G1341">
        <v>0.14475677477340279</v>
      </c>
      <c r="I1341">
        <v>1.2686049097733589</v>
      </c>
      <c r="M1341">
        <f t="shared" si="61"/>
        <v>3.0765891249653716</v>
      </c>
      <c r="N1341">
        <f t="shared" si="62"/>
        <v>4</v>
      </c>
    </row>
    <row r="1342" spans="1:14" x14ac:dyDescent="0.35">
      <c r="A1342" t="str">
        <f t="shared" si="60"/>
        <v>18097370302_2024</v>
      </c>
      <c r="B1342">
        <v>18097370302</v>
      </c>
      <c r="C1342">
        <v>2024</v>
      </c>
      <c r="E1342">
        <v>-0.78173310295264564</v>
      </c>
      <c r="F1342">
        <v>-0.44906925654023971</v>
      </c>
      <c r="G1342">
        <v>0.4704005950090166</v>
      </c>
      <c r="I1342">
        <v>0.8263752097021565</v>
      </c>
      <c r="M1342">
        <f t="shared" si="61"/>
        <v>6.5973445218287741E-2</v>
      </c>
      <c r="N1342">
        <f t="shared" si="62"/>
        <v>4</v>
      </c>
    </row>
    <row r="1343" spans="1:14" x14ac:dyDescent="0.35">
      <c r="A1343" t="str">
        <f t="shared" si="60"/>
        <v>18097370302_2025</v>
      </c>
      <c r="B1343">
        <v>18097370302</v>
      </c>
      <c r="C1343">
        <v>2025</v>
      </c>
      <c r="E1343">
        <v>-0.89530160598749187</v>
      </c>
      <c r="F1343">
        <v>-0.52748628444727164</v>
      </c>
      <c r="G1343">
        <v>0.5372313192316498</v>
      </c>
      <c r="I1343">
        <v>0.78943968470481962</v>
      </c>
      <c r="M1343">
        <f t="shared" si="61"/>
        <v>-9.6116886498294085E-2</v>
      </c>
      <c r="N1343">
        <f t="shared" si="62"/>
        <v>4</v>
      </c>
    </row>
    <row r="1344" spans="1:14" x14ac:dyDescent="0.35">
      <c r="A1344" t="str">
        <f t="shared" si="60"/>
        <v>18097370302_2026</v>
      </c>
      <c r="B1344">
        <v>18097370302</v>
      </c>
      <c r="C1344">
        <v>2026</v>
      </c>
      <c r="E1344">
        <v>-0.80556983248912384</v>
      </c>
      <c r="F1344">
        <v>-0.33966663069871822</v>
      </c>
      <c r="G1344">
        <v>0.39572036307478548</v>
      </c>
      <c r="I1344">
        <v>0.73697318707017223</v>
      </c>
      <c r="M1344">
        <f t="shared" si="61"/>
        <v>-1.2542913042884352E-2</v>
      </c>
      <c r="N1344">
        <f t="shared" si="62"/>
        <v>4</v>
      </c>
    </row>
    <row r="1345" spans="1:14" x14ac:dyDescent="0.35">
      <c r="A1345" t="str">
        <f t="shared" si="60"/>
        <v>18097370302_2027</v>
      </c>
      <c r="B1345">
        <v>18097370302</v>
      </c>
      <c r="C1345">
        <v>2027</v>
      </c>
      <c r="E1345">
        <v>-0.89528267792438765</v>
      </c>
      <c r="F1345">
        <v>-0.39446514708074648</v>
      </c>
      <c r="G1345">
        <v>0.43195214347981348</v>
      </c>
      <c r="I1345">
        <v>0.69351121828657547</v>
      </c>
      <c r="M1345">
        <f t="shared" si="61"/>
        <v>-0.16428446323874524</v>
      </c>
      <c r="N1345">
        <f t="shared" si="62"/>
        <v>4</v>
      </c>
    </row>
    <row r="1346" spans="1:14" x14ac:dyDescent="0.35">
      <c r="A1346" t="str">
        <f t="shared" si="60"/>
        <v>18097370302_2028</v>
      </c>
      <c r="B1346">
        <v>18097370302</v>
      </c>
      <c r="C1346">
        <v>2028</v>
      </c>
      <c r="E1346">
        <v>-0.81696253167333732</v>
      </c>
      <c r="F1346">
        <v>-0.24505929585116881</v>
      </c>
      <c r="G1346">
        <v>0.30691000283537101</v>
      </c>
      <c r="I1346">
        <v>0.64374499030666743</v>
      </c>
      <c r="M1346">
        <f t="shared" si="61"/>
        <v>-0.11136683438246764</v>
      </c>
      <c r="N1346">
        <f t="shared" si="62"/>
        <v>4</v>
      </c>
    </row>
    <row r="1347" spans="1:14" x14ac:dyDescent="0.35">
      <c r="A1347" t="str">
        <f t="shared" ref="A1347:A1410" si="63">TEXT(B1347,0)&amp;"_"&amp;TEXT(C1347,0)</f>
        <v>18097380100_2024</v>
      </c>
      <c r="B1347">
        <v>18097380100</v>
      </c>
      <c r="C1347">
        <v>2024</v>
      </c>
      <c r="E1347">
        <v>-0.32111413466322691</v>
      </c>
      <c r="F1347">
        <v>0.45652640976300402</v>
      </c>
      <c r="G1347">
        <v>-0.29640570080905893</v>
      </c>
      <c r="H1347">
        <v>0.97495848982377842</v>
      </c>
      <c r="I1347">
        <v>0.44894130430310097</v>
      </c>
      <c r="M1347">
        <f t="shared" ref="M1347:M1410" si="64">SUM(D1347:K1347)</f>
        <v>1.2629063684175976</v>
      </c>
      <c r="N1347">
        <f t="shared" ref="N1347:N1410" si="65">IF(D1347=0,0,1)+IF(E1347=0,0,1)+IF(F1347=0,0,1)+IF(G1347=0,0,1)+IF(H1347=0,0,1)+IF(I1347=0,0,1)++IF(J1347=0,0,1)++IF(K1347=0,0,1)</f>
        <v>5</v>
      </c>
    </row>
    <row r="1348" spans="1:14" x14ac:dyDescent="0.35">
      <c r="A1348" t="str">
        <f t="shared" si="63"/>
        <v>18097380100_2025</v>
      </c>
      <c r="B1348">
        <v>18097380100</v>
      </c>
      <c r="C1348">
        <v>2025</v>
      </c>
      <c r="E1348">
        <v>-0.40060989439136568</v>
      </c>
      <c r="F1348">
        <v>0.58700866595137768</v>
      </c>
      <c r="G1348">
        <v>-0.40629727199213372</v>
      </c>
      <c r="H1348">
        <v>0.88947915552053969</v>
      </c>
      <c r="I1348">
        <v>0.37715959191445247</v>
      </c>
      <c r="M1348">
        <f t="shared" si="64"/>
        <v>1.0467402470028704</v>
      </c>
      <c r="N1348">
        <f t="shared" si="65"/>
        <v>5</v>
      </c>
    </row>
    <row r="1349" spans="1:14" x14ac:dyDescent="0.35">
      <c r="A1349" t="str">
        <f t="shared" si="63"/>
        <v>18097380100_2026</v>
      </c>
      <c r="B1349">
        <v>18097380100</v>
      </c>
      <c r="C1349">
        <v>2026</v>
      </c>
      <c r="E1349">
        <v>-0.46414568262877098</v>
      </c>
      <c r="F1349">
        <v>0.8478582616916116</v>
      </c>
      <c r="G1349">
        <v>-0.50483876959526619</v>
      </c>
      <c r="H1349">
        <v>0.81218732329327559</v>
      </c>
      <c r="I1349">
        <v>0.30555826242706791</v>
      </c>
      <c r="M1349">
        <f t="shared" si="64"/>
        <v>0.99661939518791787</v>
      </c>
      <c r="N1349">
        <f t="shared" si="65"/>
        <v>5</v>
      </c>
    </row>
    <row r="1350" spans="1:14" x14ac:dyDescent="0.35">
      <c r="A1350" t="str">
        <f t="shared" si="63"/>
        <v>18097380100_2027</v>
      </c>
      <c r="B1350">
        <v>18097380100</v>
      </c>
      <c r="C1350">
        <v>2027</v>
      </c>
      <c r="E1350">
        <v>-0.53099874509151013</v>
      </c>
      <c r="F1350">
        <v>0.96408476073362182</v>
      </c>
      <c r="G1350">
        <v>-0.58743909574796782</v>
      </c>
      <c r="H1350">
        <v>0.73140952165640882</v>
      </c>
      <c r="I1350">
        <v>0.23522763525919391</v>
      </c>
      <c r="M1350">
        <f t="shared" si="64"/>
        <v>0.81228407680974657</v>
      </c>
      <c r="N1350">
        <f t="shared" si="65"/>
        <v>5</v>
      </c>
    </row>
    <row r="1351" spans="1:14" x14ac:dyDescent="0.35">
      <c r="A1351" t="str">
        <f t="shared" si="63"/>
        <v>18097380100_2028</v>
      </c>
      <c r="B1351">
        <v>18097380100</v>
      </c>
      <c r="C1351">
        <v>2028</v>
      </c>
      <c r="E1351">
        <v>-0.58644120271525846</v>
      </c>
      <c r="F1351">
        <v>1.1972425888695579</v>
      </c>
      <c r="G1351">
        <v>-0.65239011147988368</v>
      </c>
      <c r="H1351">
        <v>0.66098588433400651</v>
      </c>
      <c r="I1351">
        <v>0.1681295779462838</v>
      </c>
      <c r="M1351">
        <f t="shared" si="64"/>
        <v>0.7875267369547061</v>
      </c>
      <c r="N1351">
        <f t="shared" si="65"/>
        <v>5</v>
      </c>
    </row>
    <row r="1352" spans="1:14" x14ac:dyDescent="0.35">
      <c r="A1352" t="str">
        <f t="shared" si="63"/>
        <v>18097380300_2024</v>
      </c>
      <c r="B1352">
        <v>18097380300</v>
      </c>
      <c r="C1352">
        <v>2024</v>
      </c>
      <c r="E1352">
        <v>-1.2034798016741619</v>
      </c>
      <c r="F1352">
        <v>2.3015547631035682</v>
      </c>
      <c r="G1352">
        <v>-1.1302231921139301</v>
      </c>
      <c r="H1352">
        <v>-2.5120522687874498</v>
      </c>
      <c r="I1352">
        <v>-2.7632318396933409E-2</v>
      </c>
      <c r="M1352">
        <f t="shared" si="64"/>
        <v>-2.5718328178689069</v>
      </c>
      <c r="N1352">
        <f t="shared" si="65"/>
        <v>5</v>
      </c>
    </row>
    <row r="1353" spans="1:14" x14ac:dyDescent="0.35">
      <c r="A1353" t="str">
        <f t="shared" si="63"/>
        <v>18097380300_2025</v>
      </c>
      <c r="B1353">
        <v>18097380300</v>
      </c>
      <c r="C1353">
        <v>2025</v>
      </c>
      <c r="E1353">
        <v>-1.194530367006863</v>
      </c>
      <c r="F1353">
        <v>2.5284091784106129</v>
      </c>
      <c r="G1353">
        <v>-1.152856486932172</v>
      </c>
      <c r="H1353">
        <v>-2.7099367197709259</v>
      </c>
      <c r="I1353">
        <v>-7.479337535110539E-2</v>
      </c>
      <c r="M1353">
        <f t="shared" si="64"/>
        <v>-2.6037077706504537</v>
      </c>
      <c r="N1353">
        <f t="shared" si="65"/>
        <v>5</v>
      </c>
    </row>
    <row r="1354" spans="1:14" x14ac:dyDescent="0.35">
      <c r="A1354" t="str">
        <f t="shared" si="63"/>
        <v>18097380300_2026</v>
      </c>
      <c r="B1354">
        <v>18097380300</v>
      </c>
      <c r="C1354">
        <v>2026</v>
      </c>
      <c r="E1354">
        <v>-1.185867602129933</v>
      </c>
      <c r="F1354">
        <v>2.714025425684492</v>
      </c>
      <c r="G1354">
        <v>-1.151283223730214</v>
      </c>
      <c r="H1354">
        <v>-2.774580567479985</v>
      </c>
      <c r="I1354">
        <v>-0.1212323425473804</v>
      </c>
      <c r="M1354">
        <f t="shared" si="64"/>
        <v>-2.5189383102030205</v>
      </c>
      <c r="N1354">
        <f t="shared" si="65"/>
        <v>5</v>
      </c>
    </row>
    <row r="1355" spans="1:14" x14ac:dyDescent="0.35">
      <c r="A1355" t="str">
        <f t="shared" si="63"/>
        <v>18097380300_2027</v>
      </c>
      <c r="B1355">
        <v>18097380300</v>
      </c>
      <c r="C1355">
        <v>2027</v>
      </c>
      <c r="E1355">
        <v>-1.1727755421326569</v>
      </c>
      <c r="F1355">
        <v>2.824988039860342</v>
      </c>
      <c r="G1355">
        <v>-1.152790311930499</v>
      </c>
      <c r="H1355">
        <v>-2.8714546941374528</v>
      </c>
      <c r="I1355">
        <v>-0.15900483401358789</v>
      </c>
      <c r="M1355">
        <f t="shared" si="64"/>
        <v>-2.5310373423538546</v>
      </c>
      <c r="N1355">
        <f t="shared" si="65"/>
        <v>5</v>
      </c>
    </row>
    <row r="1356" spans="1:14" x14ac:dyDescent="0.35">
      <c r="A1356" t="str">
        <f t="shared" si="63"/>
        <v>18097380300_2028</v>
      </c>
      <c r="B1356">
        <v>18097380300</v>
      </c>
      <c r="C1356">
        <v>2028</v>
      </c>
      <c r="E1356">
        <v>-1.1571830289514879</v>
      </c>
      <c r="F1356">
        <v>2.98619477002944</v>
      </c>
      <c r="G1356">
        <v>-1.1332390623059001</v>
      </c>
      <c r="H1356">
        <v>-2.877010105564159</v>
      </c>
      <c r="I1356">
        <v>-0.19463002225670639</v>
      </c>
      <c r="M1356">
        <f t="shared" si="64"/>
        <v>-2.3758674490488132</v>
      </c>
      <c r="N1356">
        <f t="shared" si="65"/>
        <v>5</v>
      </c>
    </row>
    <row r="1357" spans="1:14" x14ac:dyDescent="0.35">
      <c r="A1357" t="str">
        <f t="shared" si="63"/>
        <v>18097381001_2024</v>
      </c>
      <c r="B1357">
        <v>18097381001</v>
      </c>
      <c r="C1357">
        <v>2024</v>
      </c>
      <c r="E1357">
        <v>-0.89630378656238363</v>
      </c>
      <c r="F1357">
        <v>2.204441461261248</v>
      </c>
      <c r="G1357">
        <v>-1.1782389694941471</v>
      </c>
      <c r="H1357">
        <v>-1.003330219472194</v>
      </c>
      <c r="I1357">
        <v>-0.25528225163813811</v>
      </c>
      <c r="M1357">
        <f t="shared" si="64"/>
        <v>-1.128713765905615</v>
      </c>
      <c r="N1357">
        <f t="shared" si="65"/>
        <v>5</v>
      </c>
    </row>
    <row r="1358" spans="1:14" x14ac:dyDescent="0.35">
      <c r="A1358" t="str">
        <f t="shared" si="63"/>
        <v>18097381001_2025</v>
      </c>
      <c r="B1358">
        <v>18097381001</v>
      </c>
      <c r="C1358">
        <v>2025</v>
      </c>
      <c r="E1358">
        <v>-0.88807150843913552</v>
      </c>
      <c r="F1358">
        <v>1.955101647742586</v>
      </c>
      <c r="G1358">
        <v>-1.190137044205827</v>
      </c>
      <c r="H1358">
        <v>-1.1685845400436741</v>
      </c>
      <c r="I1358">
        <v>-0.27305135364406391</v>
      </c>
      <c r="M1358">
        <f t="shared" si="64"/>
        <v>-1.5647427985901146</v>
      </c>
      <c r="N1358">
        <f t="shared" si="65"/>
        <v>5</v>
      </c>
    </row>
    <row r="1359" spans="1:14" x14ac:dyDescent="0.35">
      <c r="A1359" t="str">
        <f t="shared" si="63"/>
        <v>18097381001_2026</v>
      </c>
      <c r="B1359">
        <v>18097381001</v>
      </c>
      <c r="C1359">
        <v>2026</v>
      </c>
      <c r="E1359">
        <v>-0.94381449145015384</v>
      </c>
      <c r="F1359">
        <v>2.3033866039708979</v>
      </c>
      <c r="G1359">
        <v>-1.238043468205678</v>
      </c>
      <c r="H1359">
        <v>-1.252615222345689</v>
      </c>
      <c r="I1359">
        <v>-0.27276446292836232</v>
      </c>
      <c r="M1359">
        <f t="shared" si="64"/>
        <v>-1.4038510409589853</v>
      </c>
      <c r="N1359">
        <f t="shared" si="65"/>
        <v>5</v>
      </c>
    </row>
    <row r="1360" spans="1:14" x14ac:dyDescent="0.35">
      <c r="A1360" t="str">
        <f t="shared" si="63"/>
        <v>18097381001_2027</v>
      </c>
      <c r="B1360">
        <v>18097381001</v>
      </c>
      <c r="C1360">
        <v>2027</v>
      </c>
      <c r="E1360">
        <v>-0.93844182961434641</v>
      </c>
      <c r="F1360">
        <v>2.0311371057132521</v>
      </c>
      <c r="G1360">
        <v>-1.2377429172492289</v>
      </c>
      <c r="H1360">
        <v>-1.3550750288537221</v>
      </c>
      <c r="I1360">
        <v>-0.28368470128933421</v>
      </c>
      <c r="M1360">
        <f t="shared" si="64"/>
        <v>-1.7838073712933795</v>
      </c>
      <c r="N1360">
        <f t="shared" si="65"/>
        <v>5</v>
      </c>
    </row>
    <row r="1361" spans="1:14" x14ac:dyDescent="0.35">
      <c r="A1361" t="str">
        <f t="shared" si="63"/>
        <v>18097381001_2028</v>
      </c>
      <c r="B1361">
        <v>18097381001</v>
      </c>
      <c r="C1361">
        <v>2028</v>
      </c>
      <c r="E1361">
        <v>-0.97709534422881239</v>
      </c>
      <c r="F1361">
        <v>2.281259508965777</v>
      </c>
      <c r="G1361">
        <v>-1.244021945697974</v>
      </c>
      <c r="H1361">
        <v>-1.398801149932358</v>
      </c>
      <c r="I1361">
        <v>-0.28362630433706959</v>
      </c>
      <c r="M1361">
        <f t="shared" si="64"/>
        <v>-1.6222852352304371</v>
      </c>
      <c r="N1361">
        <f t="shared" si="65"/>
        <v>5</v>
      </c>
    </row>
    <row r="1362" spans="1:14" x14ac:dyDescent="0.35">
      <c r="A1362" t="str">
        <f t="shared" si="63"/>
        <v>18097381201_2024</v>
      </c>
      <c r="B1362">
        <v>18097381201</v>
      </c>
      <c r="C1362">
        <v>2024</v>
      </c>
      <c r="E1362">
        <v>5.4789557975809942E-2</v>
      </c>
      <c r="F1362">
        <v>-1.2143569280778701</v>
      </c>
      <c r="G1362">
        <v>6.417485344917577E-2</v>
      </c>
      <c r="H1362">
        <v>-0.1032052447192334</v>
      </c>
      <c r="I1362">
        <v>0.48018539677508998</v>
      </c>
      <c r="M1362">
        <f t="shared" si="64"/>
        <v>-0.71841236459702773</v>
      </c>
      <c r="N1362">
        <f t="shared" si="65"/>
        <v>5</v>
      </c>
    </row>
    <row r="1363" spans="1:14" x14ac:dyDescent="0.35">
      <c r="A1363" t="str">
        <f t="shared" si="63"/>
        <v>18097381201_2025</v>
      </c>
      <c r="B1363">
        <v>18097381201</v>
      </c>
      <c r="C1363">
        <v>2025</v>
      </c>
      <c r="E1363">
        <v>4.2774072458109678E-2</v>
      </c>
      <c r="F1363">
        <v>-1.2080002497508331</v>
      </c>
      <c r="G1363">
        <v>-2.1345940768641661E-2</v>
      </c>
      <c r="H1363">
        <v>-0.24503863279895771</v>
      </c>
      <c r="I1363">
        <v>0.38831760661737169</v>
      </c>
      <c r="M1363">
        <f t="shared" si="64"/>
        <v>-1.0432931442429512</v>
      </c>
      <c r="N1363">
        <f t="shared" si="65"/>
        <v>5</v>
      </c>
    </row>
    <row r="1364" spans="1:14" x14ac:dyDescent="0.35">
      <c r="A1364" t="str">
        <f t="shared" si="63"/>
        <v>18097381201_2026</v>
      </c>
      <c r="B1364">
        <v>18097381201</v>
      </c>
      <c r="C1364">
        <v>2026</v>
      </c>
      <c r="E1364">
        <v>-4.8853631452491402E-3</v>
      </c>
      <c r="F1364">
        <v>-1.176510841981032</v>
      </c>
      <c r="G1364">
        <v>-9.1682262367074038E-2</v>
      </c>
      <c r="H1364">
        <v>-0.33745884286248989</v>
      </c>
      <c r="I1364">
        <v>0.28700038446160658</v>
      </c>
      <c r="M1364">
        <f t="shared" si="64"/>
        <v>-1.3235369258942384</v>
      </c>
      <c r="N1364">
        <f t="shared" si="65"/>
        <v>5</v>
      </c>
    </row>
    <row r="1365" spans="1:14" x14ac:dyDescent="0.35">
      <c r="A1365" t="str">
        <f t="shared" si="63"/>
        <v>18097381201_2027</v>
      </c>
      <c r="B1365">
        <v>18097381201</v>
      </c>
      <c r="C1365">
        <v>2027</v>
      </c>
      <c r="E1365">
        <v>-2.3950840555283119E-2</v>
      </c>
      <c r="F1365">
        <v>-1.1268676085171201</v>
      </c>
      <c r="G1365">
        <v>-0.16505419524988149</v>
      </c>
      <c r="H1365">
        <v>-0.44032589059174931</v>
      </c>
      <c r="I1365">
        <v>0.1948796321315994</v>
      </c>
      <c r="M1365">
        <f t="shared" si="64"/>
        <v>-1.5613189027824346</v>
      </c>
      <c r="N1365">
        <f t="shared" si="65"/>
        <v>5</v>
      </c>
    </row>
    <row r="1366" spans="1:14" x14ac:dyDescent="0.35">
      <c r="A1366" t="str">
        <f t="shared" si="63"/>
        <v>18097381201_2028</v>
      </c>
      <c r="B1366">
        <v>18097381201</v>
      </c>
      <c r="C1366">
        <v>2028</v>
      </c>
      <c r="E1366">
        <v>-5.9873268849603478E-2</v>
      </c>
      <c r="F1366">
        <v>-1.0873475465562441</v>
      </c>
      <c r="G1366">
        <v>-0.2235040648495728</v>
      </c>
      <c r="H1366">
        <v>-0.50450271688357551</v>
      </c>
      <c r="I1366">
        <v>0.10223577854604329</v>
      </c>
      <c r="M1366">
        <f t="shared" si="64"/>
        <v>-1.7729918185929525</v>
      </c>
      <c r="N1366">
        <f t="shared" si="65"/>
        <v>5</v>
      </c>
    </row>
    <row r="1367" spans="1:14" x14ac:dyDescent="0.35">
      <c r="A1367" t="str">
        <f t="shared" si="63"/>
        <v>18097390101_2024</v>
      </c>
      <c r="B1367">
        <v>18097390101</v>
      </c>
      <c r="C1367">
        <v>2024</v>
      </c>
      <c r="E1367">
        <v>-0.41227173958521118</v>
      </c>
      <c r="F1367">
        <v>-1.382698292474567</v>
      </c>
      <c r="G1367">
        <v>0.72582710216534985</v>
      </c>
      <c r="I1367">
        <v>0.96752512381252398</v>
      </c>
      <c r="M1367">
        <f t="shared" si="64"/>
        <v>-0.1016178060819044</v>
      </c>
      <c r="N1367">
        <f t="shared" si="65"/>
        <v>4</v>
      </c>
    </row>
    <row r="1368" spans="1:14" x14ac:dyDescent="0.35">
      <c r="A1368" t="str">
        <f t="shared" si="63"/>
        <v>18097390101_2025</v>
      </c>
      <c r="B1368">
        <v>18097390101</v>
      </c>
      <c r="C1368">
        <v>2025</v>
      </c>
      <c r="E1368">
        <v>-0.44114053261533043</v>
      </c>
      <c r="F1368">
        <v>-1.3394046752981821</v>
      </c>
      <c r="G1368">
        <v>0.68547989162405853</v>
      </c>
      <c r="I1368">
        <v>0.94709966810519197</v>
      </c>
      <c r="M1368">
        <f t="shared" si="64"/>
        <v>-0.14796564818426194</v>
      </c>
      <c r="N1368">
        <f t="shared" si="65"/>
        <v>4</v>
      </c>
    </row>
    <row r="1369" spans="1:14" x14ac:dyDescent="0.35">
      <c r="A1369" t="str">
        <f t="shared" si="63"/>
        <v>18097390101_2026</v>
      </c>
      <c r="B1369">
        <v>18097390101</v>
      </c>
      <c r="C1369">
        <v>2026</v>
      </c>
      <c r="E1369">
        <v>-0.52258465202808202</v>
      </c>
      <c r="F1369">
        <v>-1.2899521473405871</v>
      </c>
      <c r="G1369">
        <v>0.60936156682242837</v>
      </c>
      <c r="I1369">
        <v>0.9087398513923568</v>
      </c>
      <c r="M1369">
        <f t="shared" si="64"/>
        <v>-0.29443538115388401</v>
      </c>
      <c r="N1369">
        <f t="shared" si="65"/>
        <v>4</v>
      </c>
    </row>
    <row r="1370" spans="1:14" x14ac:dyDescent="0.35">
      <c r="A1370" t="str">
        <f t="shared" si="63"/>
        <v>18097390101_2027</v>
      </c>
      <c r="B1370">
        <v>18097390101</v>
      </c>
      <c r="C1370">
        <v>2027</v>
      </c>
      <c r="E1370">
        <v>-0.55205934323173744</v>
      </c>
      <c r="F1370">
        <v>-1.212314663551245</v>
      </c>
      <c r="G1370">
        <v>0.55389633140067374</v>
      </c>
      <c r="I1370">
        <v>0.87948720822074111</v>
      </c>
      <c r="M1370">
        <f t="shared" si="64"/>
        <v>-0.33099046716156744</v>
      </c>
      <c r="N1370">
        <f t="shared" si="65"/>
        <v>4</v>
      </c>
    </row>
    <row r="1371" spans="1:14" x14ac:dyDescent="0.35">
      <c r="A1371" t="str">
        <f t="shared" si="63"/>
        <v>18097390101_2028</v>
      </c>
      <c r="B1371">
        <v>18097390101</v>
      </c>
      <c r="C1371">
        <v>2028</v>
      </c>
      <c r="E1371">
        <v>-0.61661301405675029</v>
      </c>
      <c r="F1371">
        <v>-1.160592587827046</v>
      </c>
      <c r="G1371">
        <v>0.47791009315811839</v>
      </c>
      <c r="I1371">
        <v>0.84190780648375918</v>
      </c>
      <c r="M1371">
        <f t="shared" si="64"/>
        <v>-0.45738770224191871</v>
      </c>
      <c r="N1371">
        <f t="shared" si="65"/>
        <v>4</v>
      </c>
    </row>
    <row r="1372" spans="1:14" x14ac:dyDescent="0.35">
      <c r="A1372" t="str">
        <f t="shared" si="63"/>
        <v>18097390402_2024</v>
      </c>
      <c r="B1372">
        <v>18097390402</v>
      </c>
      <c r="C1372">
        <v>2024</v>
      </c>
      <c r="E1372">
        <v>0.55364459558668366</v>
      </c>
      <c r="F1372">
        <v>-1.2361196637278971</v>
      </c>
      <c r="G1372">
        <v>0.70879561127802415</v>
      </c>
      <c r="H1372">
        <v>1.125109910217472</v>
      </c>
      <c r="I1372">
        <v>1.8062551077969531</v>
      </c>
      <c r="M1372">
        <f t="shared" si="64"/>
        <v>2.9576855611512358</v>
      </c>
      <c r="N1372">
        <f t="shared" si="65"/>
        <v>5</v>
      </c>
    </row>
    <row r="1373" spans="1:14" x14ac:dyDescent="0.35">
      <c r="A1373" t="str">
        <f t="shared" si="63"/>
        <v>18097390402_2025</v>
      </c>
      <c r="B1373">
        <v>18097390402</v>
      </c>
      <c r="C1373">
        <v>2025</v>
      </c>
      <c r="E1373">
        <v>0.53777441284758321</v>
      </c>
      <c r="F1373">
        <v>-1.203915114011459</v>
      </c>
      <c r="G1373">
        <v>0.65343840032900236</v>
      </c>
      <c r="H1373">
        <v>1.025514634212245</v>
      </c>
      <c r="I1373">
        <v>1.6442704280085469</v>
      </c>
      <c r="M1373">
        <f t="shared" si="64"/>
        <v>2.6570827613859187</v>
      </c>
      <c r="N1373">
        <f t="shared" si="65"/>
        <v>5</v>
      </c>
    </row>
    <row r="1374" spans="1:14" x14ac:dyDescent="0.35">
      <c r="A1374" t="str">
        <f t="shared" si="63"/>
        <v>18097390402_2026</v>
      </c>
      <c r="B1374">
        <v>18097390402</v>
      </c>
      <c r="C1374">
        <v>2026</v>
      </c>
      <c r="E1374">
        <v>0.53250776160300528</v>
      </c>
      <c r="F1374">
        <v>-1.1553364343432591</v>
      </c>
      <c r="G1374">
        <v>0.56696614498162579</v>
      </c>
      <c r="H1374">
        <v>0.93054306094440797</v>
      </c>
      <c r="I1374">
        <v>1.882308317257779</v>
      </c>
      <c r="M1374">
        <f t="shared" si="64"/>
        <v>2.7569888504435589</v>
      </c>
      <c r="N1374">
        <f t="shared" si="65"/>
        <v>5</v>
      </c>
    </row>
    <row r="1375" spans="1:14" x14ac:dyDescent="0.35">
      <c r="A1375" t="str">
        <f t="shared" si="63"/>
        <v>18097390402_2027</v>
      </c>
      <c r="B1375">
        <v>18097390402</v>
      </c>
      <c r="C1375">
        <v>2027</v>
      </c>
      <c r="E1375">
        <v>0.51734116893738191</v>
      </c>
      <c r="F1375">
        <v>-1.09341706495235</v>
      </c>
      <c r="G1375">
        <v>0.50073562303148411</v>
      </c>
      <c r="H1375">
        <v>0.83471863676702907</v>
      </c>
      <c r="I1375">
        <v>1.7517507185993091</v>
      </c>
      <c r="M1375">
        <f t="shared" si="64"/>
        <v>2.5111290823828543</v>
      </c>
      <c r="N1375">
        <f t="shared" si="65"/>
        <v>5</v>
      </c>
    </row>
    <row r="1376" spans="1:14" x14ac:dyDescent="0.35">
      <c r="A1376" t="str">
        <f t="shared" si="63"/>
        <v>18097390402_2028</v>
      </c>
      <c r="B1376">
        <v>18097390402</v>
      </c>
      <c r="C1376">
        <v>2028</v>
      </c>
      <c r="E1376">
        <v>0.50938865897332342</v>
      </c>
      <c r="F1376">
        <v>-1.0458772398078</v>
      </c>
      <c r="G1376">
        <v>0.41716691109346471</v>
      </c>
      <c r="H1376">
        <v>0.74867018486870385</v>
      </c>
      <c r="I1376">
        <v>1.9336428605516931</v>
      </c>
      <c r="M1376">
        <f t="shared" si="64"/>
        <v>2.5629913756793852</v>
      </c>
      <c r="N1376">
        <f t="shared" si="65"/>
        <v>5</v>
      </c>
    </row>
    <row r="1377" spans="1:14" x14ac:dyDescent="0.35">
      <c r="A1377" t="str">
        <f t="shared" si="63"/>
        <v>18097390403_2024</v>
      </c>
      <c r="B1377">
        <v>18097390403</v>
      </c>
      <c r="C1377">
        <v>2024</v>
      </c>
      <c r="E1377">
        <v>0.25825555999051691</v>
      </c>
      <c r="F1377">
        <v>-1.042010000901191</v>
      </c>
      <c r="G1377">
        <v>1.598281632001924</v>
      </c>
      <c r="I1377">
        <v>1.4201251269542809</v>
      </c>
      <c r="M1377">
        <f t="shared" si="64"/>
        <v>2.2346523180455309</v>
      </c>
      <c r="N1377">
        <f t="shared" si="65"/>
        <v>4</v>
      </c>
    </row>
    <row r="1378" spans="1:14" x14ac:dyDescent="0.35">
      <c r="A1378" t="str">
        <f t="shared" si="63"/>
        <v>18097390403_2025</v>
      </c>
      <c r="B1378">
        <v>18097390403</v>
      </c>
      <c r="C1378">
        <v>2025</v>
      </c>
      <c r="E1378">
        <v>0.24065663770308041</v>
      </c>
      <c r="F1378">
        <v>-0.89557955992455407</v>
      </c>
      <c r="G1378">
        <v>1.5630120709989981</v>
      </c>
      <c r="I1378">
        <v>1.4371355850887699</v>
      </c>
      <c r="M1378">
        <f t="shared" si="64"/>
        <v>2.3452247338662944</v>
      </c>
      <c r="N1378">
        <f t="shared" si="65"/>
        <v>4</v>
      </c>
    </row>
    <row r="1379" spans="1:14" x14ac:dyDescent="0.35">
      <c r="A1379" t="str">
        <f t="shared" si="63"/>
        <v>18097390403_2026</v>
      </c>
      <c r="B1379">
        <v>18097390403</v>
      </c>
      <c r="C1379">
        <v>2026</v>
      </c>
      <c r="E1379">
        <v>0.14452496879289589</v>
      </c>
      <c r="F1379">
        <v>-0.72740099346839504</v>
      </c>
      <c r="G1379">
        <v>1.346694855079781</v>
      </c>
      <c r="I1379">
        <v>1.4288506053429011</v>
      </c>
      <c r="M1379">
        <f t="shared" si="64"/>
        <v>2.1926694357471828</v>
      </c>
      <c r="N1379">
        <f t="shared" si="65"/>
        <v>4</v>
      </c>
    </row>
    <row r="1380" spans="1:14" x14ac:dyDescent="0.35">
      <c r="A1380" t="str">
        <f t="shared" si="63"/>
        <v>18097390403_2027</v>
      </c>
      <c r="B1380">
        <v>18097390403</v>
      </c>
      <c r="C1380">
        <v>2027</v>
      </c>
      <c r="E1380">
        <v>0.1161451494716433</v>
      </c>
      <c r="F1380">
        <v>-0.54649709132338742</v>
      </c>
      <c r="G1380">
        <v>1.2776168983012339</v>
      </c>
      <c r="I1380">
        <v>1.430559949141565</v>
      </c>
      <c r="M1380">
        <f t="shared" si="64"/>
        <v>2.2778249055910549</v>
      </c>
      <c r="N1380">
        <f t="shared" si="65"/>
        <v>4</v>
      </c>
    </row>
    <row r="1381" spans="1:14" x14ac:dyDescent="0.35">
      <c r="A1381" t="str">
        <f t="shared" si="63"/>
        <v>18097390403_2028</v>
      </c>
      <c r="B1381">
        <v>18097390403</v>
      </c>
      <c r="C1381">
        <v>2028</v>
      </c>
      <c r="E1381">
        <v>3.9219346520038979E-2</v>
      </c>
      <c r="F1381">
        <v>-0.36148261683976851</v>
      </c>
      <c r="G1381">
        <v>1.0772975933024069</v>
      </c>
      <c r="I1381">
        <v>1.4183302834674389</v>
      </c>
      <c r="M1381">
        <f t="shared" si="64"/>
        <v>2.1733646064501162</v>
      </c>
      <c r="N1381">
        <f t="shared" si="65"/>
        <v>4</v>
      </c>
    </row>
    <row r="1382" spans="1:14" x14ac:dyDescent="0.35">
      <c r="A1382" t="str">
        <f t="shared" si="63"/>
        <v>18097390404_2024</v>
      </c>
      <c r="B1382">
        <v>18097390404</v>
      </c>
      <c r="C1382">
        <v>2024</v>
      </c>
      <c r="E1382">
        <v>0.12837996255060141</v>
      </c>
      <c r="F1382">
        <v>-1.2248141202263589</v>
      </c>
      <c r="G1382">
        <v>0.10951273920486709</v>
      </c>
      <c r="H1382">
        <v>1.565628013236011</v>
      </c>
      <c r="I1382">
        <v>1.513763126553235</v>
      </c>
      <c r="M1382">
        <f t="shared" si="64"/>
        <v>2.0924697213183556</v>
      </c>
      <c r="N1382">
        <f t="shared" si="65"/>
        <v>5</v>
      </c>
    </row>
    <row r="1383" spans="1:14" x14ac:dyDescent="0.35">
      <c r="A1383" t="str">
        <f t="shared" si="63"/>
        <v>18097390404_2025</v>
      </c>
      <c r="B1383">
        <v>18097390404</v>
      </c>
      <c r="C1383">
        <v>2025</v>
      </c>
      <c r="E1383">
        <v>0.15746853953380741</v>
      </c>
      <c r="F1383">
        <v>-1.197282164495163</v>
      </c>
      <c r="G1383">
        <v>5.935549845743044E-2</v>
      </c>
      <c r="H1383">
        <v>1.466113515427544</v>
      </c>
      <c r="I1383">
        <v>1.5892866206144689</v>
      </c>
      <c r="M1383">
        <f t="shared" si="64"/>
        <v>2.0749420095380877</v>
      </c>
      <c r="N1383">
        <f t="shared" si="65"/>
        <v>5</v>
      </c>
    </row>
    <row r="1384" spans="1:14" x14ac:dyDescent="0.35">
      <c r="A1384" t="str">
        <f t="shared" si="63"/>
        <v>18097390404_2026</v>
      </c>
      <c r="B1384">
        <v>18097390404</v>
      </c>
      <c r="C1384">
        <v>2026</v>
      </c>
      <c r="E1384">
        <v>0.19896169871511871</v>
      </c>
      <c r="F1384">
        <v>-1.1510390906053569</v>
      </c>
      <c r="G1384">
        <v>-4.7257876442846E-3</v>
      </c>
      <c r="H1384">
        <v>1.3578439574848351</v>
      </c>
      <c r="I1384">
        <v>1.579434756639464</v>
      </c>
      <c r="M1384">
        <f t="shared" si="64"/>
        <v>1.9804755345897762</v>
      </c>
      <c r="N1384">
        <f t="shared" si="65"/>
        <v>5</v>
      </c>
    </row>
    <row r="1385" spans="1:14" x14ac:dyDescent="0.35">
      <c r="A1385" t="str">
        <f t="shared" si="63"/>
        <v>18097390404_2027</v>
      </c>
      <c r="B1385">
        <v>18097390404</v>
      </c>
      <c r="C1385">
        <v>2027</v>
      </c>
      <c r="E1385">
        <v>0.22651528326885489</v>
      </c>
      <c r="F1385">
        <v>-1.0914366523007579</v>
      </c>
      <c r="G1385">
        <v>-5.5034683020416857E-2</v>
      </c>
      <c r="H1385">
        <v>1.2537650974066941</v>
      </c>
      <c r="I1385">
        <v>1.6317124766331961</v>
      </c>
      <c r="M1385">
        <f t="shared" si="64"/>
        <v>1.9655215219875704</v>
      </c>
      <c r="N1385">
        <f t="shared" si="65"/>
        <v>5</v>
      </c>
    </row>
    <row r="1386" spans="1:14" x14ac:dyDescent="0.35">
      <c r="A1386" t="str">
        <f t="shared" si="63"/>
        <v>18097390404_2028</v>
      </c>
      <c r="B1386">
        <v>18097390404</v>
      </c>
      <c r="C1386">
        <v>2028</v>
      </c>
      <c r="E1386">
        <v>0.26194954594082592</v>
      </c>
      <c r="F1386">
        <v>-1.0453493941464591</v>
      </c>
      <c r="G1386">
        <v>-0.1094244932217598</v>
      </c>
      <c r="H1386">
        <v>1.1513900059464439</v>
      </c>
      <c r="I1386">
        <v>1.6199996632259701</v>
      </c>
      <c r="M1386">
        <f t="shared" si="64"/>
        <v>1.8785653277450209</v>
      </c>
      <c r="N1386">
        <f t="shared" si="65"/>
        <v>5</v>
      </c>
    </row>
    <row r="1387" spans="1:14" x14ac:dyDescent="0.35">
      <c r="A1387" t="str">
        <f t="shared" si="63"/>
        <v>18097390407_2024</v>
      </c>
      <c r="B1387">
        <v>18097390407</v>
      </c>
      <c r="C1387">
        <v>2024</v>
      </c>
      <c r="E1387">
        <v>1.0066388373191</v>
      </c>
      <c r="G1387">
        <v>2.078540287230628</v>
      </c>
      <c r="I1387">
        <v>1.2717807497856459</v>
      </c>
      <c r="M1387">
        <f t="shared" si="64"/>
        <v>4.3569598743353737</v>
      </c>
      <c r="N1387">
        <f t="shared" si="65"/>
        <v>3</v>
      </c>
    </row>
    <row r="1388" spans="1:14" x14ac:dyDescent="0.35">
      <c r="A1388" t="str">
        <f t="shared" si="63"/>
        <v>18097390407_2025</v>
      </c>
      <c r="B1388">
        <v>18097390407</v>
      </c>
      <c r="C1388">
        <v>2025</v>
      </c>
      <c r="E1388">
        <v>1.066885411809994</v>
      </c>
      <c r="G1388">
        <v>1.893192066604134</v>
      </c>
      <c r="I1388">
        <v>1.2013672533995861</v>
      </c>
      <c r="M1388">
        <f t="shared" si="64"/>
        <v>4.161444731813714</v>
      </c>
      <c r="N1388">
        <f t="shared" si="65"/>
        <v>3</v>
      </c>
    </row>
    <row r="1389" spans="1:14" x14ac:dyDescent="0.35">
      <c r="A1389" t="str">
        <f t="shared" si="63"/>
        <v>18097390407_2026</v>
      </c>
      <c r="B1389">
        <v>18097390407</v>
      </c>
      <c r="C1389">
        <v>2026</v>
      </c>
      <c r="E1389">
        <v>0.897721233889337</v>
      </c>
      <c r="G1389">
        <v>1.65775730171052</v>
      </c>
      <c r="I1389">
        <v>1.1109304312436661</v>
      </c>
      <c r="M1389">
        <f t="shared" si="64"/>
        <v>3.6664089668435231</v>
      </c>
      <c r="N1389">
        <f t="shared" si="65"/>
        <v>3</v>
      </c>
    </row>
    <row r="1390" spans="1:14" x14ac:dyDescent="0.35">
      <c r="A1390" t="str">
        <f t="shared" si="63"/>
        <v>18097390407_2027</v>
      </c>
      <c r="B1390">
        <v>18097390407</v>
      </c>
      <c r="C1390">
        <v>2027</v>
      </c>
      <c r="E1390">
        <v>0.94757783165468223</v>
      </c>
      <c r="G1390">
        <v>1.464937853387664</v>
      </c>
      <c r="I1390">
        <v>1.0321241038901821</v>
      </c>
      <c r="M1390">
        <f t="shared" si="64"/>
        <v>3.4446397889325286</v>
      </c>
      <c r="N1390">
        <f t="shared" si="65"/>
        <v>3</v>
      </c>
    </row>
    <row r="1391" spans="1:14" x14ac:dyDescent="0.35">
      <c r="A1391" t="str">
        <f t="shared" si="63"/>
        <v>18097390407_2028</v>
      </c>
      <c r="B1391">
        <v>18097390407</v>
      </c>
      <c r="C1391">
        <v>2028</v>
      </c>
      <c r="E1391">
        <v>0.79169711435008061</v>
      </c>
      <c r="G1391">
        <v>1.2467126524866969</v>
      </c>
      <c r="I1391">
        <v>0.94561544803525044</v>
      </c>
      <c r="M1391">
        <f t="shared" si="64"/>
        <v>2.9840252148720281</v>
      </c>
      <c r="N1391">
        <f t="shared" si="65"/>
        <v>3</v>
      </c>
    </row>
    <row r="1392" spans="1:14" x14ac:dyDescent="0.35">
      <c r="A1392" t="str">
        <f t="shared" si="63"/>
        <v>18097390600_2024</v>
      </c>
      <c r="B1392">
        <v>18097390600</v>
      </c>
      <c r="C1392">
        <v>2024</v>
      </c>
      <c r="E1392">
        <v>1.087025800208373</v>
      </c>
      <c r="F1392">
        <v>1.4855487209478031</v>
      </c>
      <c r="G1392">
        <v>-0.75853505344987571</v>
      </c>
      <c r="H1392">
        <v>0.35208945112046081</v>
      </c>
      <c r="I1392">
        <v>-0.38097255160768029</v>
      </c>
      <c r="M1392">
        <f t="shared" si="64"/>
        <v>1.7851563672190811</v>
      </c>
      <c r="N1392">
        <f t="shared" si="65"/>
        <v>5</v>
      </c>
    </row>
    <row r="1393" spans="1:14" x14ac:dyDescent="0.35">
      <c r="A1393" t="str">
        <f t="shared" si="63"/>
        <v>18097390600_2025</v>
      </c>
      <c r="B1393">
        <v>18097390600</v>
      </c>
      <c r="C1393">
        <v>2025</v>
      </c>
      <c r="E1393">
        <v>1.1702173944209311</v>
      </c>
      <c r="F1393">
        <v>1.448137167688814</v>
      </c>
      <c r="G1393">
        <v>-0.79261345010910256</v>
      </c>
      <c r="H1393">
        <v>0.23799510197889059</v>
      </c>
      <c r="I1393">
        <v>-0.33410755928937758</v>
      </c>
      <c r="M1393">
        <f t="shared" si="64"/>
        <v>1.7296286546901551</v>
      </c>
      <c r="N1393">
        <f t="shared" si="65"/>
        <v>5</v>
      </c>
    </row>
    <row r="1394" spans="1:14" x14ac:dyDescent="0.35">
      <c r="A1394" t="str">
        <f t="shared" si="63"/>
        <v>18097390600_2026</v>
      </c>
      <c r="B1394">
        <v>18097390600</v>
      </c>
      <c r="C1394">
        <v>2026</v>
      </c>
      <c r="E1394">
        <v>1.2497760623639911</v>
      </c>
      <c r="F1394">
        <v>1.373993132800527</v>
      </c>
      <c r="G1394">
        <v>-0.81310821328224481</v>
      </c>
      <c r="H1394">
        <v>0.18779887892140659</v>
      </c>
      <c r="I1394">
        <v>-0.2904090705326875</v>
      </c>
      <c r="M1394">
        <f t="shared" si="64"/>
        <v>1.7080507902709923</v>
      </c>
      <c r="N1394">
        <f t="shared" si="65"/>
        <v>5</v>
      </c>
    </row>
    <row r="1395" spans="1:14" x14ac:dyDescent="0.35">
      <c r="A1395" t="str">
        <f t="shared" si="63"/>
        <v>18097390600_2027</v>
      </c>
      <c r="B1395">
        <v>18097390600</v>
      </c>
      <c r="C1395">
        <v>2027</v>
      </c>
      <c r="E1395">
        <v>1.317532406091209</v>
      </c>
      <c r="F1395">
        <v>1.272252358351915</v>
      </c>
      <c r="G1395">
        <v>-0.83161204737678995</v>
      </c>
      <c r="H1395">
        <v>9.9842966440305742E-2</v>
      </c>
      <c r="I1395">
        <v>-0.2446868819245783</v>
      </c>
      <c r="M1395">
        <f t="shared" si="64"/>
        <v>1.6133288015820615</v>
      </c>
      <c r="N1395">
        <f t="shared" si="65"/>
        <v>5</v>
      </c>
    </row>
    <row r="1396" spans="1:14" x14ac:dyDescent="0.35">
      <c r="A1396" t="str">
        <f t="shared" si="63"/>
        <v>18097390600_2028</v>
      </c>
      <c r="B1396">
        <v>18097390600</v>
      </c>
      <c r="C1396">
        <v>2028</v>
      </c>
      <c r="E1396">
        <v>1.3838191491893259</v>
      </c>
      <c r="F1396">
        <v>1.1999802289497401</v>
      </c>
      <c r="G1396">
        <v>-0.83601151067379853</v>
      </c>
      <c r="H1396">
        <v>5.8196490777995061E-2</v>
      </c>
      <c r="I1396">
        <v>-0.20107797157455171</v>
      </c>
      <c r="M1396">
        <f t="shared" si="64"/>
        <v>1.6049063866687108</v>
      </c>
      <c r="N1396">
        <f t="shared" si="65"/>
        <v>5</v>
      </c>
    </row>
    <row r="1397" spans="1:14" x14ac:dyDescent="0.35">
      <c r="A1397" t="str">
        <f t="shared" si="63"/>
        <v>18097390800_2024</v>
      </c>
      <c r="B1397">
        <v>18097390800</v>
      </c>
      <c r="C1397">
        <v>2024</v>
      </c>
      <c r="E1397">
        <v>-1.103026541738271</v>
      </c>
      <c r="F1397">
        <v>-0.20073734788124101</v>
      </c>
      <c r="G1397">
        <v>-0.17338663360099629</v>
      </c>
      <c r="H1397">
        <v>-2.029759997557345</v>
      </c>
      <c r="I1397">
        <v>0.20158075008932311</v>
      </c>
      <c r="M1397">
        <f t="shared" si="64"/>
        <v>-3.3053297706885303</v>
      </c>
      <c r="N1397">
        <f t="shared" si="65"/>
        <v>5</v>
      </c>
    </row>
    <row r="1398" spans="1:14" x14ac:dyDescent="0.35">
      <c r="A1398" t="str">
        <f t="shared" si="63"/>
        <v>18097390800_2025</v>
      </c>
      <c r="B1398">
        <v>18097390800</v>
      </c>
      <c r="C1398">
        <v>2025</v>
      </c>
      <c r="E1398">
        <v>-1.1165579890164159</v>
      </c>
      <c r="F1398">
        <v>-0.13907994271810781</v>
      </c>
      <c r="G1398">
        <v>-0.24072093596548211</v>
      </c>
      <c r="H1398">
        <v>-2.3445155831493918</v>
      </c>
      <c r="I1398">
        <v>2.1936743460537571E-2</v>
      </c>
      <c r="M1398">
        <f t="shared" si="64"/>
        <v>-3.8189377073888595</v>
      </c>
      <c r="N1398">
        <f t="shared" si="65"/>
        <v>5</v>
      </c>
    </row>
    <row r="1399" spans="1:14" x14ac:dyDescent="0.35">
      <c r="A1399" t="str">
        <f t="shared" si="63"/>
        <v>18097390800_2026</v>
      </c>
      <c r="B1399">
        <v>18097390800</v>
      </c>
      <c r="C1399">
        <v>2026</v>
      </c>
      <c r="E1399">
        <v>-1.128869246613746</v>
      </c>
      <c r="F1399">
        <v>-8.4228488206369967E-2</v>
      </c>
      <c r="G1399">
        <v>-0.3094883703917618</v>
      </c>
      <c r="H1399">
        <v>-2.5134680472096882</v>
      </c>
      <c r="I1399">
        <v>-1.6854563238452368E-2</v>
      </c>
      <c r="M1399">
        <f t="shared" si="64"/>
        <v>-4.0529087156600188</v>
      </c>
      <c r="N1399">
        <f t="shared" si="65"/>
        <v>5</v>
      </c>
    </row>
    <row r="1400" spans="1:14" x14ac:dyDescent="0.35">
      <c r="A1400" t="str">
        <f t="shared" si="63"/>
        <v>18097390800_2027</v>
      </c>
      <c r="B1400">
        <v>18097390800</v>
      </c>
      <c r="C1400">
        <v>2027</v>
      </c>
      <c r="E1400">
        <v>-1.1362104972801941</v>
      </c>
      <c r="F1400">
        <v>-4.023491130916243E-2</v>
      </c>
      <c r="G1400">
        <v>-0.36628266863256442</v>
      </c>
      <c r="H1400">
        <v>-2.7106065872204552</v>
      </c>
      <c r="I1400">
        <v>-0.16945052345538569</v>
      </c>
      <c r="M1400">
        <f t="shared" si="64"/>
        <v>-4.4227851878977624</v>
      </c>
      <c r="N1400">
        <f t="shared" si="65"/>
        <v>5</v>
      </c>
    </row>
    <row r="1401" spans="1:14" x14ac:dyDescent="0.35">
      <c r="A1401" t="str">
        <f t="shared" si="63"/>
        <v>18097390800_2028</v>
      </c>
      <c r="B1401">
        <v>18097390800</v>
      </c>
      <c r="C1401">
        <v>2028</v>
      </c>
      <c r="E1401">
        <v>-1.139862085293726</v>
      </c>
      <c r="F1401">
        <v>3.6785416467108099E-3</v>
      </c>
      <c r="G1401">
        <v>-0.4170593032922042</v>
      </c>
      <c r="H1401">
        <v>-2.8005812847045681</v>
      </c>
      <c r="I1401">
        <v>-0.2179504378795987</v>
      </c>
      <c r="M1401">
        <f t="shared" si="64"/>
        <v>-4.5717745695233853</v>
      </c>
      <c r="N1401">
        <f t="shared" si="65"/>
        <v>5</v>
      </c>
    </row>
    <row r="1402" spans="1:14" x14ac:dyDescent="0.35">
      <c r="A1402" t="str">
        <f t="shared" si="63"/>
        <v>18097391000_2024</v>
      </c>
      <c r="B1402">
        <v>18097391000</v>
      </c>
      <c r="C1402">
        <v>2024</v>
      </c>
      <c r="E1402">
        <v>2.4489887154597292</v>
      </c>
      <c r="F1402">
        <v>0.20452914213552939</v>
      </c>
      <c r="G1402">
        <v>0.2238682004428047</v>
      </c>
      <c r="I1402">
        <v>0.57709203290708466</v>
      </c>
      <c r="M1402">
        <f t="shared" si="64"/>
        <v>3.4544780909451478</v>
      </c>
      <c r="N1402">
        <f t="shared" si="65"/>
        <v>4</v>
      </c>
    </row>
    <row r="1403" spans="1:14" x14ac:dyDescent="0.35">
      <c r="A1403" t="str">
        <f t="shared" si="63"/>
        <v>18097391000_2025</v>
      </c>
      <c r="B1403">
        <v>18097391000</v>
      </c>
      <c r="C1403">
        <v>2025</v>
      </c>
      <c r="E1403">
        <v>2.4355629181675051</v>
      </c>
      <c r="F1403">
        <v>0.1005732167461194</v>
      </c>
      <c r="G1403">
        <v>0.22445475140475729</v>
      </c>
      <c r="I1403">
        <v>0.57689509252662718</v>
      </c>
      <c r="M1403">
        <f t="shared" si="64"/>
        <v>3.3374859788450091</v>
      </c>
      <c r="N1403">
        <f t="shared" si="65"/>
        <v>4</v>
      </c>
    </row>
    <row r="1404" spans="1:14" x14ac:dyDescent="0.35">
      <c r="A1404" t="str">
        <f t="shared" si="63"/>
        <v>18097391000_2026</v>
      </c>
      <c r="B1404">
        <v>18097391000</v>
      </c>
      <c r="C1404">
        <v>2026</v>
      </c>
      <c r="E1404">
        <v>2.4432932666285718</v>
      </c>
      <c r="F1404">
        <v>1.9042188636700899E-3</v>
      </c>
      <c r="G1404">
        <v>0.20336090596110601</v>
      </c>
      <c r="I1404">
        <v>0.57536109624539766</v>
      </c>
      <c r="M1404">
        <f t="shared" si="64"/>
        <v>3.2239194876987458</v>
      </c>
      <c r="N1404">
        <f t="shared" si="65"/>
        <v>4</v>
      </c>
    </row>
    <row r="1405" spans="1:14" x14ac:dyDescent="0.35">
      <c r="A1405" t="str">
        <f t="shared" si="63"/>
        <v>18097391000_2027</v>
      </c>
      <c r="B1405">
        <v>18097391000</v>
      </c>
      <c r="C1405">
        <v>2027</v>
      </c>
      <c r="E1405">
        <v>2.4237875591249201</v>
      </c>
      <c r="F1405">
        <v>-8.6506225588868724E-2</v>
      </c>
      <c r="G1405">
        <v>0.1931693407739995</v>
      </c>
      <c r="I1405">
        <v>0.57011734757728239</v>
      </c>
      <c r="M1405">
        <f t="shared" si="64"/>
        <v>3.1005680218873328</v>
      </c>
      <c r="N1405">
        <f t="shared" si="65"/>
        <v>4</v>
      </c>
    </row>
    <row r="1406" spans="1:14" x14ac:dyDescent="0.35">
      <c r="A1406" t="str">
        <f t="shared" si="63"/>
        <v>18097391000_2028</v>
      </c>
      <c r="B1406">
        <v>18097391000</v>
      </c>
      <c r="C1406">
        <v>2028</v>
      </c>
      <c r="E1406">
        <v>2.4153046912099692</v>
      </c>
      <c r="F1406">
        <v>-0.15610137631062371</v>
      </c>
      <c r="G1406">
        <v>0.16812124455863109</v>
      </c>
      <c r="I1406">
        <v>0.56677602573436803</v>
      </c>
      <c r="M1406">
        <f t="shared" si="64"/>
        <v>2.9941005851923443</v>
      </c>
      <c r="N1406">
        <f t="shared" si="65"/>
        <v>4</v>
      </c>
    </row>
    <row r="1407" spans="1:14" x14ac:dyDescent="0.35">
      <c r="A1407" t="str">
        <f t="shared" si="63"/>
        <v>18097330202_2024</v>
      </c>
      <c r="B1407">
        <v>18097330202</v>
      </c>
      <c r="C1407">
        <v>2024</v>
      </c>
      <c r="F1407">
        <v>-3.7133870837098737E-2</v>
      </c>
      <c r="G1407">
        <v>-1.0115904829955</v>
      </c>
      <c r="H1407">
        <v>0.7442549683926809</v>
      </c>
      <c r="I1407">
        <v>-1.3636797974003501</v>
      </c>
      <c r="M1407">
        <f t="shared" si="64"/>
        <v>-1.6681491828402679</v>
      </c>
      <c r="N1407">
        <f t="shared" si="65"/>
        <v>4</v>
      </c>
    </row>
    <row r="1408" spans="1:14" x14ac:dyDescent="0.35">
      <c r="A1408" t="str">
        <f t="shared" si="63"/>
        <v>18097330202_2025</v>
      </c>
      <c r="B1408">
        <v>18097330202</v>
      </c>
      <c r="C1408">
        <v>2025</v>
      </c>
      <c r="F1408">
        <v>-9.7321440769407935E-2</v>
      </c>
      <c r="G1408">
        <v>-1.074734910850959</v>
      </c>
      <c r="H1408">
        <v>0.751602861218995</v>
      </c>
      <c r="I1408">
        <v>-1.3397382507223841</v>
      </c>
      <c r="M1408">
        <f t="shared" si="64"/>
        <v>-1.760191741123756</v>
      </c>
      <c r="N1408">
        <f t="shared" si="65"/>
        <v>4</v>
      </c>
    </row>
    <row r="1409" spans="1:14" x14ac:dyDescent="0.35">
      <c r="A1409" t="str">
        <f t="shared" si="63"/>
        <v>18097330202_2026</v>
      </c>
      <c r="B1409">
        <v>18097330202</v>
      </c>
      <c r="C1409">
        <v>2026</v>
      </c>
      <c r="F1409">
        <v>-0.113503297286405</v>
      </c>
      <c r="G1409">
        <v>-1.1100448973611801</v>
      </c>
      <c r="H1409">
        <v>0.76277814168652702</v>
      </c>
      <c r="I1409">
        <v>-1.305223395428041</v>
      </c>
      <c r="M1409">
        <f t="shared" si="64"/>
        <v>-1.7659934483890991</v>
      </c>
      <c r="N1409">
        <f t="shared" si="65"/>
        <v>4</v>
      </c>
    </row>
    <row r="1410" spans="1:14" x14ac:dyDescent="0.35">
      <c r="A1410" t="str">
        <f t="shared" si="63"/>
        <v>18097330202_2027</v>
      </c>
      <c r="B1410">
        <v>18097330202</v>
      </c>
      <c r="C1410">
        <v>2027</v>
      </c>
      <c r="F1410">
        <v>-0.15755099003730241</v>
      </c>
      <c r="G1410">
        <v>-1.141902833374256</v>
      </c>
      <c r="H1410">
        <v>0.76010781634918578</v>
      </c>
      <c r="I1410">
        <v>-1.271981104508858</v>
      </c>
      <c r="M1410">
        <f t="shared" si="64"/>
        <v>-1.8113271115712308</v>
      </c>
      <c r="N1410">
        <f t="shared" si="65"/>
        <v>4</v>
      </c>
    </row>
    <row r="1411" spans="1:14" x14ac:dyDescent="0.35">
      <c r="A1411" t="str">
        <f t="shared" ref="A1411:A1474" si="66">TEXT(B1411,0)&amp;"_"&amp;TEXT(C1411,0)</f>
        <v>18097330202_2028</v>
      </c>
      <c r="B1411">
        <v>18097330202</v>
      </c>
      <c r="C1411">
        <v>2028</v>
      </c>
      <c r="F1411">
        <v>-0.17660349294861671</v>
      </c>
      <c r="G1411">
        <v>-1.147436680339859</v>
      </c>
      <c r="H1411">
        <v>0.75777912048701002</v>
      </c>
      <c r="I1411">
        <v>-1.232095718808331</v>
      </c>
      <c r="M1411">
        <f t="shared" ref="M1411:M1474" si="67">SUM(D1411:K1411)</f>
        <v>-1.7983567716097966</v>
      </c>
      <c r="N1411">
        <f t="shared" ref="N1411:N1474" si="68">IF(D1411=0,0,1)+IF(E1411=0,0,1)+IF(F1411=0,0,1)+IF(G1411=0,0,1)+IF(H1411=0,0,1)+IF(I1411=0,0,1)++IF(J1411=0,0,1)++IF(K1411=0,0,1)</f>
        <v>4</v>
      </c>
    </row>
    <row r="1412" spans="1:14" x14ac:dyDescent="0.35">
      <c r="A1412" t="str">
        <f t="shared" si="66"/>
        <v>18097340110_2024</v>
      </c>
      <c r="B1412">
        <v>18097340110</v>
      </c>
      <c r="C1412">
        <v>2024</v>
      </c>
      <c r="F1412">
        <v>2.0366725726970678</v>
      </c>
      <c r="G1412">
        <v>-0.67190793110936553</v>
      </c>
      <c r="H1412">
        <v>0.39316631475124297</v>
      </c>
      <c r="M1412">
        <f t="shared" si="67"/>
        <v>1.7579309563389451</v>
      </c>
      <c r="N1412">
        <f t="shared" si="68"/>
        <v>3</v>
      </c>
    </row>
    <row r="1413" spans="1:14" x14ac:dyDescent="0.35">
      <c r="A1413" t="str">
        <f t="shared" si="66"/>
        <v>18097340110_2025</v>
      </c>
      <c r="B1413">
        <v>18097340110</v>
      </c>
      <c r="C1413">
        <v>2025</v>
      </c>
      <c r="F1413">
        <v>2.044889519356945</v>
      </c>
      <c r="G1413">
        <v>-0.72653896627613823</v>
      </c>
      <c r="H1413">
        <v>0.41831388208860981</v>
      </c>
      <c r="M1413">
        <f t="shared" si="67"/>
        <v>1.7366644351694165</v>
      </c>
      <c r="N1413">
        <f t="shared" si="68"/>
        <v>3</v>
      </c>
    </row>
    <row r="1414" spans="1:14" x14ac:dyDescent="0.35">
      <c r="A1414" t="str">
        <f t="shared" si="66"/>
        <v>18097340110_2026</v>
      </c>
      <c r="B1414">
        <v>18097340110</v>
      </c>
      <c r="C1414">
        <v>2026</v>
      </c>
      <c r="F1414">
        <v>1.9867147150979569</v>
      </c>
      <c r="G1414">
        <v>-0.71507601993113723</v>
      </c>
      <c r="H1414">
        <v>0.45595269977653158</v>
      </c>
      <c r="M1414">
        <f t="shared" si="67"/>
        <v>1.7275913949433512</v>
      </c>
      <c r="N1414">
        <f t="shared" si="68"/>
        <v>3</v>
      </c>
    </row>
    <row r="1415" spans="1:14" x14ac:dyDescent="0.35">
      <c r="A1415" t="str">
        <f t="shared" si="66"/>
        <v>18097340110_2027</v>
      </c>
      <c r="B1415">
        <v>18097340110</v>
      </c>
      <c r="C1415">
        <v>2027</v>
      </c>
      <c r="F1415">
        <v>1.897299101832854</v>
      </c>
      <c r="G1415">
        <v>-0.75113408694203854</v>
      </c>
      <c r="H1415">
        <v>0.47432992513070532</v>
      </c>
      <c r="M1415">
        <f t="shared" si="67"/>
        <v>1.6204949400215209</v>
      </c>
      <c r="N1415">
        <f t="shared" si="68"/>
        <v>3</v>
      </c>
    </row>
    <row r="1416" spans="1:14" x14ac:dyDescent="0.35">
      <c r="A1416" t="str">
        <f t="shared" si="66"/>
        <v>18097340110_2028</v>
      </c>
      <c r="B1416">
        <v>18097340110</v>
      </c>
      <c r="C1416">
        <v>2028</v>
      </c>
      <c r="F1416">
        <v>1.8346666579855679</v>
      </c>
      <c r="G1416">
        <v>-0.73346022143588951</v>
      </c>
      <c r="H1416">
        <v>0.49675646497998049</v>
      </c>
      <c r="M1416">
        <f t="shared" si="67"/>
        <v>1.597962901529659</v>
      </c>
      <c r="N1416">
        <f t="shared" si="68"/>
        <v>3</v>
      </c>
    </row>
    <row r="1417" spans="1:14" x14ac:dyDescent="0.35">
      <c r="A1417" t="str">
        <f t="shared" si="66"/>
        <v>18097360404_2024</v>
      </c>
      <c r="B1417">
        <v>18097360404</v>
      </c>
      <c r="C1417">
        <v>2024</v>
      </c>
      <c r="F1417">
        <v>2.7065814114575439</v>
      </c>
      <c r="G1417">
        <v>-1.300431642806009</v>
      </c>
      <c r="H1417">
        <v>-1.722356231833063</v>
      </c>
      <c r="I1417">
        <v>-1.4870946863454211</v>
      </c>
      <c r="M1417">
        <f t="shared" si="67"/>
        <v>-1.8033011495269491</v>
      </c>
      <c r="N1417">
        <f t="shared" si="68"/>
        <v>4</v>
      </c>
    </row>
    <row r="1418" spans="1:14" x14ac:dyDescent="0.35">
      <c r="A1418" t="str">
        <f t="shared" si="66"/>
        <v>18097360404_2025</v>
      </c>
      <c r="B1418">
        <v>18097360404</v>
      </c>
      <c r="C1418">
        <v>2025</v>
      </c>
      <c r="F1418">
        <v>2.8421828904482029</v>
      </c>
      <c r="G1418">
        <v>-1.3404803685181661</v>
      </c>
      <c r="H1418">
        <v>-1.9123509989272831</v>
      </c>
      <c r="I1418">
        <v>-1.4616098439326211</v>
      </c>
      <c r="M1418">
        <f t="shared" si="67"/>
        <v>-1.8722583209298673</v>
      </c>
      <c r="N1418">
        <f t="shared" si="68"/>
        <v>4</v>
      </c>
    </row>
    <row r="1419" spans="1:14" x14ac:dyDescent="0.35">
      <c r="A1419" t="str">
        <f t="shared" si="66"/>
        <v>18097360404_2026</v>
      </c>
      <c r="B1419">
        <v>18097360404</v>
      </c>
      <c r="C1419">
        <v>2026</v>
      </c>
      <c r="F1419">
        <v>2.9126265885678841</v>
      </c>
      <c r="G1419">
        <v>-1.36349993138639</v>
      </c>
      <c r="H1419">
        <v>-2.002684602808257</v>
      </c>
      <c r="I1419">
        <v>-1.4159691162731121</v>
      </c>
      <c r="M1419">
        <f t="shared" si="67"/>
        <v>-1.8695270618998749</v>
      </c>
      <c r="N1419">
        <f t="shared" si="68"/>
        <v>4</v>
      </c>
    </row>
    <row r="1420" spans="1:14" x14ac:dyDescent="0.35">
      <c r="A1420" t="str">
        <f t="shared" si="66"/>
        <v>18097360404_2027</v>
      </c>
      <c r="B1420">
        <v>18097360404</v>
      </c>
      <c r="C1420">
        <v>2027</v>
      </c>
      <c r="F1420">
        <v>2.9134571379010739</v>
      </c>
      <c r="G1420">
        <v>-1.375521750344616</v>
      </c>
      <c r="H1420">
        <v>-2.1121992063000139</v>
      </c>
      <c r="I1420">
        <v>-1.377529534310423</v>
      </c>
      <c r="M1420">
        <f t="shared" si="67"/>
        <v>-1.9517933530539791</v>
      </c>
      <c r="N1420">
        <f t="shared" si="68"/>
        <v>4</v>
      </c>
    </row>
    <row r="1421" spans="1:14" x14ac:dyDescent="0.35">
      <c r="A1421" t="str">
        <f t="shared" si="66"/>
        <v>18097360404_2028</v>
      </c>
      <c r="B1421">
        <v>18097360404</v>
      </c>
      <c r="C1421">
        <v>2028</v>
      </c>
      <c r="F1421">
        <v>2.9597844217591298</v>
      </c>
      <c r="G1421">
        <v>-1.3626383288444761</v>
      </c>
      <c r="H1421">
        <v>-2.1478953913587722</v>
      </c>
      <c r="I1421">
        <v>-1.328630885558207</v>
      </c>
      <c r="M1421">
        <f t="shared" si="67"/>
        <v>-1.8793801840023254</v>
      </c>
      <c r="N1421">
        <f t="shared" si="68"/>
        <v>4</v>
      </c>
    </row>
    <row r="1422" spans="1:14" x14ac:dyDescent="0.35">
      <c r="A1422" t="str">
        <f t="shared" si="66"/>
        <v>18011810605_2024</v>
      </c>
      <c r="B1422">
        <v>18011810605</v>
      </c>
      <c r="C1422">
        <v>2024</v>
      </c>
      <c r="J1422">
        <v>0.24487933076452351</v>
      </c>
      <c r="K1422">
        <v>0.8691160931102746</v>
      </c>
      <c r="M1422">
        <f t="shared" si="67"/>
        <v>1.113995423874798</v>
      </c>
      <c r="N1422">
        <f t="shared" si="68"/>
        <v>2</v>
      </c>
    </row>
    <row r="1423" spans="1:14" x14ac:dyDescent="0.35">
      <c r="A1423" t="str">
        <f t="shared" si="66"/>
        <v>18011810605_2025</v>
      </c>
      <c r="B1423">
        <v>18011810605</v>
      </c>
      <c r="C1423">
        <v>2025</v>
      </c>
      <c r="J1423">
        <v>0.24831873858843059</v>
      </c>
      <c r="K1423">
        <v>0.83132644818884094</v>
      </c>
      <c r="M1423">
        <f t="shared" si="67"/>
        <v>1.0796451867772716</v>
      </c>
      <c r="N1423">
        <f t="shared" si="68"/>
        <v>2</v>
      </c>
    </row>
    <row r="1424" spans="1:14" x14ac:dyDescent="0.35">
      <c r="A1424" t="str">
        <f t="shared" si="66"/>
        <v>18011810605_2026</v>
      </c>
      <c r="B1424">
        <v>18011810605</v>
      </c>
      <c r="C1424">
        <v>2026</v>
      </c>
      <c r="J1424">
        <v>0.24457453663471609</v>
      </c>
      <c r="K1424">
        <v>0.74223955925247498</v>
      </c>
      <c r="M1424">
        <f t="shared" si="67"/>
        <v>0.98681409588719105</v>
      </c>
      <c r="N1424">
        <f t="shared" si="68"/>
        <v>2</v>
      </c>
    </row>
    <row r="1425" spans="1:14" x14ac:dyDescent="0.35">
      <c r="A1425" t="str">
        <f t="shared" si="66"/>
        <v>18011810605_2027</v>
      </c>
      <c r="B1425">
        <v>18011810605</v>
      </c>
      <c r="C1425">
        <v>2027</v>
      </c>
      <c r="J1425">
        <v>0.2350298575348628</v>
      </c>
      <c r="K1425">
        <v>0.64176323558952542</v>
      </c>
      <c r="M1425">
        <f t="shared" si="67"/>
        <v>0.87679309312438825</v>
      </c>
      <c r="N1425">
        <f t="shared" si="68"/>
        <v>2</v>
      </c>
    </row>
    <row r="1426" spans="1:14" x14ac:dyDescent="0.35">
      <c r="A1426" t="str">
        <f t="shared" si="66"/>
        <v>18011810605_2028</v>
      </c>
      <c r="B1426">
        <v>18011810605</v>
      </c>
      <c r="C1426">
        <v>2028</v>
      </c>
      <c r="J1426">
        <v>0.21952784584706381</v>
      </c>
      <c r="K1426">
        <v>0.53049544757495193</v>
      </c>
      <c r="M1426">
        <f t="shared" si="67"/>
        <v>0.75002329342201568</v>
      </c>
      <c r="N1426">
        <f t="shared" si="68"/>
        <v>2</v>
      </c>
    </row>
    <row r="1427" spans="1:14" x14ac:dyDescent="0.35">
      <c r="A1427" t="str">
        <f t="shared" si="66"/>
        <v>18057110805_2024</v>
      </c>
      <c r="B1427">
        <v>18057110805</v>
      </c>
      <c r="C1427">
        <v>2024</v>
      </c>
      <c r="J1427">
        <v>1.5375073746847161</v>
      </c>
      <c r="M1427">
        <f t="shared" si="67"/>
        <v>1.5375073746847161</v>
      </c>
      <c r="N1427">
        <f t="shared" si="68"/>
        <v>1</v>
      </c>
    </row>
    <row r="1428" spans="1:14" x14ac:dyDescent="0.35">
      <c r="A1428" t="str">
        <f t="shared" si="66"/>
        <v>18057110805_2025</v>
      </c>
      <c r="B1428">
        <v>18057110805</v>
      </c>
      <c r="C1428">
        <v>2025</v>
      </c>
      <c r="J1428">
        <v>1.5473911127769879</v>
      </c>
      <c r="M1428">
        <f t="shared" si="67"/>
        <v>1.5473911127769879</v>
      </c>
      <c r="N1428">
        <f t="shared" si="68"/>
        <v>1</v>
      </c>
    </row>
    <row r="1429" spans="1:14" x14ac:dyDescent="0.35">
      <c r="A1429" t="str">
        <f t="shared" si="66"/>
        <v>18057110805_2026</v>
      </c>
      <c r="B1429">
        <v>18057110805</v>
      </c>
      <c r="C1429">
        <v>2026</v>
      </c>
      <c r="J1429">
        <v>1.550486398200442</v>
      </c>
      <c r="M1429">
        <f t="shared" si="67"/>
        <v>1.550486398200442</v>
      </c>
      <c r="N1429">
        <f t="shared" si="68"/>
        <v>1</v>
      </c>
    </row>
    <row r="1430" spans="1:14" x14ac:dyDescent="0.35">
      <c r="A1430" t="str">
        <f t="shared" si="66"/>
        <v>18057110805_2027</v>
      </c>
      <c r="B1430">
        <v>18057110805</v>
      </c>
      <c r="C1430">
        <v>2027</v>
      </c>
      <c r="J1430">
        <v>1.5513609175617089</v>
      </c>
      <c r="M1430">
        <f t="shared" si="67"/>
        <v>1.5513609175617089</v>
      </c>
      <c r="N1430">
        <f t="shared" si="68"/>
        <v>1</v>
      </c>
    </row>
    <row r="1431" spans="1:14" x14ac:dyDescent="0.35">
      <c r="A1431" t="str">
        <f t="shared" si="66"/>
        <v>18057110805_2028</v>
      </c>
      <c r="B1431">
        <v>18057110805</v>
      </c>
      <c r="C1431">
        <v>2028</v>
      </c>
      <c r="J1431">
        <v>1.5506160124847239</v>
      </c>
      <c r="M1431">
        <f t="shared" si="67"/>
        <v>1.5506160124847239</v>
      </c>
      <c r="N1431">
        <f t="shared" si="68"/>
        <v>1</v>
      </c>
    </row>
    <row r="1432" spans="1:14" x14ac:dyDescent="0.35">
      <c r="A1432" t="str">
        <f t="shared" si="66"/>
        <v>18057110807_2024</v>
      </c>
      <c r="B1432">
        <v>18057110807</v>
      </c>
      <c r="C1432">
        <v>2024</v>
      </c>
      <c r="J1432">
        <v>1.5375073746847161</v>
      </c>
      <c r="M1432">
        <f t="shared" si="67"/>
        <v>1.5375073746847161</v>
      </c>
      <c r="N1432">
        <f t="shared" si="68"/>
        <v>1</v>
      </c>
    </row>
    <row r="1433" spans="1:14" x14ac:dyDescent="0.35">
      <c r="A1433" t="str">
        <f t="shared" si="66"/>
        <v>18057110807_2025</v>
      </c>
      <c r="B1433">
        <v>18057110807</v>
      </c>
      <c r="C1433">
        <v>2025</v>
      </c>
      <c r="J1433">
        <v>1.5473911127769879</v>
      </c>
      <c r="M1433">
        <f t="shared" si="67"/>
        <v>1.5473911127769879</v>
      </c>
      <c r="N1433">
        <f t="shared" si="68"/>
        <v>1</v>
      </c>
    </row>
    <row r="1434" spans="1:14" x14ac:dyDescent="0.35">
      <c r="A1434" t="str">
        <f t="shared" si="66"/>
        <v>18057110807_2026</v>
      </c>
      <c r="B1434">
        <v>18057110807</v>
      </c>
      <c r="C1434">
        <v>2026</v>
      </c>
      <c r="J1434">
        <v>1.550486398200442</v>
      </c>
      <c r="M1434">
        <f t="shared" si="67"/>
        <v>1.550486398200442</v>
      </c>
      <c r="N1434">
        <f t="shared" si="68"/>
        <v>1</v>
      </c>
    </row>
    <row r="1435" spans="1:14" x14ac:dyDescent="0.35">
      <c r="A1435" t="str">
        <f t="shared" si="66"/>
        <v>18057110807_2027</v>
      </c>
      <c r="B1435">
        <v>18057110807</v>
      </c>
      <c r="C1435">
        <v>2027</v>
      </c>
      <c r="J1435">
        <v>1.5513609175617089</v>
      </c>
      <c r="M1435">
        <f t="shared" si="67"/>
        <v>1.5513609175617089</v>
      </c>
      <c r="N1435">
        <f t="shared" si="68"/>
        <v>1</v>
      </c>
    </row>
    <row r="1436" spans="1:14" x14ac:dyDescent="0.35">
      <c r="A1436" t="str">
        <f t="shared" si="66"/>
        <v>18057110807_2028</v>
      </c>
      <c r="B1436">
        <v>18057110807</v>
      </c>
      <c r="C1436">
        <v>2028</v>
      </c>
      <c r="J1436">
        <v>1.5506160124847239</v>
      </c>
      <c r="M1436">
        <f t="shared" si="67"/>
        <v>1.5506160124847239</v>
      </c>
      <c r="N1436">
        <f t="shared" si="68"/>
        <v>1</v>
      </c>
    </row>
    <row r="1437" spans="1:14" x14ac:dyDescent="0.35">
      <c r="A1437" t="str">
        <f t="shared" si="66"/>
        <v>18057110810_2024</v>
      </c>
      <c r="B1437">
        <v>18057110810</v>
      </c>
      <c r="C1437">
        <v>2024</v>
      </c>
      <c r="J1437">
        <v>1.5375073746847161</v>
      </c>
      <c r="M1437">
        <f t="shared" si="67"/>
        <v>1.5375073746847161</v>
      </c>
      <c r="N1437">
        <f t="shared" si="68"/>
        <v>1</v>
      </c>
    </row>
    <row r="1438" spans="1:14" x14ac:dyDescent="0.35">
      <c r="A1438" t="str">
        <f t="shared" si="66"/>
        <v>18057110810_2025</v>
      </c>
      <c r="B1438">
        <v>18057110810</v>
      </c>
      <c r="C1438">
        <v>2025</v>
      </c>
      <c r="J1438">
        <v>1.5473911127769879</v>
      </c>
      <c r="M1438">
        <f t="shared" si="67"/>
        <v>1.5473911127769879</v>
      </c>
      <c r="N1438">
        <f t="shared" si="68"/>
        <v>1</v>
      </c>
    </row>
    <row r="1439" spans="1:14" x14ac:dyDescent="0.35">
      <c r="A1439" t="str">
        <f t="shared" si="66"/>
        <v>18057110810_2026</v>
      </c>
      <c r="B1439">
        <v>18057110810</v>
      </c>
      <c r="C1439">
        <v>2026</v>
      </c>
      <c r="J1439">
        <v>1.550486398200442</v>
      </c>
      <c r="M1439">
        <f t="shared" si="67"/>
        <v>1.550486398200442</v>
      </c>
      <c r="N1439">
        <f t="shared" si="68"/>
        <v>1</v>
      </c>
    </row>
    <row r="1440" spans="1:14" x14ac:dyDescent="0.35">
      <c r="A1440" t="str">
        <f t="shared" si="66"/>
        <v>18057110810_2027</v>
      </c>
      <c r="B1440">
        <v>18057110810</v>
      </c>
      <c r="C1440">
        <v>2027</v>
      </c>
      <c r="J1440">
        <v>1.5513609175617089</v>
      </c>
      <c r="M1440">
        <f t="shared" si="67"/>
        <v>1.5513609175617089</v>
      </c>
      <c r="N1440">
        <f t="shared" si="68"/>
        <v>1</v>
      </c>
    </row>
    <row r="1441" spans="1:14" x14ac:dyDescent="0.35">
      <c r="A1441" t="str">
        <f t="shared" si="66"/>
        <v>18057110810_2028</v>
      </c>
      <c r="B1441">
        <v>18057110810</v>
      </c>
      <c r="C1441">
        <v>2028</v>
      </c>
      <c r="J1441">
        <v>1.5506160124847239</v>
      </c>
      <c r="M1441">
        <f t="shared" si="67"/>
        <v>1.5506160124847239</v>
      </c>
      <c r="N1441">
        <f t="shared" si="68"/>
        <v>1</v>
      </c>
    </row>
    <row r="1442" spans="1:14" x14ac:dyDescent="0.35">
      <c r="A1442" t="str">
        <f t="shared" si="66"/>
        <v>18057110813_2024</v>
      </c>
      <c r="B1442">
        <v>18057110813</v>
      </c>
      <c r="C1442">
        <v>2024</v>
      </c>
      <c r="J1442">
        <v>1.5375073746847161</v>
      </c>
      <c r="M1442">
        <f t="shared" si="67"/>
        <v>1.5375073746847161</v>
      </c>
      <c r="N1442">
        <f t="shared" si="68"/>
        <v>1</v>
      </c>
    </row>
    <row r="1443" spans="1:14" x14ac:dyDescent="0.35">
      <c r="A1443" t="str">
        <f t="shared" si="66"/>
        <v>18057110813_2025</v>
      </c>
      <c r="B1443">
        <v>18057110813</v>
      </c>
      <c r="C1443">
        <v>2025</v>
      </c>
      <c r="J1443">
        <v>1.5473911127769879</v>
      </c>
      <c r="M1443">
        <f t="shared" si="67"/>
        <v>1.5473911127769879</v>
      </c>
      <c r="N1443">
        <f t="shared" si="68"/>
        <v>1</v>
      </c>
    </row>
    <row r="1444" spans="1:14" x14ac:dyDescent="0.35">
      <c r="A1444" t="str">
        <f t="shared" si="66"/>
        <v>18057110813_2026</v>
      </c>
      <c r="B1444">
        <v>18057110813</v>
      </c>
      <c r="C1444">
        <v>2026</v>
      </c>
      <c r="J1444">
        <v>1.550486398200442</v>
      </c>
      <c r="M1444">
        <f t="shared" si="67"/>
        <v>1.550486398200442</v>
      </c>
      <c r="N1444">
        <f t="shared" si="68"/>
        <v>1</v>
      </c>
    </row>
    <row r="1445" spans="1:14" x14ac:dyDescent="0.35">
      <c r="A1445" t="str">
        <f t="shared" si="66"/>
        <v>18057110813_2027</v>
      </c>
      <c r="B1445">
        <v>18057110813</v>
      </c>
      <c r="C1445">
        <v>2027</v>
      </c>
      <c r="J1445">
        <v>1.5513609175617089</v>
      </c>
      <c r="M1445">
        <f t="shared" si="67"/>
        <v>1.5513609175617089</v>
      </c>
      <c r="N1445">
        <f t="shared" si="68"/>
        <v>1</v>
      </c>
    </row>
    <row r="1446" spans="1:14" x14ac:dyDescent="0.35">
      <c r="A1446" t="str">
        <f t="shared" si="66"/>
        <v>18057110813_2028</v>
      </c>
      <c r="B1446">
        <v>18057110813</v>
      </c>
      <c r="C1446">
        <v>2028</v>
      </c>
      <c r="J1446">
        <v>1.5506160124847239</v>
      </c>
      <c r="M1446">
        <f t="shared" si="67"/>
        <v>1.5506160124847239</v>
      </c>
      <c r="N1446">
        <f t="shared" si="68"/>
        <v>1</v>
      </c>
    </row>
    <row r="1447" spans="1:14" x14ac:dyDescent="0.35">
      <c r="A1447" t="str">
        <f t="shared" si="66"/>
        <v>18057110822_2024</v>
      </c>
      <c r="B1447">
        <v>18057110822</v>
      </c>
      <c r="C1447">
        <v>2024</v>
      </c>
      <c r="J1447">
        <v>1.5375073746847161</v>
      </c>
      <c r="M1447">
        <f t="shared" si="67"/>
        <v>1.5375073746847161</v>
      </c>
      <c r="N1447">
        <f t="shared" si="68"/>
        <v>1</v>
      </c>
    </row>
    <row r="1448" spans="1:14" x14ac:dyDescent="0.35">
      <c r="A1448" t="str">
        <f t="shared" si="66"/>
        <v>18057110822_2025</v>
      </c>
      <c r="B1448">
        <v>18057110822</v>
      </c>
      <c r="C1448">
        <v>2025</v>
      </c>
      <c r="J1448">
        <v>1.5473911127769879</v>
      </c>
      <c r="M1448">
        <f t="shared" si="67"/>
        <v>1.5473911127769879</v>
      </c>
      <c r="N1448">
        <f t="shared" si="68"/>
        <v>1</v>
      </c>
    </row>
    <row r="1449" spans="1:14" x14ac:dyDescent="0.35">
      <c r="A1449" t="str">
        <f t="shared" si="66"/>
        <v>18057110822_2026</v>
      </c>
      <c r="B1449">
        <v>18057110822</v>
      </c>
      <c r="C1449">
        <v>2026</v>
      </c>
      <c r="J1449">
        <v>1.550486398200442</v>
      </c>
      <c r="M1449">
        <f t="shared" si="67"/>
        <v>1.550486398200442</v>
      </c>
      <c r="N1449">
        <f t="shared" si="68"/>
        <v>1</v>
      </c>
    </row>
    <row r="1450" spans="1:14" x14ac:dyDescent="0.35">
      <c r="A1450" t="str">
        <f t="shared" si="66"/>
        <v>18057110822_2027</v>
      </c>
      <c r="B1450">
        <v>18057110822</v>
      </c>
      <c r="C1450">
        <v>2027</v>
      </c>
      <c r="J1450">
        <v>1.5513609175617089</v>
      </c>
      <c r="M1450">
        <f t="shared" si="67"/>
        <v>1.5513609175617089</v>
      </c>
      <c r="N1450">
        <f t="shared" si="68"/>
        <v>1</v>
      </c>
    </row>
    <row r="1451" spans="1:14" x14ac:dyDescent="0.35">
      <c r="A1451" t="str">
        <f t="shared" si="66"/>
        <v>18057110822_2028</v>
      </c>
      <c r="B1451">
        <v>18057110822</v>
      </c>
      <c r="C1451">
        <v>2028</v>
      </c>
      <c r="J1451">
        <v>1.5506160124847239</v>
      </c>
      <c r="M1451">
        <f t="shared" si="67"/>
        <v>1.5506160124847239</v>
      </c>
      <c r="N1451">
        <f t="shared" si="68"/>
        <v>1</v>
      </c>
    </row>
    <row r="1452" spans="1:14" x14ac:dyDescent="0.35">
      <c r="A1452" t="str">
        <f t="shared" si="66"/>
        <v>18057111006_2024</v>
      </c>
      <c r="B1452">
        <v>18057111006</v>
      </c>
      <c r="C1452">
        <v>2024</v>
      </c>
      <c r="J1452">
        <v>1.260194118764874</v>
      </c>
      <c r="M1452">
        <f t="shared" si="67"/>
        <v>1.260194118764874</v>
      </c>
      <c r="N1452">
        <f t="shared" si="68"/>
        <v>1</v>
      </c>
    </row>
    <row r="1453" spans="1:14" x14ac:dyDescent="0.35">
      <c r="A1453" t="str">
        <f t="shared" si="66"/>
        <v>18057111006_2025</v>
      </c>
      <c r="B1453">
        <v>18057111006</v>
      </c>
      <c r="C1453">
        <v>2025</v>
      </c>
      <c r="J1453">
        <v>1.2847811954439741</v>
      </c>
      <c r="M1453">
        <f t="shared" si="67"/>
        <v>1.2847811954439741</v>
      </c>
      <c r="N1453">
        <f t="shared" si="68"/>
        <v>1</v>
      </c>
    </row>
    <row r="1454" spans="1:14" x14ac:dyDescent="0.35">
      <c r="A1454" t="str">
        <f t="shared" si="66"/>
        <v>18057111006_2026</v>
      </c>
      <c r="B1454">
        <v>18057111006</v>
      </c>
      <c r="C1454">
        <v>2026</v>
      </c>
      <c r="J1454">
        <v>1.3093860367404959</v>
      </c>
      <c r="M1454">
        <f t="shared" si="67"/>
        <v>1.3093860367404959</v>
      </c>
      <c r="N1454">
        <f t="shared" si="68"/>
        <v>1</v>
      </c>
    </row>
    <row r="1455" spans="1:14" x14ac:dyDescent="0.35">
      <c r="A1455" t="str">
        <f t="shared" si="66"/>
        <v>18057111006_2027</v>
      </c>
      <c r="B1455">
        <v>18057111006</v>
      </c>
      <c r="C1455">
        <v>2027</v>
      </c>
      <c r="J1455">
        <v>1.335671397907773</v>
      </c>
      <c r="M1455">
        <f t="shared" si="67"/>
        <v>1.335671397907773</v>
      </c>
      <c r="N1455">
        <f t="shared" si="68"/>
        <v>1</v>
      </c>
    </row>
    <row r="1456" spans="1:14" x14ac:dyDescent="0.35">
      <c r="A1456" t="str">
        <f t="shared" si="66"/>
        <v>18057111006_2028</v>
      </c>
      <c r="B1456">
        <v>18057111006</v>
      </c>
      <c r="C1456">
        <v>2028</v>
      </c>
      <c r="J1456">
        <v>1.3641169754340139</v>
      </c>
      <c r="M1456">
        <f t="shared" si="67"/>
        <v>1.3641169754340139</v>
      </c>
      <c r="N1456">
        <f t="shared" si="68"/>
        <v>1</v>
      </c>
    </row>
    <row r="1457" spans="1:14" x14ac:dyDescent="0.35">
      <c r="A1457" t="str">
        <f t="shared" si="66"/>
        <v>18057111101_2024</v>
      </c>
      <c r="B1457">
        <v>18057111101</v>
      </c>
      <c r="C1457">
        <v>2024</v>
      </c>
      <c r="J1457">
        <v>1.260194118764874</v>
      </c>
      <c r="M1457">
        <f t="shared" si="67"/>
        <v>1.260194118764874</v>
      </c>
      <c r="N1457">
        <f t="shared" si="68"/>
        <v>1</v>
      </c>
    </row>
    <row r="1458" spans="1:14" x14ac:dyDescent="0.35">
      <c r="A1458" t="str">
        <f t="shared" si="66"/>
        <v>18057111101_2025</v>
      </c>
      <c r="B1458">
        <v>18057111101</v>
      </c>
      <c r="C1458">
        <v>2025</v>
      </c>
      <c r="J1458">
        <v>1.2847811954439741</v>
      </c>
      <c r="M1458">
        <f t="shared" si="67"/>
        <v>1.2847811954439741</v>
      </c>
      <c r="N1458">
        <f t="shared" si="68"/>
        <v>1</v>
      </c>
    </row>
    <row r="1459" spans="1:14" x14ac:dyDescent="0.35">
      <c r="A1459" t="str">
        <f t="shared" si="66"/>
        <v>18057111101_2026</v>
      </c>
      <c r="B1459">
        <v>18057111101</v>
      </c>
      <c r="C1459">
        <v>2026</v>
      </c>
      <c r="J1459">
        <v>1.3093860367404959</v>
      </c>
      <c r="M1459">
        <f t="shared" si="67"/>
        <v>1.3093860367404959</v>
      </c>
      <c r="N1459">
        <f t="shared" si="68"/>
        <v>1</v>
      </c>
    </row>
    <row r="1460" spans="1:14" x14ac:dyDescent="0.35">
      <c r="A1460" t="str">
        <f t="shared" si="66"/>
        <v>18057111101_2027</v>
      </c>
      <c r="B1460">
        <v>18057111101</v>
      </c>
      <c r="C1460">
        <v>2027</v>
      </c>
      <c r="J1460">
        <v>1.335671397907773</v>
      </c>
      <c r="M1460">
        <f t="shared" si="67"/>
        <v>1.335671397907773</v>
      </c>
      <c r="N1460">
        <f t="shared" si="68"/>
        <v>1</v>
      </c>
    </row>
    <row r="1461" spans="1:14" x14ac:dyDescent="0.35">
      <c r="A1461" t="str">
        <f t="shared" si="66"/>
        <v>18057111101_2028</v>
      </c>
      <c r="B1461">
        <v>18057111101</v>
      </c>
      <c r="C1461">
        <v>2028</v>
      </c>
      <c r="J1461">
        <v>1.3641169754340139</v>
      </c>
      <c r="M1461">
        <f t="shared" si="67"/>
        <v>1.3641169754340139</v>
      </c>
      <c r="N1461">
        <f t="shared" si="68"/>
        <v>1</v>
      </c>
    </row>
    <row r="1462" spans="1:14" x14ac:dyDescent="0.35">
      <c r="A1462" t="str">
        <f t="shared" si="66"/>
        <v>18057111103_2024</v>
      </c>
      <c r="B1462">
        <v>18057111103</v>
      </c>
      <c r="C1462">
        <v>2024</v>
      </c>
      <c r="J1462">
        <v>0.59257573300742583</v>
      </c>
      <c r="K1462">
        <v>-1.061167003210328</v>
      </c>
      <c r="M1462">
        <f t="shared" si="67"/>
        <v>-0.46859127020290214</v>
      </c>
      <c r="N1462">
        <f t="shared" si="68"/>
        <v>2</v>
      </c>
    </row>
    <row r="1463" spans="1:14" x14ac:dyDescent="0.35">
      <c r="A1463" t="str">
        <f t="shared" si="66"/>
        <v>18057111103_2025</v>
      </c>
      <c r="B1463">
        <v>18057111103</v>
      </c>
      <c r="C1463">
        <v>2025</v>
      </c>
      <c r="J1463">
        <v>0.5725074841158716</v>
      </c>
      <c r="K1463">
        <v>-1.0309537285779431</v>
      </c>
      <c r="M1463">
        <f t="shared" si="67"/>
        <v>-0.45844624446207149</v>
      </c>
      <c r="N1463">
        <f t="shared" si="68"/>
        <v>2</v>
      </c>
    </row>
    <row r="1464" spans="1:14" x14ac:dyDescent="0.35">
      <c r="A1464" t="str">
        <f t="shared" si="66"/>
        <v>18057111103_2026</v>
      </c>
      <c r="B1464">
        <v>18057111103</v>
      </c>
      <c r="C1464">
        <v>2026</v>
      </c>
      <c r="J1464">
        <v>0.5464546560751975</v>
      </c>
      <c r="K1464">
        <v>-0.96926118600664801</v>
      </c>
      <c r="M1464">
        <f t="shared" si="67"/>
        <v>-0.42280652993145051</v>
      </c>
      <c r="N1464">
        <f t="shared" si="68"/>
        <v>2</v>
      </c>
    </row>
    <row r="1465" spans="1:14" x14ac:dyDescent="0.35">
      <c r="A1465" t="str">
        <f t="shared" si="66"/>
        <v>18057111103_2027</v>
      </c>
      <c r="B1465">
        <v>18057111103</v>
      </c>
      <c r="C1465">
        <v>2027</v>
      </c>
      <c r="J1465">
        <v>0.51272493527006124</v>
      </c>
      <c r="K1465">
        <v>-0.89033784401904548</v>
      </c>
      <c r="M1465">
        <f t="shared" si="67"/>
        <v>-0.37761290874898423</v>
      </c>
      <c r="N1465">
        <f t="shared" si="68"/>
        <v>2</v>
      </c>
    </row>
    <row r="1466" spans="1:14" x14ac:dyDescent="0.35">
      <c r="A1466" t="str">
        <f t="shared" si="66"/>
        <v>18057111103_2028</v>
      </c>
      <c r="B1466">
        <v>18057111103</v>
      </c>
      <c r="C1466">
        <v>2028</v>
      </c>
      <c r="J1466">
        <v>0.46954922517338138</v>
      </c>
      <c r="K1466">
        <v>-0.79826487122062451</v>
      </c>
      <c r="M1466">
        <f t="shared" si="67"/>
        <v>-0.32871564604724313</v>
      </c>
      <c r="N1466">
        <f t="shared" si="68"/>
        <v>2</v>
      </c>
    </row>
    <row r="1467" spans="1:14" x14ac:dyDescent="0.35">
      <c r="A1467" t="str">
        <f t="shared" si="66"/>
        <v>18057111104_2024</v>
      </c>
      <c r="B1467">
        <v>18057111104</v>
      </c>
      <c r="C1467">
        <v>2024</v>
      </c>
      <c r="J1467">
        <v>1.260194118764874</v>
      </c>
      <c r="M1467">
        <f t="shared" si="67"/>
        <v>1.260194118764874</v>
      </c>
      <c r="N1467">
        <f t="shared" si="68"/>
        <v>1</v>
      </c>
    </row>
    <row r="1468" spans="1:14" x14ac:dyDescent="0.35">
      <c r="A1468" t="str">
        <f t="shared" si="66"/>
        <v>18057111104_2025</v>
      </c>
      <c r="B1468">
        <v>18057111104</v>
      </c>
      <c r="C1468">
        <v>2025</v>
      </c>
      <c r="J1468">
        <v>1.2847811954439741</v>
      </c>
      <c r="M1468">
        <f t="shared" si="67"/>
        <v>1.2847811954439741</v>
      </c>
      <c r="N1468">
        <f t="shared" si="68"/>
        <v>1</v>
      </c>
    </row>
    <row r="1469" spans="1:14" x14ac:dyDescent="0.35">
      <c r="A1469" t="str">
        <f t="shared" si="66"/>
        <v>18057111104_2026</v>
      </c>
      <c r="B1469">
        <v>18057111104</v>
      </c>
      <c r="C1469">
        <v>2026</v>
      </c>
      <c r="J1469">
        <v>1.3093860367404959</v>
      </c>
      <c r="M1469">
        <f t="shared" si="67"/>
        <v>1.3093860367404959</v>
      </c>
      <c r="N1469">
        <f t="shared" si="68"/>
        <v>1</v>
      </c>
    </row>
    <row r="1470" spans="1:14" x14ac:dyDescent="0.35">
      <c r="A1470" t="str">
        <f t="shared" si="66"/>
        <v>18057111104_2027</v>
      </c>
      <c r="B1470">
        <v>18057111104</v>
      </c>
      <c r="C1470">
        <v>2027</v>
      </c>
      <c r="J1470">
        <v>1.335671397907773</v>
      </c>
      <c r="M1470">
        <f t="shared" si="67"/>
        <v>1.335671397907773</v>
      </c>
      <c r="N1470">
        <f t="shared" si="68"/>
        <v>1</v>
      </c>
    </row>
    <row r="1471" spans="1:14" x14ac:dyDescent="0.35">
      <c r="A1471" t="str">
        <f t="shared" si="66"/>
        <v>18057111104_2028</v>
      </c>
      <c r="B1471">
        <v>18057111104</v>
      </c>
      <c r="C1471">
        <v>2028</v>
      </c>
      <c r="J1471">
        <v>1.3641169754340139</v>
      </c>
      <c r="M1471">
        <f t="shared" si="67"/>
        <v>1.3641169754340139</v>
      </c>
      <c r="N1471">
        <f t="shared" si="68"/>
        <v>1</v>
      </c>
    </row>
    <row r="1472" spans="1:14" x14ac:dyDescent="0.35">
      <c r="A1472" t="str">
        <f t="shared" si="66"/>
        <v>18059410801_2024</v>
      </c>
      <c r="B1472">
        <v>18059410801</v>
      </c>
      <c r="C1472">
        <v>2024</v>
      </c>
      <c r="J1472">
        <v>-0.203166001336474</v>
      </c>
      <c r="M1472">
        <f t="shared" si="67"/>
        <v>-0.203166001336474</v>
      </c>
      <c r="N1472">
        <f t="shared" si="68"/>
        <v>1</v>
      </c>
    </row>
    <row r="1473" spans="1:14" x14ac:dyDescent="0.35">
      <c r="A1473" t="str">
        <f t="shared" si="66"/>
        <v>18059410801_2025</v>
      </c>
      <c r="B1473">
        <v>18059410801</v>
      </c>
      <c r="C1473">
        <v>2025</v>
      </c>
      <c r="J1473">
        <v>-0.2040175429650127</v>
      </c>
      <c r="M1473">
        <f t="shared" si="67"/>
        <v>-0.2040175429650127</v>
      </c>
      <c r="N1473">
        <f t="shared" si="68"/>
        <v>1</v>
      </c>
    </row>
    <row r="1474" spans="1:14" x14ac:dyDescent="0.35">
      <c r="A1474" t="str">
        <f t="shared" si="66"/>
        <v>18059410801_2026</v>
      </c>
      <c r="B1474">
        <v>18059410801</v>
      </c>
      <c r="C1474">
        <v>2026</v>
      </c>
      <c r="J1474">
        <v>-0.21547219454183841</v>
      </c>
      <c r="M1474">
        <f t="shared" si="67"/>
        <v>-0.21547219454183841</v>
      </c>
      <c r="N1474">
        <f t="shared" si="68"/>
        <v>1</v>
      </c>
    </row>
    <row r="1475" spans="1:14" x14ac:dyDescent="0.35">
      <c r="A1475" t="str">
        <f t="shared" ref="A1475:A1538" si="69">TEXT(B1475,0)&amp;"_"&amp;TEXT(C1475,0)</f>
        <v>18059410801_2027</v>
      </c>
      <c r="B1475">
        <v>18059410801</v>
      </c>
      <c r="C1475">
        <v>2027</v>
      </c>
      <c r="J1475">
        <v>-0.2345741997607767</v>
      </c>
      <c r="M1475">
        <f t="shared" ref="M1475:M1538" si="70">SUM(D1475:K1475)</f>
        <v>-0.2345741997607767</v>
      </c>
      <c r="N1475">
        <f t="shared" ref="N1475:N1538" si="71">IF(D1475=0,0,1)+IF(E1475=0,0,1)+IF(F1475=0,0,1)+IF(G1475=0,0,1)+IF(H1475=0,0,1)+IF(I1475=0,0,1)++IF(J1475=0,0,1)++IF(K1475=0,0,1)</f>
        <v>1</v>
      </c>
    </row>
    <row r="1476" spans="1:14" x14ac:dyDescent="0.35">
      <c r="A1476" t="str">
        <f t="shared" si="69"/>
        <v>18059410801_2028</v>
      </c>
      <c r="B1476">
        <v>18059410801</v>
      </c>
      <c r="C1476">
        <v>2028</v>
      </c>
      <c r="J1476">
        <v>-0.26148460552177061</v>
      </c>
      <c r="M1476">
        <f t="shared" si="70"/>
        <v>-0.26148460552177061</v>
      </c>
      <c r="N1476">
        <f t="shared" si="71"/>
        <v>1</v>
      </c>
    </row>
    <row r="1477" spans="1:14" x14ac:dyDescent="0.35">
      <c r="A1477" t="str">
        <f t="shared" si="69"/>
        <v>18059410802_2024</v>
      </c>
      <c r="B1477">
        <v>18059410802</v>
      </c>
      <c r="C1477">
        <v>2024</v>
      </c>
      <c r="J1477">
        <v>0.9228773138270312</v>
      </c>
      <c r="K1477">
        <v>1.2324784627312591</v>
      </c>
      <c r="M1477">
        <f t="shared" si="70"/>
        <v>2.1553557765582902</v>
      </c>
      <c r="N1477">
        <f t="shared" si="71"/>
        <v>2</v>
      </c>
    </row>
    <row r="1478" spans="1:14" x14ac:dyDescent="0.35">
      <c r="A1478" t="str">
        <f t="shared" si="69"/>
        <v>18059410802_2025</v>
      </c>
      <c r="B1478">
        <v>18059410802</v>
      </c>
      <c r="C1478">
        <v>2025</v>
      </c>
      <c r="J1478">
        <v>0.94653607119088523</v>
      </c>
      <c r="K1478">
        <v>1.05630920921299</v>
      </c>
      <c r="M1478">
        <f t="shared" si="70"/>
        <v>2.002845280403875</v>
      </c>
      <c r="N1478">
        <f t="shared" si="71"/>
        <v>2</v>
      </c>
    </row>
    <row r="1479" spans="1:14" x14ac:dyDescent="0.35">
      <c r="A1479" t="str">
        <f t="shared" si="69"/>
        <v>18059410802_2026</v>
      </c>
      <c r="B1479">
        <v>18059410802</v>
      </c>
      <c r="C1479">
        <v>2026</v>
      </c>
      <c r="J1479">
        <v>0.96451433213760041</v>
      </c>
      <c r="K1479">
        <v>0.82058815092136428</v>
      </c>
      <c r="M1479">
        <f t="shared" si="70"/>
        <v>1.7851024830589646</v>
      </c>
      <c r="N1479">
        <f t="shared" si="71"/>
        <v>2</v>
      </c>
    </row>
    <row r="1480" spans="1:14" x14ac:dyDescent="0.35">
      <c r="A1480" t="str">
        <f t="shared" si="69"/>
        <v>18059410802_2027</v>
      </c>
      <c r="B1480">
        <v>18059410802</v>
      </c>
      <c r="C1480">
        <v>2027</v>
      </c>
      <c r="J1480">
        <v>0.9808547080726816</v>
      </c>
      <c r="K1480">
        <v>0.60341021871459699</v>
      </c>
      <c r="M1480">
        <f t="shared" si="70"/>
        <v>1.5842649267872786</v>
      </c>
      <c r="N1480">
        <f t="shared" si="71"/>
        <v>2</v>
      </c>
    </row>
    <row r="1481" spans="1:14" x14ac:dyDescent="0.35">
      <c r="A1481" t="str">
        <f t="shared" si="69"/>
        <v>18059410802_2028</v>
      </c>
      <c r="B1481">
        <v>18059410802</v>
      </c>
      <c r="C1481">
        <v>2028</v>
      </c>
      <c r="J1481">
        <v>0.99658435561699776</v>
      </c>
      <c r="K1481">
        <v>0.4034743948117821</v>
      </c>
      <c r="M1481">
        <f t="shared" si="70"/>
        <v>1.4000587504287798</v>
      </c>
      <c r="N1481">
        <f t="shared" si="71"/>
        <v>2</v>
      </c>
    </row>
    <row r="1482" spans="1:14" x14ac:dyDescent="0.35">
      <c r="A1482" t="str">
        <f t="shared" si="69"/>
        <v>18059410901_2024</v>
      </c>
      <c r="B1482">
        <v>18059410901</v>
      </c>
      <c r="C1482">
        <v>2024</v>
      </c>
      <c r="J1482">
        <v>-0.20957223208171269</v>
      </c>
      <c r="M1482">
        <f t="shared" si="70"/>
        <v>-0.20957223208171269</v>
      </c>
      <c r="N1482">
        <f t="shared" si="71"/>
        <v>1</v>
      </c>
    </row>
    <row r="1483" spans="1:14" x14ac:dyDescent="0.35">
      <c r="A1483" t="str">
        <f t="shared" si="69"/>
        <v>18059410901_2025</v>
      </c>
      <c r="B1483">
        <v>18059410901</v>
      </c>
      <c r="C1483">
        <v>2025</v>
      </c>
      <c r="J1483">
        <v>-0.20917402379103639</v>
      </c>
      <c r="M1483">
        <f t="shared" si="70"/>
        <v>-0.20917402379103639</v>
      </c>
      <c r="N1483">
        <f t="shared" si="71"/>
        <v>1</v>
      </c>
    </row>
    <row r="1484" spans="1:14" x14ac:dyDescent="0.35">
      <c r="A1484" t="str">
        <f t="shared" si="69"/>
        <v>18059410901_2026</v>
      </c>
      <c r="B1484">
        <v>18059410901</v>
      </c>
      <c r="C1484">
        <v>2026</v>
      </c>
      <c r="J1484">
        <v>-0.21915751584983939</v>
      </c>
      <c r="M1484">
        <f t="shared" si="70"/>
        <v>-0.21915751584983939</v>
      </c>
      <c r="N1484">
        <f t="shared" si="71"/>
        <v>1</v>
      </c>
    </row>
    <row r="1485" spans="1:14" x14ac:dyDescent="0.35">
      <c r="A1485" t="str">
        <f t="shared" si="69"/>
        <v>18059410901_2027</v>
      </c>
      <c r="B1485">
        <v>18059410901</v>
      </c>
      <c r="C1485">
        <v>2027</v>
      </c>
      <c r="J1485">
        <v>-0.23651986663416641</v>
      </c>
      <c r="M1485">
        <f t="shared" si="70"/>
        <v>-0.23651986663416641</v>
      </c>
      <c r="N1485">
        <f t="shared" si="71"/>
        <v>1</v>
      </c>
    </row>
    <row r="1486" spans="1:14" x14ac:dyDescent="0.35">
      <c r="A1486" t="str">
        <f t="shared" si="69"/>
        <v>18059410901_2028</v>
      </c>
      <c r="B1486">
        <v>18059410901</v>
      </c>
      <c r="C1486">
        <v>2028</v>
      </c>
      <c r="J1486">
        <v>-0.26134340238302473</v>
      </c>
      <c r="M1486">
        <f t="shared" si="70"/>
        <v>-0.26134340238302473</v>
      </c>
      <c r="N1486">
        <f t="shared" si="71"/>
        <v>1</v>
      </c>
    </row>
    <row r="1487" spans="1:14" x14ac:dyDescent="0.35">
      <c r="A1487" t="str">
        <f t="shared" si="69"/>
        <v>18059410902_2024</v>
      </c>
      <c r="B1487">
        <v>18059410902</v>
      </c>
      <c r="C1487">
        <v>2024</v>
      </c>
      <c r="J1487">
        <v>-0.2081426311182725</v>
      </c>
      <c r="K1487">
        <v>0.67820839572481217</v>
      </c>
      <c r="M1487">
        <f t="shared" si="70"/>
        <v>0.4700657646065397</v>
      </c>
      <c r="N1487">
        <f t="shared" si="71"/>
        <v>2</v>
      </c>
    </row>
    <row r="1488" spans="1:14" x14ac:dyDescent="0.35">
      <c r="A1488" t="str">
        <f t="shared" si="69"/>
        <v>18059410902_2025</v>
      </c>
      <c r="B1488">
        <v>18059410902</v>
      </c>
      <c r="C1488">
        <v>2025</v>
      </c>
      <c r="J1488">
        <v>-0.20908075318575409</v>
      </c>
      <c r="K1488">
        <v>0.52064385801138768</v>
      </c>
      <c r="M1488">
        <f t="shared" si="70"/>
        <v>0.3115631048256336</v>
      </c>
      <c r="N1488">
        <f t="shared" si="71"/>
        <v>2</v>
      </c>
    </row>
    <row r="1489" spans="1:14" x14ac:dyDescent="0.35">
      <c r="A1489" t="str">
        <f t="shared" si="69"/>
        <v>18059410902_2026</v>
      </c>
      <c r="B1489">
        <v>18059410902</v>
      </c>
      <c r="C1489">
        <v>2026</v>
      </c>
      <c r="J1489">
        <v>-0.22063208327512759</v>
      </c>
      <c r="K1489">
        <v>0.49345579860691302</v>
      </c>
      <c r="M1489">
        <f t="shared" si="70"/>
        <v>0.2728237153317854</v>
      </c>
      <c r="N1489">
        <f t="shared" si="71"/>
        <v>2</v>
      </c>
    </row>
    <row r="1490" spans="1:14" x14ac:dyDescent="0.35">
      <c r="A1490" t="str">
        <f t="shared" si="69"/>
        <v>18059410902_2027</v>
      </c>
      <c r="B1490">
        <v>18059410902</v>
      </c>
      <c r="C1490">
        <v>2027</v>
      </c>
      <c r="J1490">
        <v>-0.2398469971340513</v>
      </c>
      <c r="K1490">
        <v>0.49111500994027629</v>
      </c>
      <c r="M1490">
        <f t="shared" si="70"/>
        <v>0.25126801280622502</v>
      </c>
      <c r="N1490">
        <f t="shared" si="71"/>
        <v>2</v>
      </c>
    </row>
    <row r="1491" spans="1:14" x14ac:dyDescent="0.35">
      <c r="A1491" t="str">
        <f t="shared" si="69"/>
        <v>18059410902_2028</v>
      </c>
      <c r="B1491">
        <v>18059410902</v>
      </c>
      <c r="C1491">
        <v>2028</v>
      </c>
      <c r="J1491">
        <v>-0.26688906324679268</v>
      </c>
      <c r="K1491">
        <v>0.35910572092086313</v>
      </c>
      <c r="M1491">
        <f t="shared" si="70"/>
        <v>9.2216657674070446E-2</v>
      </c>
      <c r="N1491">
        <f t="shared" si="71"/>
        <v>2</v>
      </c>
    </row>
    <row r="1492" spans="1:14" x14ac:dyDescent="0.35">
      <c r="A1492" t="str">
        <f t="shared" si="69"/>
        <v>18063210106_2024</v>
      </c>
      <c r="B1492">
        <v>18063210106</v>
      </c>
      <c r="C1492">
        <v>2024</v>
      </c>
      <c r="J1492">
        <v>2.6369195886497332</v>
      </c>
      <c r="K1492">
        <v>1.694443976110025</v>
      </c>
      <c r="M1492">
        <f t="shared" si="70"/>
        <v>4.3313635647597586</v>
      </c>
      <c r="N1492">
        <f t="shared" si="71"/>
        <v>2</v>
      </c>
    </row>
    <row r="1493" spans="1:14" x14ac:dyDescent="0.35">
      <c r="A1493" t="str">
        <f t="shared" si="69"/>
        <v>18063210106_2025</v>
      </c>
      <c r="B1493">
        <v>18063210106</v>
      </c>
      <c r="C1493">
        <v>2025</v>
      </c>
      <c r="J1493">
        <v>2.6438875938152999</v>
      </c>
      <c r="K1493">
        <v>1.5380800679615969</v>
      </c>
      <c r="M1493">
        <f t="shared" si="70"/>
        <v>4.1819676617768966</v>
      </c>
      <c r="N1493">
        <f t="shared" si="71"/>
        <v>2</v>
      </c>
    </row>
    <row r="1494" spans="1:14" x14ac:dyDescent="0.35">
      <c r="A1494" t="str">
        <f t="shared" si="69"/>
        <v>18063210106_2026</v>
      </c>
      <c r="B1494">
        <v>18063210106</v>
      </c>
      <c r="C1494">
        <v>2026</v>
      </c>
      <c r="J1494">
        <v>2.6599933619675209</v>
      </c>
      <c r="K1494">
        <v>1.4714350302462449</v>
      </c>
      <c r="M1494">
        <f t="shared" si="70"/>
        <v>4.131428392213766</v>
      </c>
      <c r="N1494">
        <f t="shared" si="71"/>
        <v>2</v>
      </c>
    </row>
    <row r="1495" spans="1:14" x14ac:dyDescent="0.35">
      <c r="A1495" t="str">
        <f t="shared" si="69"/>
        <v>18063210106_2027</v>
      </c>
      <c r="B1495">
        <v>18063210106</v>
      </c>
      <c r="C1495">
        <v>2027</v>
      </c>
      <c r="J1495">
        <v>2.683107943309238</v>
      </c>
      <c r="K1495">
        <v>1.261232554577711</v>
      </c>
      <c r="M1495">
        <f t="shared" si="70"/>
        <v>3.944340497886949</v>
      </c>
      <c r="N1495">
        <f t="shared" si="71"/>
        <v>2</v>
      </c>
    </row>
    <row r="1496" spans="1:14" x14ac:dyDescent="0.35">
      <c r="A1496" t="str">
        <f t="shared" si="69"/>
        <v>18063210106_2028</v>
      </c>
      <c r="B1496">
        <v>18063210106</v>
      </c>
      <c r="C1496">
        <v>2028</v>
      </c>
      <c r="J1496">
        <v>2.7127665398705472</v>
      </c>
      <c r="K1496">
        <v>1.1034591320276581</v>
      </c>
      <c r="M1496">
        <f t="shared" si="70"/>
        <v>3.8162256718982053</v>
      </c>
      <c r="N1496">
        <f t="shared" si="71"/>
        <v>2</v>
      </c>
    </row>
    <row r="1497" spans="1:14" x14ac:dyDescent="0.35">
      <c r="A1497" t="str">
        <f t="shared" si="69"/>
        <v>18063210107_2024</v>
      </c>
      <c r="B1497">
        <v>18063210107</v>
      </c>
      <c r="C1497">
        <v>2024</v>
      </c>
      <c r="J1497">
        <v>2.663318246642933</v>
      </c>
      <c r="M1497">
        <f t="shared" si="70"/>
        <v>2.663318246642933</v>
      </c>
      <c r="N1497">
        <f t="shared" si="71"/>
        <v>1</v>
      </c>
    </row>
    <row r="1498" spans="1:14" x14ac:dyDescent="0.35">
      <c r="A1498" t="str">
        <f t="shared" si="69"/>
        <v>18063210107_2025</v>
      </c>
      <c r="B1498">
        <v>18063210107</v>
      </c>
      <c r="C1498">
        <v>2025</v>
      </c>
      <c r="J1498">
        <v>2.6703567024238581</v>
      </c>
      <c r="M1498">
        <f t="shared" si="70"/>
        <v>2.6703567024238581</v>
      </c>
      <c r="N1498">
        <f t="shared" si="71"/>
        <v>1</v>
      </c>
    </row>
    <row r="1499" spans="1:14" x14ac:dyDescent="0.35">
      <c r="A1499" t="str">
        <f t="shared" si="69"/>
        <v>18063210107_2026</v>
      </c>
      <c r="B1499">
        <v>18063210107</v>
      </c>
      <c r="C1499">
        <v>2026</v>
      </c>
      <c r="J1499">
        <v>2.6867193563821008</v>
      </c>
      <c r="M1499">
        <f t="shared" si="70"/>
        <v>2.6867193563821008</v>
      </c>
      <c r="N1499">
        <f t="shared" si="71"/>
        <v>1</v>
      </c>
    </row>
    <row r="1500" spans="1:14" x14ac:dyDescent="0.35">
      <c r="A1500" t="str">
        <f t="shared" si="69"/>
        <v>18063210107_2027</v>
      </c>
      <c r="B1500">
        <v>18063210107</v>
      </c>
      <c r="C1500">
        <v>2027</v>
      </c>
      <c r="J1500">
        <v>2.710267105719828</v>
      </c>
      <c r="M1500">
        <f t="shared" si="70"/>
        <v>2.710267105719828</v>
      </c>
      <c r="N1500">
        <f t="shared" si="71"/>
        <v>1</v>
      </c>
    </row>
    <row r="1501" spans="1:14" x14ac:dyDescent="0.35">
      <c r="A1501" t="str">
        <f t="shared" si="69"/>
        <v>18063210107_2028</v>
      </c>
      <c r="B1501">
        <v>18063210107</v>
      </c>
      <c r="C1501">
        <v>2028</v>
      </c>
      <c r="J1501">
        <v>2.740540387416476</v>
      </c>
      <c r="M1501">
        <f t="shared" si="70"/>
        <v>2.740540387416476</v>
      </c>
      <c r="N1501">
        <f t="shared" si="71"/>
        <v>1</v>
      </c>
    </row>
    <row r="1502" spans="1:14" x14ac:dyDescent="0.35">
      <c r="A1502" t="str">
        <f t="shared" si="69"/>
        <v>18063210108_2024</v>
      </c>
      <c r="B1502">
        <v>18063210108</v>
      </c>
      <c r="C1502">
        <v>2024</v>
      </c>
      <c r="J1502">
        <v>0.72597082088935061</v>
      </c>
      <c r="K1502">
        <v>1.6944442199938601</v>
      </c>
      <c r="M1502">
        <f t="shared" si="70"/>
        <v>2.4204150408832108</v>
      </c>
      <c r="N1502">
        <f t="shared" si="71"/>
        <v>2</v>
      </c>
    </row>
    <row r="1503" spans="1:14" x14ac:dyDescent="0.35">
      <c r="A1503" t="str">
        <f t="shared" si="69"/>
        <v>18063210108_2025</v>
      </c>
      <c r="B1503">
        <v>18063210108</v>
      </c>
      <c r="C1503">
        <v>2025</v>
      </c>
      <c r="J1503">
        <v>0.74008484826007881</v>
      </c>
      <c r="K1503">
        <v>1.538079772875889</v>
      </c>
      <c r="M1503">
        <f t="shared" si="70"/>
        <v>2.2781646211359678</v>
      </c>
      <c r="N1503">
        <f t="shared" si="71"/>
        <v>2</v>
      </c>
    </row>
    <row r="1504" spans="1:14" x14ac:dyDescent="0.35">
      <c r="A1504" t="str">
        <f t="shared" si="69"/>
        <v>18063210108_2026</v>
      </c>
      <c r="B1504">
        <v>18063210108</v>
      </c>
      <c r="C1504">
        <v>2026</v>
      </c>
      <c r="J1504">
        <v>0.74989384821196226</v>
      </c>
      <c r="K1504">
        <v>1.4714351391861149</v>
      </c>
      <c r="M1504">
        <f t="shared" si="70"/>
        <v>2.2213289873980773</v>
      </c>
      <c r="N1504">
        <f t="shared" si="71"/>
        <v>2</v>
      </c>
    </row>
    <row r="1505" spans="1:14" x14ac:dyDescent="0.35">
      <c r="A1505" t="str">
        <f t="shared" si="69"/>
        <v>18063210108_2027</v>
      </c>
      <c r="B1505">
        <v>18063210108</v>
      </c>
      <c r="C1505">
        <v>2027</v>
      </c>
      <c r="J1505">
        <v>0.75688948402208367</v>
      </c>
      <c r="K1505">
        <v>1.2612322158098821</v>
      </c>
      <c r="M1505">
        <f t="shared" si="70"/>
        <v>2.0181216998319655</v>
      </c>
      <c r="N1505">
        <f t="shared" si="71"/>
        <v>2</v>
      </c>
    </row>
    <row r="1506" spans="1:14" x14ac:dyDescent="0.35">
      <c r="A1506" t="str">
        <f t="shared" si="69"/>
        <v>18063210108_2028</v>
      </c>
      <c r="B1506">
        <v>18063210108</v>
      </c>
      <c r="C1506">
        <v>2028</v>
      </c>
      <c r="J1506">
        <v>0.76140849300724533</v>
      </c>
      <c r="K1506">
        <v>1.1034590691700841</v>
      </c>
      <c r="M1506">
        <f t="shared" si="70"/>
        <v>1.8648675621773294</v>
      </c>
      <c r="N1506">
        <f t="shared" si="71"/>
        <v>2</v>
      </c>
    </row>
    <row r="1507" spans="1:14" x14ac:dyDescent="0.35">
      <c r="A1507" t="str">
        <f t="shared" si="69"/>
        <v>18063210109_2024</v>
      </c>
      <c r="B1507">
        <v>18063210109</v>
      </c>
      <c r="C1507">
        <v>2024</v>
      </c>
      <c r="J1507">
        <v>0.72597082088935061</v>
      </c>
      <c r="K1507">
        <v>1.6944442199938601</v>
      </c>
      <c r="M1507">
        <f t="shared" si="70"/>
        <v>2.4204150408832108</v>
      </c>
      <c r="N1507">
        <f t="shared" si="71"/>
        <v>2</v>
      </c>
    </row>
    <row r="1508" spans="1:14" x14ac:dyDescent="0.35">
      <c r="A1508" t="str">
        <f t="shared" si="69"/>
        <v>18063210109_2025</v>
      </c>
      <c r="B1508">
        <v>18063210109</v>
      </c>
      <c r="C1508">
        <v>2025</v>
      </c>
      <c r="J1508">
        <v>0.74008484826007881</v>
      </c>
      <c r="K1508">
        <v>1.538079772875889</v>
      </c>
      <c r="M1508">
        <f t="shared" si="70"/>
        <v>2.2781646211359678</v>
      </c>
      <c r="N1508">
        <f t="shared" si="71"/>
        <v>2</v>
      </c>
    </row>
    <row r="1509" spans="1:14" x14ac:dyDescent="0.35">
      <c r="A1509" t="str">
        <f t="shared" si="69"/>
        <v>18063210109_2026</v>
      </c>
      <c r="B1509">
        <v>18063210109</v>
      </c>
      <c r="C1509">
        <v>2026</v>
      </c>
      <c r="J1509">
        <v>0.74989384821196226</v>
      </c>
      <c r="K1509">
        <v>1.4714351391861149</v>
      </c>
      <c r="M1509">
        <f t="shared" si="70"/>
        <v>2.2213289873980773</v>
      </c>
      <c r="N1509">
        <f t="shared" si="71"/>
        <v>2</v>
      </c>
    </row>
    <row r="1510" spans="1:14" x14ac:dyDescent="0.35">
      <c r="A1510" t="str">
        <f t="shared" si="69"/>
        <v>18063210109_2027</v>
      </c>
      <c r="B1510">
        <v>18063210109</v>
      </c>
      <c r="C1510">
        <v>2027</v>
      </c>
      <c r="J1510">
        <v>0.75688948402208367</v>
      </c>
      <c r="K1510">
        <v>1.2612322158098821</v>
      </c>
      <c r="M1510">
        <f t="shared" si="70"/>
        <v>2.0181216998319655</v>
      </c>
      <c r="N1510">
        <f t="shared" si="71"/>
        <v>2</v>
      </c>
    </row>
    <row r="1511" spans="1:14" x14ac:dyDescent="0.35">
      <c r="A1511" t="str">
        <f t="shared" si="69"/>
        <v>18063210109_2028</v>
      </c>
      <c r="B1511">
        <v>18063210109</v>
      </c>
      <c r="C1511">
        <v>2028</v>
      </c>
      <c r="J1511">
        <v>0.76140849300724533</v>
      </c>
      <c r="K1511">
        <v>1.1034590691700841</v>
      </c>
      <c r="M1511">
        <f t="shared" si="70"/>
        <v>1.8648675621773294</v>
      </c>
      <c r="N1511">
        <f t="shared" si="71"/>
        <v>2</v>
      </c>
    </row>
    <row r="1512" spans="1:14" x14ac:dyDescent="0.35">
      <c r="A1512" t="str">
        <f t="shared" si="69"/>
        <v>18063210607_2024</v>
      </c>
      <c r="B1512">
        <v>18063210607</v>
      </c>
      <c r="C1512">
        <v>2024</v>
      </c>
      <c r="J1512">
        <v>0.37880716827221123</v>
      </c>
      <c r="M1512">
        <f t="shared" si="70"/>
        <v>0.37880716827221123</v>
      </c>
      <c r="N1512">
        <f t="shared" si="71"/>
        <v>1</v>
      </c>
    </row>
    <row r="1513" spans="1:14" x14ac:dyDescent="0.35">
      <c r="A1513" t="str">
        <f t="shared" si="69"/>
        <v>18063210607_2025</v>
      </c>
      <c r="B1513">
        <v>18063210607</v>
      </c>
      <c r="C1513">
        <v>2025</v>
      </c>
      <c r="J1513">
        <v>0.38103769437020252</v>
      </c>
      <c r="M1513">
        <f t="shared" si="70"/>
        <v>0.38103769437020252</v>
      </c>
      <c r="N1513">
        <f t="shared" si="71"/>
        <v>1</v>
      </c>
    </row>
    <row r="1514" spans="1:14" x14ac:dyDescent="0.35">
      <c r="A1514" t="str">
        <f t="shared" si="69"/>
        <v>18063210607_2026</v>
      </c>
      <c r="B1514">
        <v>18063210607</v>
      </c>
      <c r="C1514">
        <v>2026</v>
      </c>
      <c r="J1514">
        <v>0.38056829117611551</v>
      </c>
      <c r="M1514">
        <f t="shared" si="70"/>
        <v>0.38056829117611551</v>
      </c>
      <c r="N1514">
        <f t="shared" si="71"/>
        <v>1</v>
      </c>
    </row>
    <row r="1515" spans="1:14" x14ac:dyDescent="0.35">
      <c r="A1515" t="str">
        <f t="shared" si="69"/>
        <v>18063210607_2027</v>
      </c>
      <c r="B1515">
        <v>18063210607</v>
      </c>
      <c r="C1515">
        <v>2027</v>
      </c>
      <c r="J1515">
        <v>0.37614499111965249</v>
      </c>
      <c r="M1515">
        <f t="shared" si="70"/>
        <v>0.37614499111965249</v>
      </c>
      <c r="N1515">
        <f t="shared" si="71"/>
        <v>1</v>
      </c>
    </row>
    <row r="1516" spans="1:14" x14ac:dyDescent="0.35">
      <c r="A1516" t="str">
        <f t="shared" si="69"/>
        <v>18063210607_2028</v>
      </c>
      <c r="B1516">
        <v>18063210607</v>
      </c>
      <c r="C1516">
        <v>2028</v>
      </c>
      <c r="J1516">
        <v>0.36705844052550868</v>
      </c>
      <c r="M1516">
        <f t="shared" si="70"/>
        <v>0.36705844052550868</v>
      </c>
      <c r="N1516">
        <f t="shared" si="71"/>
        <v>1</v>
      </c>
    </row>
    <row r="1517" spans="1:14" x14ac:dyDescent="0.35">
      <c r="A1517" t="str">
        <f t="shared" si="69"/>
        <v>18063210608_2024</v>
      </c>
      <c r="B1517">
        <v>18063210608</v>
      </c>
      <c r="C1517">
        <v>2024</v>
      </c>
      <c r="J1517">
        <v>0.37880716827221123</v>
      </c>
      <c r="M1517">
        <f t="shared" si="70"/>
        <v>0.37880716827221123</v>
      </c>
      <c r="N1517">
        <f t="shared" si="71"/>
        <v>1</v>
      </c>
    </row>
    <row r="1518" spans="1:14" x14ac:dyDescent="0.35">
      <c r="A1518" t="str">
        <f t="shared" si="69"/>
        <v>18063210608_2025</v>
      </c>
      <c r="B1518">
        <v>18063210608</v>
      </c>
      <c r="C1518">
        <v>2025</v>
      </c>
      <c r="J1518">
        <v>0.38103769437020252</v>
      </c>
      <c r="M1518">
        <f t="shared" si="70"/>
        <v>0.38103769437020252</v>
      </c>
      <c r="N1518">
        <f t="shared" si="71"/>
        <v>1</v>
      </c>
    </row>
    <row r="1519" spans="1:14" x14ac:dyDescent="0.35">
      <c r="A1519" t="str">
        <f t="shared" si="69"/>
        <v>18063210608_2026</v>
      </c>
      <c r="B1519">
        <v>18063210608</v>
      </c>
      <c r="C1519">
        <v>2026</v>
      </c>
      <c r="J1519">
        <v>0.38056829117611551</v>
      </c>
      <c r="M1519">
        <f t="shared" si="70"/>
        <v>0.38056829117611551</v>
      </c>
      <c r="N1519">
        <f t="shared" si="71"/>
        <v>1</v>
      </c>
    </row>
    <row r="1520" spans="1:14" x14ac:dyDescent="0.35">
      <c r="A1520" t="str">
        <f t="shared" si="69"/>
        <v>18063210608_2027</v>
      </c>
      <c r="B1520">
        <v>18063210608</v>
      </c>
      <c r="C1520">
        <v>2027</v>
      </c>
      <c r="J1520">
        <v>0.37614499111965249</v>
      </c>
      <c r="M1520">
        <f t="shared" si="70"/>
        <v>0.37614499111965249</v>
      </c>
      <c r="N1520">
        <f t="shared" si="71"/>
        <v>1</v>
      </c>
    </row>
    <row r="1521" spans="1:14" x14ac:dyDescent="0.35">
      <c r="A1521" t="str">
        <f t="shared" si="69"/>
        <v>18063210608_2028</v>
      </c>
      <c r="B1521">
        <v>18063210608</v>
      </c>
      <c r="C1521">
        <v>2028</v>
      </c>
      <c r="J1521">
        <v>0.36705844052550868</v>
      </c>
      <c r="M1521">
        <f t="shared" si="70"/>
        <v>0.36705844052550868</v>
      </c>
      <c r="N1521">
        <f t="shared" si="71"/>
        <v>1</v>
      </c>
    </row>
    <row r="1522" spans="1:14" x14ac:dyDescent="0.35">
      <c r="A1522" t="str">
        <f t="shared" si="69"/>
        <v>18063210611_2024</v>
      </c>
      <c r="B1522">
        <v>18063210611</v>
      </c>
      <c r="C1522">
        <v>2024</v>
      </c>
      <c r="J1522">
        <v>0.72597082088935061</v>
      </c>
      <c r="K1522">
        <v>1.6944442199938601</v>
      </c>
      <c r="M1522">
        <f t="shared" si="70"/>
        <v>2.4204150408832108</v>
      </c>
      <c r="N1522">
        <f t="shared" si="71"/>
        <v>2</v>
      </c>
    </row>
    <row r="1523" spans="1:14" x14ac:dyDescent="0.35">
      <c r="A1523" t="str">
        <f t="shared" si="69"/>
        <v>18063210611_2025</v>
      </c>
      <c r="B1523">
        <v>18063210611</v>
      </c>
      <c r="C1523">
        <v>2025</v>
      </c>
      <c r="J1523">
        <v>0.74008484826007881</v>
      </c>
      <c r="K1523">
        <v>1.538079772875889</v>
      </c>
      <c r="M1523">
        <f t="shared" si="70"/>
        <v>2.2781646211359678</v>
      </c>
      <c r="N1523">
        <f t="shared" si="71"/>
        <v>2</v>
      </c>
    </row>
    <row r="1524" spans="1:14" x14ac:dyDescent="0.35">
      <c r="A1524" t="str">
        <f t="shared" si="69"/>
        <v>18063210611_2026</v>
      </c>
      <c r="B1524">
        <v>18063210611</v>
      </c>
      <c r="C1524">
        <v>2026</v>
      </c>
      <c r="J1524">
        <v>0.74989384821196226</v>
      </c>
      <c r="K1524">
        <v>1.4714351391861149</v>
      </c>
      <c r="M1524">
        <f t="shared" si="70"/>
        <v>2.2213289873980773</v>
      </c>
      <c r="N1524">
        <f t="shared" si="71"/>
        <v>2</v>
      </c>
    </row>
    <row r="1525" spans="1:14" x14ac:dyDescent="0.35">
      <c r="A1525" t="str">
        <f t="shared" si="69"/>
        <v>18063210611_2027</v>
      </c>
      <c r="B1525">
        <v>18063210611</v>
      </c>
      <c r="C1525">
        <v>2027</v>
      </c>
      <c r="J1525">
        <v>0.75688948402208367</v>
      </c>
      <c r="K1525">
        <v>1.2612322158098821</v>
      </c>
      <c r="M1525">
        <f t="shared" si="70"/>
        <v>2.0181216998319655</v>
      </c>
      <c r="N1525">
        <f t="shared" si="71"/>
        <v>2</v>
      </c>
    </row>
    <row r="1526" spans="1:14" x14ac:dyDescent="0.35">
      <c r="A1526" t="str">
        <f t="shared" si="69"/>
        <v>18063210611_2028</v>
      </c>
      <c r="B1526">
        <v>18063210611</v>
      </c>
      <c r="C1526">
        <v>2028</v>
      </c>
      <c r="J1526">
        <v>0.76140849300724533</v>
      </c>
      <c r="K1526">
        <v>1.1034590691700841</v>
      </c>
      <c r="M1526">
        <f t="shared" si="70"/>
        <v>1.8648675621773294</v>
      </c>
      <c r="N1526">
        <f t="shared" si="71"/>
        <v>2</v>
      </c>
    </row>
    <row r="1527" spans="1:14" x14ac:dyDescent="0.35">
      <c r="A1527" t="str">
        <f t="shared" si="69"/>
        <v>18063210614_2024</v>
      </c>
      <c r="B1527">
        <v>18063210614</v>
      </c>
      <c r="C1527">
        <v>2024</v>
      </c>
      <c r="J1527">
        <v>0.37880716774520912</v>
      </c>
      <c r="M1527">
        <f t="shared" si="70"/>
        <v>0.37880716774520912</v>
      </c>
      <c r="N1527">
        <f t="shared" si="71"/>
        <v>1</v>
      </c>
    </row>
    <row r="1528" spans="1:14" x14ac:dyDescent="0.35">
      <c r="A1528" t="str">
        <f t="shared" si="69"/>
        <v>18063210614_2025</v>
      </c>
      <c r="B1528">
        <v>18063210614</v>
      </c>
      <c r="C1528">
        <v>2025</v>
      </c>
      <c r="J1528">
        <v>0.38103769350403532</v>
      </c>
      <c r="M1528">
        <f t="shared" si="70"/>
        <v>0.38103769350403532</v>
      </c>
      <c r="N1528">
        <f t="shared" si="71"/>
        <v>1</v>
      </c>
    </row>
    <row r="1529" spans="1:14" x14ac:dyDescent="0.35">
      <c r="A1529" t="str">
        <f t="shared" si="69"/>
        <v>18063210614_2026</v>
      </c>
      <c r="B1529">
        <v>18063210614</v>
      </c>
      <c r="C1529">
        <v>2026</v>
      </c>
      <c r="J1529">
        <v>0.38056829004529452</v>
      </c>
      <c r="M1529">
        <f t="shared" si="70"/>
        <v>0.38056829004529452</v>
      </c>
      <c r="N1529">
        <f t="shared" si="71"/>
        <v>1</v>
      </c>
    </row>
    <row r="1530" spans="1:14" x14ac:dyDescent="0.35">
      <c r="A1530" t="str">
        <f t="shared" si="69"/>
        <v>18063210614_2027</v>
      </c>
      <c r="B1530">
        <v>18063210614</v>
      </c>
      <c r="C1530">
        <v>2027</v>
      </c>
      <c r="J1530">
        <v>0.37614498972038451</v>
      </c>
      <c r="M1530">
        <f t="shared" si="70"/>
        <v>0.37614498972038451</v>
      </c>
      <c r="N1530">
        <f t="shared" si="71"/>
        <v>1</v>
      </c>
    </row>
    <row r="1531" spans="1:14" x14ac:dyDescent="0.35">
      <c r="A1531" t="str">
        <f t="shared" si="69"/>
        <v>18063210614_2028</v>
      </c>
      <c r="B1531">
        <v>18063210614</v>
      </c>
      <c r="C1531">
        <v>2028</v>
      </c>
      <c r="J1531">
        <v>0.36705843881993538</v>
      </c>
      <c r="M1531">
        <f t="shared" si="70"/>
        <v>0.36705843881993538</v>
      </c>
      <c r="N1531">
        <f t="shared" si="71"/>
        <v>1</v>
      </c>
    </row>
    <row r="1532" spans="1:14" x14ac:dyDescent="0.35">
      <c r="A1532" t="str">
        <f t="shared" si="69"/>
        <v>18063210616_2024</v>
      </c>
      <c r="B1532">
        <v>18063210616</v>
      </c>
      <c r="C1532">
        <v>2024</v>
      </c>
      <c r="J1532">
        <v>0.72597082088935061</v>
      </c>
      <c r="K1532">
        <v>1.6944442199938601</v>
      </c>
      <c r="M1532">
        <f t="shared" si="70"/>
        <v>2.4204150408832108</v>
      </c>
      <c r="N1532">
        <f t="shared" si="71"/>
        <v>2</v>
      </c>
    </row>
    <row r="1533" spans="1:14" x14ac:dyDescent="0.35">
      <c r="A1533" t="str">
        <f t="shared" si="69"/>
        <v>18063210616_2025</v>
      </c>
      <c r="B1533">
        <v>18063210616</v>
      </c>
      <c r="C1533">
        <v>2025</v>
      </c>
      <c r="J1533">
        <v>0.74008484826007881</v>
      </c>
      <c r="K1533">
        <v>1.538079772875889</v>
      </c>
      <c r="M1533">
        <f t="shared" si="70"/>
        <v>2.2781646211359678</v>
      </c>
      <c r="N1533">
        <f t="shared" si="71"/>
        <v>2</v>
      </c>
    </row>
    <row r="1534" spans="1:14" x14ac:dyDescent="0.35">
      <c r="A1534" t="str">
        <f t="shared" si="69"/>
        <v>18063210616_2026</v>
      </c>
      <c r="B1534">
        <v>18063210616</v>
      </c>
      <c r="C1534">
        <v>2026</v>
      </c>
      <c r="J1534">
        <v>0.74989384821196226</v>
      </c>
      <c r="K1534">
        <v>1.4714351391861149</v>
      </c>
      <c r="M1534">
        <f t="shared" si="70"/>
        <v>2.2213289873980773</v>
      </c>
      <c r="N1534">
        <f t="shared" si="71"/>
        <v>2</v>
      </c>
    </row>
    <row r="1535" spans="1:14" x14ac:dyDescent="0.35">
      <c r="A1535" t="str">
        <f t="shared" si="69"/>
        <v>18063210616_2027</v>
      </c>
      <c r="B1535">
        <v>18063210616</v>
      </c>
      <c r="C1535">
        <v>2027</v>
      </c>
      <c r="J1535">
        <v>0.75688948402208367</v>
      </c>
      <c r="K1535">
        <v>1.2612322158098821</v>
      </c>
      <c r="M1535">
        <f t="shared" si="70"/>
        <v>2.0181216998319655</v>
      </c>
      <c r="N1535">
        <f t="shared" si="71"/>
        <v>2</v>
      </c>
    </row>
    <row r="1536" spans="1:14" x14ac:dyDescent="0.35">
      <c r="A1536" t="str">
        <f t="shared" si="69"/>
        <v>18063210616_2028</v>
      </c>
      <c r="B1536">
        <v>18063210616</v>
      </c>
      <c r="C1536">
        <v>2028</v>
      </c>
      <c r="J1536">
        <v>0.76140849300724533</v>
      </c>
      <c r="K1536">
        <v>1.1034590691700841</v>
      </c>
      <c r="M1536">
        <f t="shared" si="70"/>
        <v>1.8648675621773294</v>
      </c>
      <c r="N1536">
        <f t="shared" si="71"/>
        <v>2</v>
      </c>
    </row>
    <row r="1537" spans="1:14" x14ac:dyDescent="0.35">
      <c r="A1537" t="str">
        <f t="shared" si="69"/>
        <v>18063210617_2024</v>
      </c>
      <c r="B1537">
        <v>18063210617</v>
      </c>
      <c r="C1537">
        <v>2024</v>
      </c>
      <c r="J1537">
        <v>0.72597082088935061</v>
      </c>
      <c r="K1537">
        <v>1.6944442199938601</v>
      </c>
      <c r="M1537">
        <f t="shared" si="70"/>
        <v>2.4204150408832108</v>
      </c>
      <c r="N1537">
        <f t="shared" si="71"/>
        <v>2</v>
      </c>
    </row>
    <row r="1538" spans="1:14" x14ac:dyDescent="0.35">
      <c r="A1538" t="str">
        <f t="shared" si="69"/>
        <v>18063210617_2025</v>
      </c>
      <c r="B1538">
        <v>18063210617</v>
      </c>
      <c r="C1538">
        <v>2025</v>
      </c>
      <c r="J1538">
        <v>0.74008484826007881</v>
      </c>
      <c r="K1538">
        <v>1.538079772875889</v>
      </c>
      <c r="M1538">
        <f t="shared" si="70"/>
        <v>2.2781646211359678</v>
      </c>
      <c r="N1538">
        <f t="shared" si="71"/>
        <v>2</v>
      </c>
    </row>
    <row r="1539" spans="1:14" x14ac:dyDescent="0.35">
      <c r="A1539" t="str">
        <f t="shared" ref="A1539:A1541" si="72">TEXT(B1539,0)&amp;"_"&amp;TEXT(C1539,0)</f>
        <v>18063210617_2026</v>
      </c>
      <c r="B1539">
        <v>18063210617</v>
      </c>
      <c r="C1539">
        <v>2026</v>
      </c>
      <c r="J1539">
        <v>0.74989384821196226</v>
      </c>
      <c r="K1539">
        <v>1.4714351391861149</v>
      </c>
      <c r="M1539">
        <f t="shared" ref="M1539:M1541" si="73">SUM(D1539:K1539)</f>
        <v>2.2213289873980773</v>
      </c>
      <c r="N1539">
        <f t="shared" ref="N1539:N1541" si="74">IF(D1539=0,0,1)+IF(E1539=0,0,1)+IF(F1539=0,0,1)+IF(G1539=0,0,1)+IF(H1539=0,0,1)+IF(I1539=0,0,1)++IF(J1539=0,0,1)++IF(K1539=0,0,1)</f>
        <v>2</v>
      </c>
    </row>
    <row r="1540" spans="1:14" x14ac:dyDescent="0.35">
      <c r="A1540" t="str">
        <f t="shared" si="72"/>
        <v>18063210617_2027</v>
      </c>
      <c r="B1540">
        <v>18063210617</v>
      </c>
      <c r="C1540">
        <v>2027</v>
      </c>
      <c r="J1540">
        <v>0.75688948402208367</v>
      </c>
      <c r="K1540">
        <v>1.2612322158098821</v>
      </c>
      <c r="M1540">
        <f t="shared" si="73"/>
        <v>2.0181216998319655</v>
      </c>
      <c r="N1540">
        <f t="shared" si="74"/>
        <v>2</v>
      </c>
    </row>
    <row r="1541" spans="1:14" x14ac:dyDescent="0.35">
      <c r="A1541" t="str">
        <f t="shared" si="72"/>
        <v>18063210617_2028</v>
      </c>
      <c r="B1541">
        <v>18063210617</v>
      </c>
      <c r="C1541">
        <v>2028</v>
      </c>
      <c r="J1541">
        <v>0.76140849300724533</v>
      </c>
      <c r="K1541">
        <v>1.1034590691700841</v>
      </c>
      <c r="M1541">
        <f t="shared" si="73"/>
        <v>1.8648675621773294</v>
      </c>
      <c r="N1541">
        <f t="shared" si="74"/>
        <v>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D2B1F-9582-4D9D-93DD-BD280A507BAC}">
  <sheetPr codeName="Sheet7"/>
  <dimension ref="A1:H1541"/>
  <sheetViews>
    <sheetView workbookViewId="0">
      <selection activeCell="H12" sqref="H12"/>
    </sheetView>
  </sheetViews>
  <sheetFormatPr defaultRowHeight="14.5" x14ac:dyDescent="0.35"/>
  <cols>
    <col min="1" max="1" width="22" customWidth="1"/>
    <col min="2" max="2" width="11.81640625" bestFit="1" customWidth="1"/>
    <col min="4" max="4" width="12.90625" customWidth="1"/>
    <col min="5" max="5" width="17.453125" customWidth="1"/>
    <col min="6" max="6" width="20.36328125" customWidth="1"/>
    <col min="7" max="7" width="20.453125" customWidth="1"/>
    <col min="8" max="8" width="26.26953125" customWidth="1"/>
    <col min="9" max="9" width="23.81640625" customWidth="1"/>
    <col min="10" max="10" width="20.1796875" customWidth="1"/>
  </cols>
  <sheetData>
    <row r="1" spans="1:8" x14ac:dyDescent="0.35">
      <c r="B1" s="23" t="s">
        <v>174</v>
      </c>
      <c r="C1" s="23" t="s">
        <v>183</v>
      </c>
      <c r="E1" t="s">
        <v>200</v>
      </c>
      <c r="F1" t="s">
        <v>199</v>
      </c>
      <c r="G1" t="s">
        <v>201</v>
      </c>
      <c r="H1" t="s">
        <v>205</v>
      </c>
    </row>
    <row r="2" spans="1:8" x14ac:dyDescent="0.35">
      <c r="A2" t="str">
        <f>TEXT(B2,0)&amp;"_"&amp;TEXT(C2,0)</f>
        <v>18097310104_2024</v>
      </c>
      <c r="B2">
        <v>18097310104</v>
      </c>
      <c r="C2">
        <v>2024</v>
      </c>
      <c r="E2">
        <f>-(IF(VLOOKUP(B2,'2023 Z Scores'!$A$1:$K$309,11,FALSE)&gt;2,VLOOKUP(B2,'2023 Z Scores'!$A$1:$K$309,10,FALSE)/VLOOKUP(B2,'2023 Z Scores'!$A$1:$K$309,11,FALSE),"Not Enough data"))</f>
        <v>-0.31078877911231551</v>
      </c>
      <c r="F2">
        <f>IF(VLOOKUP(A2,'Delta Z Scores'!$A$1:$N$1541,14,FALSE)&gt;2,VLOOKUP(A2,'Delta Z Scores'!$A$1:$N$1541,13,FALSE)/VLOOKUP(A2,'Delta Z Scores'!$A$1:$N$1541,14,FALSE),"Not Enough Data")</f>
        <v>-3.4572112170165453E-2</v>
      </c>
      <c r="G2">
        <f>IF(VLOOKUP(A2,'Forecast Z Scores'!$A$1:$N$1541,14,FALSE)&gt;2,VLOOKUP(A2,'Forecast Z Scores'!$A$1:$N$1541,13,FALSE)/VLOOKUP(A2,'Forecast Z Scores'!$A$1:$N$1541,14,FALSE),"Not Enough Data")</f>
        <v>0.35680034942309097</v>
      </c>
      <c r="H2">
        <v>-5.783163507388861E-3</v>
      </c>
    </row>
    <row r="3" spans="1:8" x14ac:dyDescent="0.35">
      <c r="A3" t="str">
        <f t="shared" ref="A3:A66" si="0">TEXT(B3,0)&amp;"_"&amp;TEXT(C3,0)</f>
        <v>18097310104_2025</v>
      </c>
      <c r="B3">
        <v>18097310104</v>
      </c>
      <c r="C3">
        <v>2025</v>
      </c>
      <c r="E3">
        <f>-(IF(VLOOKUP(B3,'2023 Z Scores'!$A$1:$K$309,11,FALSE)&gt;2,VLOOKUP(B3,'2023 Z Scores'!$A$1:$K$309,10,FALSE)/VLOOKUP(B3,'2023 Z Scores'!$A$1:$K$309,11,FALSE),"Not Enough data"))</f>
        <v>-0.31078877911231551</v>
      </c>
      <c r="F3">
        <f>IF(VLOOKUP(A3,'Delta Z Scores'!$A$1:$N$1541,14,FALSE)&gt;2,VLOOKUP(A3,'Delta Z Scores'!$A$1:$N$1541,13,FALSE)/VLOOKUP(A3,'Delta Z Scores'!$A$1:$N$1541,14,FALSE),"Not Enough Data")</f>
        <v>5.5769657247999697E-3</v>
      </c>
      <c r="G3">
        <f>IF(VLOOKUP(A3,'Forecast Z Scores'!$A$1:$N$1541,14,FALSE)&gt;2,VLOOKUP(A3,'Forecast Z Scores'!$A$1:$N$1541,13,FALSE)/VLOOKUP(A3,'Forecast Z Scores'!$A$1:$N$1541,14,FALSE),"Not Enough Data")</f>
        <v>0.35238337672399772</v>
      </c>
      <c r="H3">
        <v>1.3187132265320534E-2</v>
      </c>
    </row>
    <row r="4" spans="1:8" x14ac:dyDescent="0.35">
      <c r="A4" t="str">
        <f t="shared" si="0"/>
        <v>18097310104_2026</v>
      </c>
      <c r="B4">
        <v>18097310104</v>
      </c>
      <c r="C4">
        <v>2026</v>
      </c>
      <c r="E4">
        <f>-(IF(VLOOKUP(B4,'2023 Z Scores'!$A$1:$K$309,11,FALSE)&gt;2,VLOOKUP(B4,'2023 Z Scores'!$A$1:$K$309,10,FALSE)/VLOOKUP(B4,'2023 Z Scores'!$A$1:$K$309,11,FALSE),"Not Enough data"))</f>
        <v>-0.31078877911231551</v>
      </c>
      <c r="F4">
        <f>IF(VLOOKUP(A4,'Delta Z Scores'!$A$1:$N$1541,14,FALSE)&gt;2,VLOOKUP(A4,'Delta Z Scores'!$A$1:$N$1541,13,FALSE)/VLOOKUP(A4,'Delta Z Scores'!$A$1:$N$1541,14,FALSE),"Not Enough Data")</f>
        <v>-6.1683136342585529E-2</v>
      </c>
      <c r="G4">
        <f>IF(VLOOKUP(A4,'Forecast Z Scores'!$A$1:$N$1541,14,FALSE)&gt;2,VLOOKUP(A4,'Forecast Z Scores'!$A$1:$N$1541,13,FALSE)/VLOOKUP(A4,'Forecast Z Scores'!$A$1:$N$1541,14,FALSE),"Not Enough Data")</f>
        <v>0.32504052145722678</v>
      </c>
      <c r="H4">
        <v>-2.7278632585064945E-2</v>
      </c>
    </row>
    <row r="5" spans="1:8" x14ac:dyDescent="0.35">
      <c r="A5" t="str">
        <f t="shared" si="0"/>
        <v>18097310104_2027</v>
      </c>
      <c r="B5">
        <v>18097310104</v>
      </c>
      <c r="C5">
        <v>2027</v>
      </c>
      <c r="E5">
        <f>-(IF(VLOOKUP(B5,'2023 Z Scores'!$A$1:$K$309,11,FALSE)&gt;2,VLOOKUP(B5,'2023 Z Scores'!$A$1:$K$309,10,FALSE)/VLOOKUP(B5,'2023 Z Scores'!$A$1:$K$309,11,FALSE),"Not Enough data"))</f>
        <v>-0.31078877911231551</v>
      </c>
      <c r="F5">
        <f>IF(VLOOKUP(A5,'Delta Z Scores'!$A$1:$N$1541,14,FALSE)&gt;2,VLOOKUP(A5,'Delta Z Scores'!$A$1:$N$1541,13,FALSE)/VLOOKUP(A5,'Delta Z Scores'!$A$1:$N$1541,14,FALSE),"Not Enough Data")</f>
        <v>8.0745162388934782E-2</v>
      </c>
      <c r="G5">
        <f>IF(VLOOKUP(A5,'Forecast Z Scores'!$A$1:$N$1541,14,FALSE)&gt;2,VLOOKUP(A5,'Forecast Z Scores'!$A$1:$N$1541,13,FALSE)/VLOOKUP(A5,'Forecast Z Scores'!$A$1:$N$1541,14,FALSE),"Not Enough Data")</f>
        <v>0.30425589554060495</v>
      </c>
      <c r="H5">
        <v>3.8739360301539752E-2</v>
      </c>
    </row>
    <row r="6" spans="1:8" x14ac:dyDescent="0.35">
      <c r="A6" t="str">
        <f t="shared" si="0"/>
        <v>18097310104_2028</v>
      </c>
      <c r="B6">
        <v>18097310104</v>
      </c>
      <c r="C6">
        <v>2028</v>
      </c>
      <c r="E6">
        <f>-(IF(VLOOKUP(B6,'2023 Z Scores'!$A$1:$K$309,11,FALSE)&gt;2,VLOOKUP(B6,'2023 Z Scores'!$A$1:$K$309,10,FALSE)/VLOOKUP(B6,'2023 Z Scores'!$A$1:$K$309,11,FALSE),"Not Enough data"))</f>
        <v>-0.31078877911231551</v>
      </c>
      <c r="F6">
        <f>IF(VLOOKUP(A6,'Delta Z Scores'!$A$1:$N$1541,14,FALSE)&gt;2,VLOOKUP(A6,'Delta Z Scores'!$A$1:$N$1541,13,FALSE)/VLOOKUP(A6,'Delta Z Scores'!$A$1:$N$1541,14,FALSE),"Not Enough Data")</f>
        <v>0.13234046246478107</v>
      </c>
      <c r="G6">
        <f>IF(VLOOKUP(A6,'Forecast Z Scores'!$A$1:$N$1541,14,FALSE)&gt;2,VLOOKUP(A6,'Forecast Z Scores'!$A$1:$N$1541,13,FALSE)/VLOOKUP(A6,'Forecast Z Scores'!$A$1:$N$1541,14,FALSE),"Not Enough Data")</f>
        <v>0.28142830945313613</v>
      </c>
      <c r="H6">
        <v>5.8830113817595703E-2</v>
      </c>
    </row>
    <row r="7" spans="1:8" x14ac:dyDescent="0.35">
      <c r="A7" t="str">
        <f t="shared" si="0"/>
        <v>18097310105_2024</v>
      </c>
      <c r="B7">
        <v>18097310105</v>
      </c>
      <c r="C7">
        <v>2024</v>
      </c>
      <c r="E7">
        <f>-(IF(VLOOKUP(B7,'2023 Z Scores'!$A$1:$K$309,11,FALSE)&gt;2,VLOOKUP(B7,'2023 Z Scores'!$A$1:$K$309,10,FALSE)/VLOOKUP(B7,'2023 Z Scores'!$A$1:$K$309,11,FALSE),"Not Enough data"))</f>
        <v>-0.61492411913916512</v>
      </c>
      <c r="F7">
        <f>IF(VLOOKUP(A7,'Delta Z Scores'!$A$1:$N$1541,14,FALSE)&gt;2,VLOOKUP(A7,'Delta Z Scores'!$A$1:$N$1541,13,FALSE)/VLOOKUP(A7,'Delta Z Scores'!$A$1:$N$1541,14,FALSE),"Not Enough Data")</f>
        <v>0.17975052754781534</v>
      </c>
      <c r="G7">
        <f>IF(VLOOKUP(A7,'Forecast Z Scores'!$A$1:$N$1541,14,FALSE)&gt;2,VLOOKUP(A7,'Forecast Z Scores'!$A$1:$N$1541,13,FALSE)/VLOOKUP(A7,'Forecast Z Scores'!$A$1:$N$1541,14,FALSE),"Not Enough Data")</f>
        <v>0.62384501541080173</v>
      </c>
      <c r="H7">
        <v>9.2105487841816824E-2</v>
      </c>
    </row>
    <row r="8" spans="1:8" x14ac:dyDescent="0.35">
      <c r="A8" t="str">
        <f t="shared" si="0"/>
        <v>18097310105_2025</v>
      </c>
      <c r="B8">
        <v>18097310105</v>
      </c>
      <c r="C8">
        <v>2025</v>
      </c>
      <c r="E8">
        <f>-(IF(VLOOKUP(B8,'2023 Z Scores'!$A$1:$K$309,11,FALSE)&gt;2,VLOOKUP(B8,'2023 Z Scores'!$A$1:$K$309,10,FALSE)/VLOOKUP(B8,'2023 Z Scores'!$A$1:$K$309,11,FALSE),"Not Enough data"))</f>
        <v>-0.61492411913916512</v>
      </c>
      <c r="F8">
        <f>IF(VLOOKUP(A8,'Delta Z Scores'!$A$1:$N$1541,14,FALSE)&gt;2,VLOOKUP(A8,'Delta Z Scores'!$A$1:$N$1541,13,FALSE)/VLOOKUP(A8,'Delta Z Scores'!$A$1:$N$1541,14,FALSE),"Not Enough Data")</f>
        <v>0.30379692245735845</v>
      </c>
      <c r="G8">
        <f>IF(VLOOKUP(A8,'Forecast Z Scores'!$A$1:$N$1541,14,FALSE)&gt;2,VLOOKUP(A8,'Forecast Z Scores'!$A$1:$N$1541,13,FALSE)/VLOOKUP(A8,'Forecast Z Scores'!$A$1:$N$1541,14,FALSE),"Not Enough Data")</f>
        <v>0.67261618244006383</v>
      </c>
      <c r="H8">
        <v>0.1663214770539039</v>
      </c>
    </row>
    <row r="9" spans="1:8" x14ac:dyDescent="0.35">
      <c r="A9" t="str">
        <f t="shared" si="0"/>
        <v>18097310105_2026</v>
      </c>
      <c r="B9">
        <v>18097310105</v>
      </c>
      <c r="C9">
        <v>2026</v>
      </c>
      <c r="E9">
        <f>-(IF(VLOOKUP(B9,'2023 Z Scores'!$A$1:$K$309,11,FALSE)&gt;2,VLOOKUP(B9,'2023 Z Scores'!$A$1:$K$309,10,FALSE)/VLOOKUP(B9,'2023 Z Scores'!$A$1:$K$309,11,FALSE),"Not Enough data"))</f>
        <v>-0.61492411913916512</v>
      </c>
      <c r="F9">
        <f>IF(VLOOKUP(A9,'Delta Z Scores'!$A$1:$N$1541,14,FALSE)&gt;2,VLOOKUP(A9,'Delta Z Scores'!$A$1:$N$1541,13,FALSE)/VLOOKUP(A9,'Delta Z Scores'!$A$1:$N$1541,14,FALSE),"Not Enough Data")</f>
        <v>0.19030504350044952</v>
      </c>
      <c r="G9">
        <f>IF(VLOOKUP(A9,'Forecast Z Scores'!$A$1:$N$1541,14,FALSE)&gt;2,VLOOKUP(A9,'Forecast Z Scores'!$A$1:$N$1541,13,FALSE)/VLOOKUP(A9,'Forecast Z Scores'!$A$1:$N$1541,14,FALSE),"Not Enough Data")</f>
        <v>0.68038785827182857</v>
      </c>
      <c r="H9">
        <v>0.11151845653339063</v>
      </c>
    </row>
    <row r="10" spans="1:8" x14ac:dyDescent="0.35">
      <c r="A10" t="str">
        <f t="shared" si="0"/>
        <v>18097310105_2027</v>
      </c>
      <c r="B10">
        <v>18097310105</v>
      </c>
      <c r="C10">
        <v>2027</v>
      </c>
      <c r="E10">
        <f>-(IF(VLOOKUP(B10,'2023 Z Scores'!$A$1:$K$309,11,FALSE)&gt;2,VLOOKUP(B10,'2023 Z Scores'!$A$1:$K$309,10,FALSE)/VLOOKUP(B10,'2023 Z Scores'!$A$1:$K$309,11,FALSE),"Not Enough data"))</f>
        <v>-0.61492411913916512</v>
      </c>
      <c r="F10">
        <f>IF(VLOOKUP(A10,'Delta Z Scores'!$A$1:$N$1541,14,FALSE)&gt;2,VLOOKUP(A10,'Delta Z Scores'!$A$1:$N$1541,13,FALSE)/VLOOKUP(A10,'Delta Z Scores'!$A$1:$N$1541,14,FALSE),"Not Enough Data")</f>
        <v>0.26344072108078276</v>
      </c>
      <c r="G10">
        <f>IF(VLOOKUP(A10,'Forecast Z Scores'!$A$1:$N$1541,14,FALSE)&gt;2,VLOOKUP(A10,'Forecast Z Scores'!$A$1:$N$1541,13,FALSE)/VLOOKUP(A10,'Forecast Z Scores'!$A$1:$N$1541,14,FALSE),"Not Enough Data")</f>
        <v>0.69284949533380513</v>
      </c>
      <c r="H10">
        <v>0.15120170458905138</v>
      </c>
    </row>
    <row r="11" spans="1:8" x14ac:dyDescent="0.35">
      <c r="A11" t="str">
        <f t="shared" si="0"/>
        <v>18097310105_2028</v>
      </c>
      <c r="B11">
        <v>18097310105</v>
      </c>
      <c r="C11">
        <v>2028</v>
      </c>
      <c r="E11">
        <f>-(IF(VLOOKUP(B11,'2023 Z Scores'!$A$1:$K$309,11,FALSE)&gt;2,VLOOKUP(B11,'2023 Z Scores'!$A$1:$K$309,10,FALSE)/VLOOKUP(B11,'2023 Z Scores'!$A$1:$K$309,11,FALSE),"Not Enough data"))</f>
        <v>-0.61492411913916512</v>
      </c>
      <c r="F11">
        <f>IF(VLOOKUP(A11,'Delta Z Scores'!$A$1:$N$1541,14,FALSE)&gt;2,VLOOKUP(A11,'Delta Z Scores'!$A$1:$N$1541,13,FALSE)/VLOOKUP(A11,'Delta Z Scores'!$A$1:$N$1541,14,FALSE),"Not Enough Data")</f>
        <v>0.24741749175017247</v>
      </c>
      <c r="G11">
        <f>IF(VLOOKUP(A11,'Forecast Z Scores'!$A$1:$N$1541,14,FALSE)&gt;2,VLOOKUP(A11,'Forecast Z Scores'!$A$1:$N$1541,13,FALSE)/VLOOKUP(A11,'Forecast Z Scores'!$A$1:$N$1541,14,FALSE),"Not Enough Data")</f>
        <v>0.69132666166106005</v>
      </c>
      <c r="H11">
        <v>0.14280938150555997</v>
      </c>
    </row>
    <row r="12" spans="1:8" x14ac:dyDescent="0.35">
      <c r="A12" t="str">
        <f t="shared" si="0"/>
        <v>18097310106_2024</v>
      </c>
      <c r="B12">
        <v>18097310106</v>
      </c>
      <c r="C12">
        <v>2024</v>
      </c>
      <c r="E12">
        <f>-(IF(VLOOKUP(B12,'2023 Z Scores'!$A$1:$K$309,11,FALSE)&gt;2,VLOOKUP(B12,'2023 Z Scores'!$A$1:$K$309,10,FALSE)/VLOOKUP(B12,'2023 Z Scores'!$A$1:$K$309,11,FALSE),"Not Enough data"))</f>
        <v>-0.18538360844835161</v>
      </c>
      <c r="F12">
        <f>IF(VLOOKUP(A12,'Delta Z Scores'!$A$1:$N$1541,14,FALSE)&gt;2,VLOOKUP(A12,'Delta Z Scores'!$A$1:$N$1541,13,FALSE)/VLOOKUP(A12,'Delta Z Scores'!$A$1:$N$1541,14,FALSE),"Not Enough Data")</f>
        <v>0.47845818122042788</v>
      </c>
      <c r="G12">
        <f>IF(VLOOKUP(A12,'Forecast Z Scores'!$A$1:$N$1541,14,FALSE)&gt;2,VLOOKUP(A12,'Forecast Z Scores'!$A$1:$N$1541,13,FALSE)/VLOOKUP(A12,'Forecast Z Scores'!$A$1:$N$1541,14,FALSE),"Not Enough Data")</f>
        <v>0.41342761451086829</v>
      </c>
      <c r="H12">
        <v>0.29624009212584312</v>
      </c>
    </row>
    <row r="13" spans="1:8" x14ac:dyDescent="0.35">
      <c r="A13" t="str">
        <f t="shared" si="0"/>
        <v>18097310106_2025</v>
      </c>
      <c r="B13">
        <v>18097310106</v>
      </c>
      <c r="C13">
        <v>2025</v>
      </c>
      <c r="E13">
        <f>-(IF(VLOOKUP(B13,'2023 Z Scores'!$A$1:$K$309,11,FALSE)&gt;2,VLOOKUP(B13,'2023 Z Scores'!$A$1:$K$309,10,FALSE)/VLOOKUP(B13,'2023 Z Scores'!$A$1:$K$309,11,FALSE),"Not Enough data"))</f>
        <v>-0.18538360844835161</v>
      </c>
      <c r="F13">
        <f>IF(VLOOKUP(A13,'Delta Z Scores'!$A$1:$N$1541,14,FALSE)&gt;2,VLOOKUP(A13,'Delta Z Scores'!$A$1:$N$1541,13,FALSE)/VLOOKUP(A13,'Delta Z Scores'!$A$1:$N$1541,14,FALSE),"Not Enough Data")</f>
        <v>0.38546142845350517</v>
      </c>
      <c r="G13">
        <f>IF(VLOOKUP(A13,'Forecast Z Scores'!$A$1:$N$1541,14,FALSE)&gt;2,VLOOKUP(A13,'Forecast Z Scores'!$A$1:$N$1541,13,FALSE)/VLOOKUP(A13,'Forecast Z Scores'!$A$1:$N$1541,14,FALSE),"Not Enough Data")</f>
        <v>0.42834522467973218</v>
      </c>
      <c r="H13">
        <v>0.25347111828459773</v>
      </c>
    </row>
    <row r="14" spans="1:8" x14ac:dyDescent="0.35">
      <c r="A14" t="str">
        <f t="shared" si="0"/>
        <v>18097310106_2026</v>
      </c>
      <c r="B14">
        <v>18097310106</v>
      </c>
      <c r="C14">
        <v>2026</v>
      </c>
      <c r="E14">
        <f>-(IF(VLOOKUP(B14,'2023 Z Scores'!$A$1:$K$309,11,FALSE)&gt;2,VLOOKUP(B14,'2023 Z Scores'!$A$1:$K$309,10,FALSE)/VLOOKUP(B14,'2023 Z Scores'!$A$1:$K$309,11,FALSE),"Not Enough data"))</f>
        <v>-0.18538360844835161</v>
      </c>
      <c r="F14">
        <f>IF(VLOOKUP(A14,'Delta Z Scores'!$A$1:$N$1541,14,FALSE)&gt;2,VLOOKUP(A14,'Delta Z Scores'!$A$1:$N$1541,13,FALSE)/VLOOKUP(A14,'Delta Z Scores'!$A$1:$N$1541,14,FALSE),"Not Enough Data")</f>
        <v>0.64416618956094962</v>
      </c>
      <c r="G14">
        <f>IF(VLOOKUP(A14,'Forecast Z Scores'!$A$1:$N$1541,14,FALSE)&gt;2,VLOOKUP(A14,'Forecast Z Scores'!$A$1:$N$1541,13,FALSE)/VLOOKUP(A14,'Forecast Z Scores'!$A$1:$N$1541,14,FALSE),"Not Enough Data")</f>
        <v>0.44626227310057809</v>
      </c>
      <c r="H14">
        <v>0.38730276094353144</v>
      </c>
    </row>
    <row r="15" spans="1:8" x14ac:dyDescent="0.35">
      <c r="A15" t="str">
        <f t="shared" si="0"/>
        <v>18097310106_2027</v>
      </c>
      <c r="B15">
        <v>18097310106</v>
      </c>
      <c r="C15">
        <v>2027</v>
      </c>
      <c r="E15">
        <f>-(IF(VLOOKUP(B15,'2023 Z Scores'!$A$1:$K$309,11,FALSE)&gt;2,VLOOKUP(B15,'2023 Z Scores'!$A$1:$K$309,10,FALSE)/VLOOKUP(B15,'2023 Z Scores'!$A$1:$K$309,11,FALSE),"Not Enough data"))</f>
        <v>-0.18538360844835161</v>
      </c>
      <c r="F15">
        <f>IF(VLOOKUP(A15,'Delta Z Scores'!$A$1:$N$1541,14,FALSE)&gt;2,VLOOKUP(A15,'Delta Z Scores'!$A$1:$N$1541,13,FALSE)/VLOOKUP(A15,'Delta Z Scores'!$A$1:$N$1541,14,FALSE),"Not Enough Data")</f>
        <v>0.62389955289699217</v>
      </c>
      <c r="G15">
        <f>IF(VLOOKUP(A15,'Forecast Z Scores'!$A$1:$N$1541,14,FALSE)&gt;2,VLOOKUP(A15,'Forecast Z Scores'!$A$1:$N$1541,13,FALSE)/VLOOKUP(A15,'Forecast Z Scores'!$A$1:$N$1541,14,FALSE),"Not Enough Data")</f>
        <v>0.43712652534949525</v>
      </c>
      <c r="H15">
        <v>0.37488550567378198</v>
      </c>
    </row>
    <row r="16" spans="1:8" x14ac:dyDescent="0.35">
      <c r="A16" t="str">
        <f t="shared" si="0"/>
        <v>18097310106_2028</v>
      </c>
      <c r="B16">
        <v>18097310106</v>
      </c>
      <c r="C16">
        <v>2028</v>
      </c>
      <c r="E16">
        <f>-(IF(VLOOKUP(B16,'2023 Z Scores'!$A$1:$K$309,11,FALSE)&gt;2,VLOOKUP(B16,'2023 Z Scores'!$A$1:$K$309,10,FALSE)/VLOOKUP(B16,'2023 Z Scores'!$A$1:$K$309,11,FALSE),"Not Enough data"))</f>
        <v>-0.18538360844835161</v>
      </c>
      <c r="F16">
        <f>IF(VLOOKUP(A16,'Delta Z Scores'!$A$1:$N$1541,14,FALSE)&gt;2,VLOOKUP(A16,'Delta Z Scores'!$A$1:$N$1541,13,FALSE)/VLOOKUP(A16,'Delta Z Scores'!$A$1:$N$1541,14,FALSE),"Not Enough Data")</f>
        <v>0.74160704377118902</v>
      </c>
      <c r="G16">
        <f>IF(VLOOKUP(A16,'Forecast Z Scores'!$A$1:$N$1541,14,FALSE)&gt;2,VLOOKUP(A16,'Forecast Z Scores'!$A$1:$N$1541,13,FALSE)/VLOOKUP(A16,'Forecast Z Scores'!$A$1:$N$1541,14,FALSE),"Not Enough Data")</f>
        <v>0.43027202086728628</v>
      </c>
      <c r="H16">
        <v>0.43202562499032821</v>
      </c>
    </row>
    <row r="17" spans="1:8" x14ac:dyDescent="0.35">
      <c r="A17" t="str">
        <f t="shared" si="0"/>
        <v>18097310108_2024</v>
      </c>
      <c r="B17">
        <v>18097310108</v>
      </c>
      <c r="C17">
        <v>2024</v>
      </c>
      <c r="E17">
        <f>-(IF(VLOOKUP(B17,'2023 Z Scores'!$A$1:$K$309,11,FALSE)&gt;2,VLOOKUP(B17,'2023 Z Scores'!$A$1:$K$309,10,FALSE)/VLOOKUP(B17,'2023 Z Scores'!$A$1:$K$309,11,FALSE),"Not Enough data"))</f>
        <v>-1.0250880817865109</v>
      </c>
      <c r="F17">
        <f>IF(VLOOKUP(A17,'Delta Z Scores'!$A$1:$N$1541,14,FALSE)&gt;2,VLOOKUP(A17,'Delta Z Scores'!$A$1:$N$1541,13,FALSE)/VLOOKUP(A17,'Delta Z Scores'!$A$1:$N$1541,14,FALSE),"Not Enough Data")</f>
        <v>5.8851684424842426E-2</v>
      </c>
      <c r="G17">
        <f>IF(VLOOKUP(A17,'Forecast Z Scores'!$A$1:$N$1541,14,FALSE)&gt;2,VLOOKUP(A17,'Forecast Z Scores'!$A$1:$N$1541,13,FALSE)/VLOOKUP(A17,'Forecast Z Scores'!$A$1:$N$1541,14,FALSE),"Not Enough Data")</f>
        <v>0.77762105206441112</v>
      </c>
      <c r="H17">
        <v>-3.2440915218103716E-2</v>
      </c>
    </row>
    <row r="18" spans="1:8" x14ac:dyDescent="0.35">
      <c r="A18" t="str">
        <f t="shared" si="0"/>
        <v>18097310108_2025</v>
      </c>
      <c r="B18">
        <v>18097310108</v>
      </c>
      <c r="C18">
        <v>2025</v>
      </c>
      <c r="E18">
        <f>-(IF(VLOOKUP(B18,'2023 Z Scores'!$A$1:$K$309,11,FALSE)&gt;2,VLOOKUP(B18,'2023 Z Scores'!$A$1:$K$309,10,FALSE)/VLOOKUP(B18,'2023 Z Scores'!$A$1:$K$309,11,FALSE),"Not Enough data"))</f>
        <v>-1.0250880817865109</v>
      </c>
      <c r="F18">
        <f>IF(VLOOKUP(A18,'Delta Z Scores'!$A$1:$N$1541,14,FALSE)&gt;2,VLOOKUP(A18,'Delta Z Scores'!$A$1:$N$1541,13,FALSE)/VLOOKUP(A18,'Delta Z Scores'!$A$1:$N$1541,14,FALSE),"Not Enough Data")</f>
        <v>0.65178832205678439</v>
      </c>
      <c r="G18">
        <f>IF(VLOOKUP(A18,'Forecast Z Scores'!$A$1:$N$1541,14,FALSE)&gt;2,VLOOKUP(A18,'Forecast Z Scores'!$A$1:$N$1541,13,FALSE)/VLOOKUP(A18,'Forecast Z Scores'!$A$1:$N$1541,14,FALSE),"Not Enough Data")</f>
        <v>0.86996167686037396</v>
      </c>
      <c r="H18">
        <v>0.28711255979685796</v>
      </c>
    </row>
    <row r="19" spans="1:8" x14ac:dyDescent="0.35">
      <c r="A19" t="str">
        <f t="shared" si="0"/>
        <v>18097310108_2026</v>
      </c>
      <c r="B19">
        <v>18097310108</v>
      </c>
      <c r="C19">
        <v>2026</v>
      </c>
      <c r="E19">
        <f>-(IF(VLOOKUP(B19,'2023 Z Scores'!$A$1:$K$309,11,FALSE)&gt;2,VLOOKUP(B19,'2023 Z Scores'!$A$1:$K$309,10,FALSE)/VLOOKUP(B19,'2023 Z Scores'!$A$1:$K$309,11,FALSE),"Not Enough data"))</f>
        <v>-1.0250880817865109</v>
      </c>
      <c r="F19">
        <f>IF(VLOOKUP(A19,'Delta Z Scores'!$A$1:$N$1541,14,FALSE)&gt;2,VLOOKUP(A19,'Delta Z Scores'!$A$1:$N$1541,13,FALSE)/VLOOKUP(A19,'Delta Z Scores'!$A$1:$N$1541,14,FALSE),"Not Enough Data")</f>
        <v>0.60600110544071251</v>
      </c>
      <c r="G19">
        <f>IF(VLOOKUP(A19,'Forecast Z Scores'!$A$1:$N$1541,14,FALSE)&gt;2,VLOOKUP(A19,'Forecast Z Scores'!$A$1:$N$1541,13,FALSE)/VLOOKUP(A19,'Forecast Z Scores'!$A$1:$N$1541,14,FALSE),"Not Enough Data")</f>
        <v>0.94205823749020823</v>
      </c>
      <c r="H19">
        <v>0.28224309164628064</v>
      </c>
    </row>
    <row r="20" spans="1:8" x14ac:dyDescent="0.35">
      <c r="A20" t="str">
        <f t="shared" si="0"/>
        <v>18097310108_2027</v>
      </c>
      <c r="B20">
        <v>18097310108</v>
      </c>
      <c r="C20">
        <v>2027</v>
      </c>
      <c r="E20">
        <f>-(IF(VLOOKUP(B20,'2023 Z Scores'!$A$1:$K$309,11,FALSE)&gt;2,VLOOKUP(B20,'2023 Z Scores'!$A$1:$K$309,10,FALSE)/VLOOKUP(B20,'2023 Z Scores'!$A$1:$K$309,11,FALSE),"Not Enough data"))</f>
        <v>-1.0250880817865109</v>
      </c>
      <c r="F20">
        <f>IF(VLOOKUP(A20,'Delta Z Scores'!$A$1:$N$1541,14,FALSE)&gt;2,VLOOKUP(A20,'Delta Z Scores'!$A$1:$N$1541,13,FALSE)/VLOOKUP(A20,'Delta Z Scores'!$A$1:$N$1541,14,FALSE),"Not Enough Data")</f>
        <v>0.64534937120802249</v>
      </c>
      <c r="G20">
        <f>IF(VLOOKUP(A20,'Forecast Z Scores'!$A$1:$N$1541,14,FALSE)&gt;2,VLOOKUP(A20,'Forecast Z Scores'!$A$1:$N$1541,13,FALSE)/VLOOKUP(A20,'Forecast Z Scores'!$A$1:$N$1541,14,FALSE),"Not Enough Data")</f>
        <v>1.0084723827745228</v>
      </c>
      <c r="H20">
        <v>0.31852076085101416</v>
      </c>
    </row>
    <row r="21" spans="1:8" x14ac:dyDescent="0.35">
      <c r="A21" t="str">
        <f t="shared" si="0"/>
        <v>18097310108_2028</v>
      </c>
      <c r="B21">
        <v>18097310108</v>
      </c>
      <c r="C21">
        <v>2028</v>
      </c>
      <c r="E21">
        <f>-(IF(VLOOKUP(B21,'2023 Z Scores'!$A$1:$K$309,11,FALSE)&gt;2,VLOOKUP(B21,'2023 Z Scores'!$A$1:$K$309,10,FALSE)/VLOOKUP(B21,'2023 Z Scores'!$A$1:$K$309,11,FALSE),"Not Enough data"))</f>
        <v>-1.0250880817865109</v>
      </c>
      <c r="F21">
        <f>IF(VLOOKUP(A21,'Delta Z Scores'!$A$1:$N$1541,14,FALSE)&gt;2,VLOOKUP(A21,'Delta Z Scores'!$A$1:$N$1541,13,FALSE)/VLOOKUP(A21,'Delta Z Scores'!$A$1:$N$1541,14,FALSE),"Not Enough Data")</f>
        <v>0.61061237972240756</v>
      </c>
      <c r="G21">
        <f>IF(VLOOKUP(A21,'Forecast Z Scores'!$A$1:$N$1541,14,FALSE)&gt;2,VLOOKUP(A21,'Forecast Z Scores'!$A$1:$N$1541,13,FALSE)/VLOOKUP(A21,'Forecast Z Scores'!$A$1:$N$1541,14,FALSE),"Not Enough Data")</f>
        <v>1.0442319115527054</v>
      </c>
      <c r="H21">
        <v>0.31009214730275242</v>
      </c>
    </row>
    <row r="22" spans="1:8" x14ac:dyDescent="0.35">
      <c r="A22" t="str">
        <f t="shared" si="0"/>
        <v>18097310110_2024</v>
      </c>
      <c r="B22">
        <v>18097310110</v>
      </c>
      <c r="C22">
        <v>2024</v>
      </c>
      <c r="E22">
        <f>-(IF(VLOOKUP(B22,'2023 Z Scores'!$A$1:$K$309,11,FALSE)&gt;2,VLOOKUP(B22,'2023 Z Scores'!$A$1:$K$309,10,FALSE)/VLOOKUP(B22,'2023 Z Scores'!$A$1:$K$309,11,FALSE),"Not Enough data"))</f>
        <v>-0.11046564504012513</v>
      </c>
      <c r="F22">
        <f>IF(VLOOKUP(A22,'Delta Z Scores'!$A$1:$N$1541,14,FALSE)&gt;2,VLOOKUP(A22,'Delta Z Scores'!$A$1:$N$1541,13,FALSE)/VLOOKUP(A22,'Delta Z Scores'!$A$1:$N$1541,14,FALSE),"Not Enough Data")</f>
        <v>5.4556001882996551E-3</v>
      </c>
      <c r="G22">
        <f>IF(VLOOKUP(A22,'Forecast Z Scores'!$A$1:$N$1541,14,FALSE)&gt;2,VLOOKUP(A22,'Forecast Z Scores'!$A$1:$N$1541,13,FALSE)/VLOOKUP(A22,'Forecast Z Scores'!$A$1:$N$1541,14,FALSE),"Not Enough Data")</f>
        <v>1.1965712518115082E-2</v>
      </c>
      <c r="H22">
        <v>-2.1897183036352685E-2</v>
      </c>
    </row>
    <row r="23" spans="1:8" x14ac:dyDescent="0.35">
      <c r="A23" t="str">
        <f t="shared" si="0"/>
        <v>18097310110_2025</v>
      </c>
      <c r="B23">
        <v>18097310110</v>
      </c>
      <c r="C23">
        <v>2025</v>
      </c>
      <c r="E23">
        <f>-(IF(VLOOKUP(B23,'2023 Z Scores'!$A$1:$K$309,11,FALSE)&gt;2,VLOOKUP(B23,'2023 Z Scores'!$A$1:$K$309,10,FALSE)/VLOOKUP(B23,'2023 Z Scores'!$A$1:$K$309,11,FALSE),"Not Enough data"))</f>
        <v>-0.11046564504012513</v>
      </c>
      <c r="F23">
        <f>IF(VLOOKUP(A23,'Delta Z Scores'!$A$1:$N$1541,14,FALSE)&gt;2,VLOOKUP(A23,'Delta Z Scores'!$A$1:$N$1541,13,FALSE)/VLOOKUP(A23,'Delta Z Scores'!$A$1:$N$1541,14,FALSE),"Not Enough Data")</f>
        <v>-5.4901547446362907E-2</v>
      </c>
      <c r="G23">
        <f>IF(VLOOKUP(A23,'Forecast Z Scores'!$A$1:$N$1541,14,FALSE)&gt;2,VLOOKUP(A23,'Forecast Z Scores'!$A$1:$N$1541,13,FALSE)/VLOOKUP(A23,'Forecast Z Scores'!$A$1:$N$1541,14,FALSE),"Not Enough Data")</f>
        <v>-7.3112716024886781E-4</v>
      </c>
      <c r="H23">
        <v>-5.5249966773274956E-2</v>
      </c>
    </row>
    <row r="24" spans="1:8" x14ac:dyDescent="0.35">
      <c r="A24" t="str">
        <f t="shared" si="0"/>
        <v>18097310110_2026</v>
      </c>
      <c r="B24">
        <v>18097310110</v>
      </c>
      <c r="C24">
        <v>2026</v>
      </c>
      <c r="E24">
        <f>-(IF(VLOOKUP(B24,'2023 Z Scores'!$A$1:$K$309,11,FALSE)&gt;2,VLOOKUP(B24,'2023 Z Scores'!$A$1:$K$309,10,FALSE)/VLOOKUP(B24,'2023 Z Scores'!$A$1:$K$309,11,FALSE),"Not Enough data"))</f>
        <v>-0.11046564504012513</v>
      </c>
      <c r="F24">
        <f>IF(VLOOKUP(A24,'Delta Z Scores'!$A$1:$N$1541,14,FALSE)&gt;2,VLOOKUP(A24,'Delta Z Scores'!$A$1:$N$1541,13,FALSE)/VLOOKUP(A24,'Delta Z Scores'!$A$1:$N$1541,14,FALSE),"Not Enough Data")</f>
        <v>-9.887209948778368E-2</v>
      </c>
      <c r="G24">
        <f>IF(VLOOKUP(A24,'Forecast Z Scores'!$A$1:$N$1541,14,FALSE)&gt;2,VLOOKUP(A24,'Forecast Z Scores'!$A$1:$N$1541,13,FALSE)/VLOOKUP(A24,'Forecast Z Scores'!$A$1:$N$1541,14,FALSE),"Not Enough Data")</f>
        <v>-2.0870186993520057E-2</v>
      </c>
      <c r="H24">
        <v>-8.2270007752303143E-2</v>
      </c>
    </row>
    <row r="25" spans="1:8" x14ac:dyDescent="0.35">
      <c r="A25" t="str">
        <f t="shared" si="0"/>
        <v>18097310110_2027</v>
      </c>
      <c r="B25">
        <v>18097310110</v>
      </c>
      <c r="C25">
        <v>2027</v>
      </c>
      <c r="E25">
        <f>-(IF(VLOOKUP(B25,'2023 Z Scores'!$A$1:$K$309,11,FALSE)&gt;2,VLOOKUP(B25,'2023 Z Scores'!$A$1:$K$309,10,FALSE)/VLOOKUP(B25,'2023 Z Scores'!$A$1:$K$309,11,FALSE),"Not Enough data"))</f>
        <v>-0.11046564504012513</v>
      </c>
      <c r="F25">
        <f>IF(VLOOKUP(A25,'Delta Z Scores'!$A$1:$N$1541,14,FALSE)&gt;2,VLOOKUP(A25,'Delta Z Scores'!$A$1:$N$1541,13,FALSE)/VLOOKUP(A25,'Delta Z Scores'!$A$1:$N$1541,14,FALSE),"Not Enough Data")</f>
        <v>-7.7383111903858659E-2</v>
      </c>
      <c r="G25">
        <f>IF(VLOOKUP(A25,'Forecast Z Scores'!$A$1:$N$1541,14,FALSE)&gt;2,VLOOKUP(A25,'Forecast Z Scores'!$A$1:$N$1541,13,FALSE)/VLOOKUP(A25,'Forecast Z Scores'!$A$1:$N$1541,14,FALSE),"Not Enough Data")</f>
        <v>-4.1469481983762553E-2</v>
      </c>
      <c r="H25">
        <v>-7.6675337707901248E-2</v>
      </c>
    </row>
    <row r="26" spans="1:8" x14ac:dyDescent="0.35">
      <c r="A26" t="str">
        <f t="shared" si="0"/>
        <v>18097310110_2028</v>
      </c>
      <c r="B26">
        <v>18097310110</v>
      </c>
      <c r="C26">
        <v>2028</v>
      </c>
      <c r="E26">
        <f>-(IF(VLOOKUP(B26,'2023 Z Scores'!$A$1:$K$309,11,FALSE)&gt;2,VLOOKUP(B26,'2023 Z Scores'!$A$1:$K$309,10,FALSE)/VLOOKUP(B26,'2023 Z Scores'!$A$1:$K$309,11,FALSE),"Not Enough data"))</f>
        <v>-0.11046564504012513</v>
      </c>
      <c r="F26">
        <f>IF(VLOOKUP(A26,'Delta Z Scores'!$A$1:$N$1541,14,FALSE)&gt;2,VLOOKUP(A26,'Delta Z Scores'!$A$1:$N$1541,13,FALSE)/VLOOKUP(A26,'Delta Z Scores'!$A$1:$N$1541,14,FALSE),"Not Enough Data")</f>
        <v>-0.10534460111686673</v>
      </c>
      <c r="G26">
        <f>IF(VLOOKUP(A26,'Forecast Z Scores'!$A$1:$N$1541,14,FALSE)&gt;2,VLOOKUP(A26,'Forecast Z Scores'!$A$1:$N$1541,13,FALSE)/VLOOKUP(A26,'Forecast Z Scores'!$A$1:$N$1541,14,FALSE),"Not Enough Data")</f>
        <v>-6.322127986140956E-2</v>
      </c>
      <c r="H26">
        <v>-9.6094031783817035E-2</v>
      </c>
    </row>
    <row r="27" spans="1:8" x14ac:dyDescent="0.35">
      <c r="A27" t="str">
        <f t="shared" si="0"/>
        <v>18097310111_2024</v>
      </c>
      <c r="B27">
        <v>18097310111</v>
      </c>
      <c r="C27">
        <v>2024</v>
      </c>
      <c r="E27">
        <f>-(IF(VLOOKUP(B27,'2023 Z Scores'!$A$1:$K$309,11,FALSE)&gt;2,VLOOKUP(B27,'2023 Z Scores'!$A$1:$K$309,10,FALSE)/VLOOKUP(B27,'2023 Z Scores'!$A$1:$K$309,11,FALSE),"Not Enough data"))</f>
        <v>7.9246992414861731E-2</v>
      </c>
      <c r="F27">
        <f>IF(VLOOKUP(A27,'Delta Z Scores'!$A$1:$N$1541,14,FALSE)&gt;2,VLOOKUP(A27,'Delta Z Scores'!$A$1:$N$1541,13,FALSE)/VLOOKUP(A27,'Delta Z Scores'!$A$1:$N$1541,14,FALSE),"Not Enough Data")</f>
        <v>2.1125599501068154E-2</v>
      </c>
      <c r="G27">
        <f>IF(VLOOKUP(A27,'Forecast Z Scores'!$A$1:$N$1541,14,FALSE)&gt;2,VLOOKUP(A27,'Forecast Z Scores'!$A$1:$N$1541,13,FALSE)/VLOOKUP(A27,'Forecast Z Scores'!$A$1:$N$1541,14,FALSE),"Not Enough Data")</f>
        <v>-0.20921354258327129</v>
      </c>
      <c r="H27">
        <v>-2.1928837791568314E-2</v>
      </c>
    </row>
    <row r="28" spans="1:8" x14ac:dyDescent="0.35">
      <c r="A28" t="str">
        <f t="shared" si="0"/>
        <v>18097310111_2025</v>
      </c>
      <c r="B28">
        <v>18097310111</v>
      </c>
      <c r="C28">
        <v>2025</v>
      </c>
      <c r="E28">
        <f>-(IF(VLOOKUP(B28,'2023 Z Scores'!$A$1:$K$309,11,FALSE)&gt;2,VLOOKUP(B28,'2023 Z Scores'!$A$1:$K$309,10,FALSE)/VLOOKUP(B28,'2023 Z Scores'!$A$1:$K$309,11,FALSE),"Not Enough data"))</f>
        <v>7.9246992414861731E-2</v>
      </c>
      <c r="F28">
        <f>IF(VLOOKUP(A28,'Delta Z Scores'!$A$1:$N$1541,14,FALSE)&gt;2,VLOOKUP(A28,'Delta Z Scores'!$A$1:$N$1541,13,FALSE)/VLOOKUP(A28,'Delta Z Scores'!$A$1:$N$1541,14,FALSE),"Not Enough Data")</f>
        <v>-0.17606258248543893</v>
      </c>
      <c r="G28">
        <f>IF(VLOOKUP(A28,'Forecast Z Scores'!$A$1:$N$1541,14,FALSE)&gt;2,VLOOKUP(A28,'Forecast Z Scores'!$A$1:$N$1541,13,FALSE)/VLOOKUP(A28,'Forecast Z Scores'!$A$1:$N$1541,14,FALSE),"Not Enough Data")</f>
        <v>-0.23030776951815177</v>
      </c>
      <c r="H28">
        <v>-0.12579648551854197</v>
      </c>
    </row>
    <row r="29" spans="1:8" x14ac:dyDescent="0.35">
      <c r="A29" t="str">
        <f t="shared" si="0"/>
        <v>18097310111_2026</v>
      </c>
      <c r="B29">
        <v>18097310111</v>
      </c>
      <c r="C29">
        <v>2026</v>
      </c>
      <c r="E29">
        <f>-(IF(VLOOKUP(B29,'2023 Z Scores'!$A$1:$K$309,11,FALSE)&gt;2,VLOOKUP(B29,'2023 Z Scores'!$A$1:$K$309,10,FALSE)/VLOOKUP(B29,'2023 Z Scores'!$A$1:$K$309,11,FALSE),"Not Enough data"))</f>
        <v>7.9246992414861731E-2</v>
      </c>
      <c r="F29">
        <f>IF(VLOOKUP(A29,'Delta Z Scores'!$A$1:$N$1541,14,FALSE)&gt;2,VLOOKUP(A29,'Delta Z Scores'!$A$1:$N$1541,13,FALSE)/VLOOKUP(A29,'Delta Z Scores'!$A$1:$N$1541,14,FALSE),"Not Enough Data")</f>
        <v>-0.24925754525857141</v>
      </c>
      <c r="G29">
        <f>IF(VLOOKUP(A29,'Forecast Z Scores'!$A$1:$N$1541,14,FALSE)&gt;2,VLOOKUP(A29,'Forecast Z Scores'!$A$1:$N$1541,13,FALSE)/VLOOKUP(A29,'Forecast Z Scores'!$A$1:$N$1541,14,FALSE),"Not Enough Data")</f>
        <v>-0.2618021433351681</v>
      </c>
      <c r="H29">
        <v>-0.1702675603593623</v>
      </c>
    </row>
    <row r="30" spans="1:8" x14ac:dyDescent="0.35">
      <c r="A30" t="str">
        <f t="shared" si="0"/>
        <v>18097310111_2027</v>
      </c>
      <c r="B30">
        <v>18097310111</v>
      </c>
      <c r="C30">
        <v>2027</v>
      </c>
      <c r="E30">
        <f>-(IF(VLOOKUP(B30,'2023 Z Scores'!$A$1:$K$309,11,FALSE)&gt;2,VLOOKUP(B30,'2023 Z Scores'!$A$1:$K$309,10,FALSE)/VLOOKUP(B30,'2023 Z Scores'!$A$1:$K$309,11,FALSE),"Not Enough data"))</f>
        <v>7.9246992414861731E-2</v>
      </c>
      <c r="F30">
        <f>IF(VLOOKUP(A30,'Delta Z Scores'!$A$1:$N$1541,14,FALSE)&gt;2,VLOOKUP(A30,'Delta Z Scores'!$A$1:$N$1541,13,FALSE)/VLOOKUP(A30,'Delta Z Scores'!$A$1:$N$1541,14,FALSE),"Not Enough Data")</f>
        <v>-0.20891040063316998</v>
      </c>
      <c r="G30">
        <f>IF(VLOOKUP(A30,'Forecast Z Scores'!$A$1:$N$1541,14,FALSE)&gt;2,VLOOKUP(A30,'Forecast Z Scores'!$A$1:$N$1541,13,FALSE)/VLOOKUP(A30,'Forecast Z Scores'!$A$1:$N$1541,14,FALSE),"Not Enough Data")</f>
        <v>-0.2908307484599732</v>
      </c>
      <c r="H30">
        <v>-0.15735113932786285</v>
      </c>
    </row>
    <row r="31" spans="1:8" x14ac:dyDescent="0.35">
      <c r="A31" t="str">
        <f t="shared" si="0"/>
        <v>18097310111_2028</v>
      </c>
      <c r="B31">
        <v>18097310111</v>
      </c>
      <c r="C31">
        <v>2028</v>
      </c>
      <c r="E31">
        <f>-(IF(VLOOKUP(B31,'2023 Z Scores'!$A$1:$K$309,11,FALSE)&gt;2,VLOOKUP(B31,'2023 Z Scores'!$A$1:$K$309,10,FALSE)/VLOOKUP(B31,'2023 Z Scores'!$A$1:$K$309,11,FALSE),"Not Enough data"))</f>
        <v>7.9246992414861731E-2</v>
      </c>
      <c r="F31">
        <f>IF(VLOOKUP(A31,'Delta Z Scores'!$A$1:$N$1541,14,FALSE)&gt;2,VLOOKUP(A31,'Delta Z Scores'!$A$1:$N$1541,13,FALSE)/VLOOKUP(A31,'Delta Z Scores'!$A$1:$N$1541,14,FALSE),"Not Enough Data")</f>
        <v>-0.22322034878612865</v>
      </c>
      <c r="G31">
        <f>IF(VLOOKUP(A31,'Forecast Z Scores'!$A$1:$N$1541,14,FALSE)&gt;2,VLOOKUP(A31,'Forecast Z Scores'!$A$1:$N$1541,13,FALSE)/VLOOKUP(A31,'Forecast Z Scores'!$A$1:$N$1541,14,FALSE),"Not Enough Data")</f>
        <v>-0.32085498102016746</v>
      </c>
      <c r="H31">
        <v>-0.17201217154439075</v>
      </c>
    </row>
    <row r="32" spans="1:8" x14ac:dyDescent="0.35">
      <c r="A32" t="str">
        <f t="shared" si="0"/>
        <v>18097310112_2024</v>
      </c>
      <c r="B32">
        <v>18097310112</v>
      </c>
      <c r="C32">
        <v>2024</v>
      </c>
      <c r="E32">
        <f>-(IF(VLOOKUP(B32,'2023 Z Scores'!$A$1:$K$309,11,FALSE)&gt;2,VLOOKUP(B32,'2023 Z Scores'!$A$1:$K$309,10,FALSE)/VLOOKUP(B32,'2023 Z Scores'!$A$1:$K$309,11,FALSE),"Not Enough data"))</f>
        <v>-1.2714350302028838</v>
      </c>
      <c r="F32">
        <f>IF(VLOOKUP(A32,'Delta Z Scores'!$A$1:$N$1541,14,FALSE)&gt;2,VLOOKUP(A32,'Delta Z Scores'!$A$1:$N$1541,13,FALSE)/VLOOKUP(A32,'Delta Z Scores'!$A$1:$N$1541,14,FALSE),"Not Enough Data")</f>
        <v>-0.40413639285318292</v>
      </c>
      <c r="G32">
        <f>IF(VLOOKUP(A32,'Forecast Z Scores'!$A$1:$N$1541,14,FALSE)&gt;2,VLOOKUP(A32,'Forecast Z Scores'!$A$1:$N$1541,13,FALSE)/VLOOKUP(A32,'Forecast Z Scores'!$A$1:$N$1541,14,FALSE),"Not Enough Data")</f>
        <v>1.3637240718405208</v>
      </c>
      <c r="H32">
        <v>-0.17899593601718222</v>
      </c>
    </row>
    <row r="33" spans="1:8" x14ac:dyDescent="0.35">
      <c r="A33" t="str">
        <f t="shared" si="0"/>
        <v>18097310112_2025</v>
      </c>
      <c r="B33">
        <v>18097310112</v>
      </c>
      <c r="C33">
        <v>2025</v>
      </c>
      <c r="E33">
        <f>-(IF(VLOOKUP(B33,'2023 Z Scores'!$A$1:$K$309,11,FALSE)&gt;2,VLOOKUP(B33,'2023 Z Scores'!$A$1:$K$309,10,FALSE)/VLOOKUP(B33,'2023 Z Scores'!$A$1:$K$309,11,FALSE),"Not Enough data"))</f>
        <v>-1.2714350302028838</v>
      </c>
      <c r="F33">
        <f>IF(VLOOKUP(A33,'Delta Z Scores'!$A$1:$N$1541,14,FALSE)&gt;2,VLOOKUP(A33,'Delta Z Scores'!$A$1:$N$1541,13,FALSE)/VLOOKUP(A33,'Delta Z Scores'!$A$1:$N$1541,14,FALSE),"Not Enough Data")</f>
        <v>-0.17399117335931347</v>
      </c>
      <c r="G33">
        <f>IF(VLOOKUP(A33,'Forecast Z Scores'!$A$1:$N$1541,14,FALSE)&gt;2,VLOOKUP(A33,'Forecast Z Scores'!$A$1:$N$1541,13,FALSE)/VLOOKUP(A33,'Forecast Z Scores'!$A$1:$N$1541,14,FALSE),"Not Enough Data")</f>
        <v>1.4100038312009922</v>
      </c>
      <c r="H33">
        <v>-5.2353386430129656E-2</v>
      </c>
    </row>
    <row r="34" spans="1:8" x14ac:dyDescent="0.35">
      <c r="A34" t="str">
        <f t="shared" si="0"/>
        <v>18097310112_2026</v>
      </c>
      <c r="B34">
        <v>18097310112</v>
      </c>
      <c r="C34">
        <v>2026</v>
      </c>
      <c r="E34">
        <f>-(IF(VLOOKUP(B34,'2023 Z Scores'!$A$1:$K$309,11,FALSE)&gt;2,VLOOKUP(B34,'2023 Z Scores'!$A$1:$K$309,10,FALSE)/VLOOKUP(B34,'2023 Z Scores'!$A$1:$K$309,11,FALSE),"Not Enough data"))</f>
        <v>-1.2714350302028838</v>
      </c>
      <c r="F34">
        <f>IF(VLOOKUP(A34,'Delta Z Scores'!$A$1:$N$1541,14,FALSE)&gt;2,VLOOKUP(A34,'Delta Z Scores'!$A$1:$N$1541,13,FALSE)/VLOOKUP(A34,'Delta Z Scores'!$A$1:$N$1541,14,FALSE),"Not Enough Data")</f>
        <v>-8.2854154354887521E-2</v>
      </c>
      <c r="G34">
        <f>IF(VLOOKUP(A34,'Forecast Z Scores'!$A$1:$N$1541,14,FALSE)&gt;2,VLOOKUP(A34,'Forecast Z Scores'!$A$1:$N$1541,13,FALSE)/VLOOKUP(A34,'Forecast Z Scores'!$A$1:$N$1541,14,FALSE),"Not Enough Data")</f>
        <v>1.4440179471358767</v>
      </c>
      <c r="H34">
        <v>1.7186520558044593E-3</v>
      </c>
    </row>
    <row r="35" spans="1:8" x14ac:dyDescent="0.35">
      <c r="A35" t="str">
        <f t="shared" si="0"/>
        <v>18097310112_2027</v>
      </c>
      <c r="B35">
        <v>18097310112</v>
      </c>
      <c r="C35">
        <v>2027</v>
      </c>
      <c r="E35">
        <f>-(IF(VLOOKUP(B35,'2023 Z Scores'!$A$1:$K$309,11,FALSE)&gt;2,VLOOKUP(B35,'2023 Z Scores'!$A$1:$K$309,10,FALSE)/VLOOKUP(B35,'2023 Z Scores'!$A$1:$K$309,11,FALSE),"Not Enough data"))</f>
        <v>-1.2714350302028838</v>
      </c>
      <c r="F35">
        <f>IF(VLOOKUP(A35,'Delta Z Scores'!$A$1:$N$1541,14,FALSE)&gt;2,VLOOKUP(A35,'Delta Z Scores'!$A$1:$N$1541,13,FALSE)/VLOOKUP(A35,'Delta Z Scores'!$A$1:$N$1541,14,FALSE),"Not Enough Data")</f>
        <v>-0.2172141262641574</v>
      </c>
      <c r="G35">
        <f>IF(VLOOKUP(A35,'Forecast Z Scores'!$A$1:$N$1541,14,FALSE)&gt;2,VLOOKUP(A35,'Forecast Z Scores'!$A$1:$N$1541,13,FALSE)/VLOOKUP(A35,'Forecast Z Scores'!$A$1:$N$1541,14,FALSE),"Not Enough Data")</f>
        <v>1.469546307935415</v>
      </c>
      <c r="H35">
        <v>-5.9079243698945905E-2</v>
      </c>
    </row>
    <row r="36" spans="1:8" x14ac:dyDescent="0.35">
      <c r="A36" t="str">
        <f t="shared" si="0"/>
        <v>18097310112_2028</v>
      </c>
      <c r="B36">
        <v>18097310112</v>
      </c>
      <c r="C36">
        <v>2028</v>
      </c>
      <c r="E36">
        <f>-(IF(VLOOKUP(B36,'2023 Z Scores'!$A$1:$K$309,11,FALSE)&gt;2,VLOOKUP(B36,'2023 Z Scores'!$A$1:$K$309,10,FALSE)/VLOOKUP(B36,'2023 Z Scores'!$A$1:$K$309,11,FALSE),"Not Enough data"))</f>
        <v>-1.2714350302028838</v>
      </c>
      <c r="F36">
        <f>IF(VLOOKUP(A36,'Delta Z Scores'!$A$1:$N$1541,14,FALSE)&gt;2,VLOOKUP(A36,'Delta Z Scores'!$A$1:$N$1541,13,FALSE)/VLOOKUP(A36,'Delta Z Scores'!$A$1:$N$1541,14,FALSE),"Not Enough Data")</f>
        <v>3.0074020899157932E-2</v>
      </c>
      <c r="G36">
        <f>IF(VLOOKUP(A36,'Forecast Z Scores'!$A$1:$N$1541,14,FALSE)&gt;2,VLOOKUP(A36,'Forecast Z Scores'!$A$1:$N$1541,13,FALSE)/VLOOKUP(A36,'Forecast Z Scores'!$A$1:$N$1541,14,FALSE),"Not Enough Data")</f>
        <v>1.5038818184696732</v>
      </c>
      <c r="H36">
        <v>7.3148707516276279E-2</v>
      </c>
    </row>
    <row r="37" spans="1:8" x14ac:dyDescent="0.35">
      <c r="A37" t="str">
        <f t="shared" si="0"/>
        <v>18097310113_2024</v>
      </c>
      <c r="B37">
        <v>18097310113</v>
      </c>
      <c r="C37">
        <v>2024</v>
      </c>
      <c r="E37">
        <f>-(IF(VLOOKUP(B37,'2023 Z Scores'!$A$1:$K$309,11,FALSE)&gt;2,VLOOKUP(B37,'2023 Z Scores'!$A$1:$K$309,10,FALSE)/VLOOKUP(B37,'2023 Z Scores'!$A$1:$K$309,11,FALSE),"Not Enough data"))</f>
        <v>-2.0854066167654981</v>
      </c>
      <c r="F37">
        <f>IF(VLOOKUP(A37,'Delta Z Scores'!$A$1:$N$1541,14,FALSE)&gt;2,VLOOKUP(A37,'Delta Z Scores'!$A$1:$N$1541,13,FALSE)/VLOOKUP(A37,'Delta Z Scores'!$A$1:$N$1541,14,FALSE),"Not Enough Data")</f>
        <v>0.20681884199229006</v>
      </c>
      <c r="G37">
        <f>IF(VLOOKUP(A37,'Forecast Z Scores'!$A$1:$N$1541,14,FALSE)&gt;2,VLOOKUP(A37,'Forecast Z Scores'!$A$1:$N$1541,13,FALSE)/VLOOKUP(A37,'Forecast Z Scores'!$A$1:$N$1541,14,FALSE),"Not Enough Data")</f>
        <v>1.2246320333792367</v>
      </c>
      <c r="H37">
        <v>-0.11178422485042033</v>
      </c>
    </row>
    <row r="38" spans="1:8" x14ac:dyDescent="0.35">
      <c r="A38" t="str">
        <f t="shared" si="0"/>
        <v>18097310113_2025</v>
      </c>
      <c r="B38">
        <v>18097310113</v>
      </c>
      <c r="C38">
        <v>2025</v>
      </c>
      <c r="E38">
        <f>-(IF(VLOOKUP(B38,'2023 Z Scores'!$A$1:$K$309,11,FALSE)&gt;2,VLOOKUP(B38,'2023 Z Scores'!$A$1:$K$309,10,FALSE)/VLOOKUP(B38,'2023 Z Scores'!$A$1:$K$309,11,FALSE),"Not Enough data"))</f>
        <v>-2.0854066167654981</v>
      </c>
      <c r="F38">
        <f>IF(VLOOKUP(A38,'Delta Z Scores'!$A$1:$N$1541,14,FALSE)&gt;2,VLOOKUP(A38,'Delta Z Scores'!$A$1:$N$1541,13,FALSE)/VLOOKUP(A38,'Delta Z Scores'!$A$1:$N$1541,14,FALSE),"Not Enough Data")</f>
        <v>0.20307388827235595</v>
      </c>
      <c r="G38">
        <f>IF(VLOOKUP(A38,'Forecast Z Scores'!$A$1:$N$1541,14,FALSE)&gt;2,VLOOKUP(A38,'Forecast Z Scores'!$A$1:$N$1541,13,FALSE)/VLOOKUP(A38,'Forecast Z Scores'!$A$1:$N$1541,14,FALSE),"Not Enough Data")</f>
        <v>1.2234716168907971</v>
      </c>
      <c r="H38">
        <v>-0.11394680583249728</v>
      </c>
    </row>
    <row r="39" spans="1:8" x14ac:dyDescent="0.35">
      <c r="A39" t="str">
        <f t="shared" si="0"/>
        <v>18097310113_2026</v>
      </c>
      <c r="B39">
        <v>18097310113</v>
      </c>
      <c r="C39">
        <v>2026</v>
      </c>
      <c r="E39">
        <f>-(IF(VLOOKUP(B39,'2023 Z Scores'!$A$1:$K$309,11,FALSE)&gt;2,VLOOKUP(B39,'2023 Z Scores'!$A$1:$K$309,10,FALSE)/VLOOKUP(B39,'2023 Z Scores'!$A$1:$K$309,11,FALSE),"Not Enough data"))</f>
        <v>-2.0854066167654981</v>
      </c>
      <c r="F39">
        <f>IF(VLOOKUP(A39,'Delta Z Scores'!$A$1:$N$1541,14,FALSE)&gt;2,VLOOKUP(A39,'Delta Z Scores'!$A$1:$N$1541,13,FALSE)/VLOOKUP(A39,'Delta Z Scores'!$A$1:$N$1541,14,FALSE),"Not Enough Data")</f>
        <v>0.33868515332039928</v>
      </c>
      <c r="G39">
        <f>IF(VLOOKUP(A39,'Forecast Z Scores'!$A$1:$N$1541,14,FALSE)&gt;2,VLOOKUP(A39,'Forecast Z Scores'!$A$1:$N$1541,13,FALSE)/VLOOKUP(A39,'Forecast Z Scores'!$A$1:$N$1541,14,FALSE),"Not Enough Data")</f>
        <v>1.2522115063436083</v>
      </c>
      <c r="H39">
        <v>-3.8956200945272801E-2</v>
      </c>
    </row>
    <row r="40" spans="1:8" x14ac:dyDescent="0.35">
      <c r="A40" t="str">
        <f t="shared" si="0"/>
        <v>18097310113_2027</v>
      </c>
      <c r="B40">
        <v>18097310113</v>
      </c>
      <c r="C40">
        <v>2027</v>
      </c>
      <c r="E40">
        <f>-(IF(VLOOKUP(B40,'2023 Z Scores'!$A$1:$K$309,11,FALSE)&gt;2,VLOOKUP(B40,'2023 Z Scores'!$A$1:$K$309,10,FALSE)/VLOOKUP(B40,'2023 Z Scores'!$A$1:$K$309,11,FALSE),"Not Enough data"))</f>
        <v>-2.0854066167654981</v>
      </c>
      <c r="F40">
        <f>IF(VLOOKUP(A40,'Delta Z Scores'!$A$1:$N$1541,14,FALSE)&gt;2,VLOOKUP(A40,'Delta Z Scores'!$A$1:$N$1541,13,FALSE)/VLOOKUP(A40,'Delta Z Scores'!$A$1:$N$1541,14,FALSE),"Not Enough Data")</f>
        <v>0.33963489105902162</v>
      </c>
      <c r="G40">
        <f>IF(VLOOKUP(A40,'Forecast Z Scores'!$A$1:$N$1541,14,FALSE)&gt;2,VLOOKUP(A40,'Forecast Z Scores'!$A$1:$N$1541,13,FALSE)/VLOOKUP(A40,'Forecast Z Scores'!$A$1:$N$1541,14,FALSE),"Not Enough Data")</f>
        <v>1.2528061767056973</v>
      </c>
      <c r="H40">
        <v>-3.8332664485439372E-2</v>
      </c>
    </row>
    <row r="41" spans="1:8" x14ac:dyDescent="0.35">
      <c r="A41" t="str">
        <f t="shared" si="0"/>
        <v>18097310113_2028</v>
      </c>
      <c r="B41">
        <v>18097310113</v>
      </c>
      <c r="C41">
        <v>2028</v>
      </c>
      <c r="E41">
        <f>-(IF(VLOOKUP(B41,'2023 Z Scores'!$A$1:$K$309,11,FALSE)&gt;2,VLOOKUP(B41,'2023 Z Scores'!$A$1:$K$309,10,FALSE)/VLOOKUP(B41,'2023 Z Scores'!$A$1:$K$309,11,FALSE),"Not Enough data"))</f>
        <v>-2.0854066167654981</v>
      </c>
      <c r="F41">
        <f>IF(VLOOKUP(A41,'Delta Z Scores'!$A$1:$N$1541,14,FALSE)&gt;2,VLOOKUP(A41,'Delta Z Scores'!$A$1:$N$1541,13,FALSE)/VLOOKUP(A41,'Delta Z Scores'!$A$1:$N$1541,14,FALSE),"Not Enough Data")</f>
        <v>0.42234369610412692</v>
      </c>
      <c r="G41">
        <f>IF(VLOOKUP(A41,'Forecast Z Scores'!$A$1:$N$1541,14,FALSE)&gt;2,VLOOKUP(A41,'Forecast Z Scores'!$A$1:$N$1541,13,FALSE)/VLOOKUP(A41,'Forecast Z Scores'!$A$1:$N$1541,14,FALSE),"Not Enough Data")</f>
        <v>1.2609699624041357</v>
      </c>
      <c r="H41">
        <v>5.0626844617228661E-3</v>
      </c>
    </row>
    <row r="42" spans="1:8" x14ac:dyDescent="0.35">
      <c r="A42" t="str">
        <f t="shared" si="0"/>
        <v>18097310201_2024</v>
      </c>
      <c r="B42">
        <v>18097310201</v>
      </c>
      <c r="C42">
        <v>2024</v>
      </c>
      <c r="E42">
        <f>-(IF(VLOOKUP(B42,'2023 Z Scores'!$A$1:$K$309,11,FALSE)&gt;2,VLOOKUP(B42,'2023 Z Scores'!$A$1:$K$309,10,FALSE)/VLOOKUP(B42,'2023 Z Scores'!$A$1:$K$309,11,FALSE),"Not Enough data"))</f>
        <v>-0.20395278155242558</v>
      </c>
      <c r="F42">
        <f>IF(VLOOKUP(A42,'Delta Z Scores'!$A$1:$N$1541,14,FALSE)&gt;2,VLOOKUP(A42,'Delta Z Scores'!$A$1:$N$1541,13,FALSE)/VLOOKUP(A42,'Delta Z Scores'!$A$1:$N$1541,14,FALSE),"Not Enough Data")</f>
        <v>-1.1514977503390273E-2</v>
      </c>
      <c r="G42">
        <f>IF(VLOOKUP(A42,'Forecast Z Scores'!$A$1:$N$1541,14,FALSE)&gt;2,VLOOKUP(A42,'Forecast Z Scores'!$A$1:$N$1541,13,FALSE)/VLOOKUP(A42,'Forecast Z Scores'!$A$1:$N$1541,14,FALSE),"Not Enough Data")</f>
        <v>0.11000847720144211</v>
      </c>
      <c r="H42">
        <v>-2.9243564839441002E-2</v>
      </c>
    </row>
    <row r="43" spans="1:8" x14ac:dyDescent="0.35">
      <c r="A43" t="str">
        <f t="shared" si="0"/>
        <v>18097310201_2025</v>
      </c>
      <c r="B43">
        <v>18097310201</v>
      </c>
      <c r="C43">
        <v>2025</v>
      </c>
      <c r="E43">
        <f>-(IF(VLOOKUP(B43,'2023 Z Scores'!$A$1:$K$309,11,FALSE)&gt;2,VLOOKUP(B43,'2023 Z Scores'!$A$1:$K$309,10,FALSE)/VLOOKUP(B43,'2023 Z Scores'!$A$1:$K$309,11,FALSE),"Not Enough data"))</f>
        <v>-0.20395278155242558</v>
      </c>
      <c r="F43">
        <f>IF(VLOOKUP(A43,'Delta Z Scores'!$A$1:$N$1541,14,FALSE)&gt;2,VLOOKUP(A43,'Delta Z Scores'!$A$1:$N$1541,13,FALSE)/VLOOKUP(A43,'Delta Z Scores'!$A$1:$N$1541,14,FALSE),"Not Enough Data")</f>
        <v>0.20326830027089199</v>
      </c>
      <c r="G43">
        <f>IF(VLOOKUP(A43,'Forecast Z Scores'!$A$1:$N$1541,14,FALSE)&gt;2,VLOOKUP(A43,'Forecast Z Scores'!$A$1:$N$1541,13,FALSE)/VLOOKUP(A43,'Forecast Z Scores'!$A$1:$N$1541,14,FALSE),"Not Enough Data")</f>
        <v>0.11626774553313951</v>
      </c>
      <c r="H43">
        <v>7.9712891130624464E-2</v>
      </c>
    </row>
    <row r="44" spans="1:8" x14ac:dyDescent="0.35">
      <c r="A44" t="str">
        <f t="shared" si="0"/>
        <v>18097310201_2026</v>
      </c>
      <c r="B44">
        <v>18097310201</v>
      </c>
      <c r="C44">
        <v>2026</v>
      </c>
      <c r="E44">
        <f>-(IF(VLOOKUP(B44,'2023 Z Scores'!$A$1:$K$309,11,FALSE)&gt;2,VLOOKUP(B44,'2023 Z Scores'!$A$1:$K$309,10,FALSE)/VLOOKUP(B44,'2023 Z Scores'!$A$1:$K$309,11,FALSE),"Not Enough data"))</f>
        <v>-0.20395278155242558</v>
      </c>
      <c r="F44">
        <f>IF(VLOOKUP(A44,'Delta Z Scores'!$A$1:$N$1541,14,FALSE)&gt;2,VLOOKUP(A44,'Delta Z Scores'!$A$1:$N$1541,13,FALSE)/VLOOKUP(A44,'Delta Z Scores'!$A$1:$N$1541,14,FALSE),"Not Enough Data")</f>
        <v>3.7277449258988279E-2</v>
      </c>
      <c r="G44">
        <f>IF(VLOOKUP(A44,'Forecast Z Scores'!$A$1:$N$1541,14,FALSE)&gt;2,VLOOKUP(A44,'Forecast Z Scores'!$A$1:$N$1541,13,FALSE)/VLOOKUP(A44,'Forecast Z Scores'!$A$1:$N$1541,14,FALSE),"Not Enough Data")</f>
        <v>9.3416310673366587E-2</v>
      </c>
      <c r="H44">
        <v>-8.9953930902706078E-3</v>
      </c>
    </row>
    <row r="45" spans="1:8" x14ac:dyDescent="0.35">
      <c r="A45" t="str">
        <f t="shared" si="0"/>
        <v>18097310201_2027</v>
      </c>
      <c r="B45">
        <v>18097310201</v>
      </c>
      <c r="C45">
        <v>2027</v>
      </c>
      <c r="E45">
        <f>-(IF(VLOOKUP(B45,'2023 Z Scores'!$A$1:$K$309,11,FALSE)&gt;2,VLOOKUP(B45,'2023 Z Scores'!$A$1:$K$309,10,FALSE)/VLOOKUP(B45,'2023 Z Scores'!$A$1:$K$309,11,FALSE),"Not Enough data"))</f>
        <v>-0.20395278155242558</v>
      </c>
      <c r="F45">
        <f>IF(VLOOKUP(A45,'Delta Z Scores'!$A$1:$N$1541,14,FALSE)&gt;2,VLOOKUP(A45,'Delta Z Scores'!$A$1:$N$1541,13,FALSE)/VLOOKUP(A45,'Delta Z Scores'!$A$1:$N$1541,14,FALSE),"Not Enough Data")</f>
        <v>0.11444528623660263</v>
      </c>
      <c r="G45">
        <f>IF(VLOOKUP(A45,'Forecast Z Scores'!$A$1:$N$1541,14,FALSE)&gt;2,VLOOKUP(A45,'Forecast Z Scores'!$A$1:$N$1541,13,FALSE)/VLOOKUP(A45,'Forecast Z Scores'!$A$1:$N$1541,14,FALSE),"Not Enough Data")</f>
        <v>7.9044345783651174E-2</v>
      </c>
      <c r="H45">
        <v>2.5995534176107712E-2</v>
      </c>
    </row>
    <row r="46" spans="1:8" x14ac:dyDescent="0.35">
      <c r="A46" t="str">
        <f t="shared" si="0"/>
        <v>18097310201_2028</v>
      </c>
      <c r="B46">
        <v>18097310201</v>
      </c>
      <c r="C46">
        <v>2028</v>
      </c>
      <c r="E46">
        <f>-(IF(VLOOKUP(B46,'2023 Z Scores'!$A$1:$K$309,11,FALSE)&gt;2,VLOOKUP(B46,'2023 Z Scores'!$A$1:$K$309,10,FALSE)/VLOOKUP(B46,'2023 Z Scores'!$A$1:$K$309,11,FALSE),"Not Enough data"))</f>
        <v>-0.20395278155242558</v>
      </c>
      <c r="F46">
        <f>IF(VLOOKUP(A46,'Delta Z Scores'!$A$1:$N$1541,14,FALSE)&gt;2,VLOOKUP(A46,'Delta Z Scores'!$A$1:$N$1541,13,FALSE)/VLOOKUP(A46,'Delta Z Scores'!$A$1:$N$1541,14,FALSE),"Not Enough Data")</f>
        <v>4.6976876756986412E-2</v>
      </c>
      <c r="G46">
        <f>IF(VLOOKUP(A46,'Forecast Z Scores'!$A$1:$N$1541,14,FALSE)&gt;2,VLOOKUP(A46,'Forecast Z Scores'!$A$1:$N$1541,13,FALSE)/VLOOKUP(A46,'Forecast Z Scores'!$A$1:$N$1541,14,FALSE),"Not Enough Data")</f>
        <v>5.2675919549089005E-2</v>
      </c>
      <c r="H46">
        <v>-1.4330777122340939E-2</v>
      </c>
    </row>
    <row r="47" spans="1:8" x14ac:dyDescent="0.35">
      <c r="A47" t="str">
        <f t="shared" si="0"/>
        <v>18097310203_2024</v>
      </c>
      <c r="B47">
        <v>18097310203</v>
      </c>
      <c r="C47">
        <v>2024</v>
      </c>
      <c r="E47">
        <f>-(IF(VLOOKUP(B47,'2023 Z Scores'!$A$1:$K$309,11,FALSE)&gt;2,VLOOKUP(B47,'2023 Z Scores'!$A$1:$K$309,10,FALSE)/VLOOKUP(B47,'2023 Z Scores'!$A$1:$K$309,11,FALSE),"Not Enough data"))</f>
        <v>-0.35919424212032375</v>
      </c>
      <c r="F47">
        <f>IF(VLOOKUP(A47,'Delta Z Scores'!$A$1:$N$1541,14,FALSE)&gt;2,VLOOKUP(A47,'Delta Z Scores'!$A$1:$N$1541,13,FALSE)/VLOOKUP(A47,'Delta Z Scores'!$A$1:$N$1541,14,FALSE),"Not Enough Data")</f>
        <v>-9.9296268148756986E-2</v>
      </c>
      <c r="G47">
        <f>IF(VLOOKUP(A47,'Forecast Z Scores'!$A$1:$N$1541,14,FALSE)&gt;2,VLOOKUP(A47,'Forecast Z Scores'!$A$1:$N$1541,13,FALSE)/VLOOKUP(A47,'Forecast Z Scores'!$A$1:$N$1541,14,FALSE),"Not Enough Data")</f>
        <v>0.35968959388135135</v>
      </c>
      <c r="H47">
        <v>-4.9524296134121591E-2</v>
      </c>
    </row>
    <row r="48" spans="1:8" x14ac:dyDescent="0.35">
      <c r="A48" t="str">
        <f t="shared" si="0"/>
        <v>18097310203_2025</v>
      </c>
      <c r="B48">
        <v>18097310203</v>
      </c>
      <c r="C48">
        <v>2025</v>
      </c>
      <c r="E48">
        <f>-(IF(VLOOKUP(B48,'2023 Z Scores'!$A$1:$K$309,11,FALSE)&gt;2,VLOOKUP(B48,'2023 Z Scores'!$A$1:$K$309,10,FALSE)/VLOOKUP(B48,'2023 Z Scores'!$A$1:$K$309,11,FALSE),"Not Enough data"))</f>
        <v>-0.35919424212032375</v>
      </c>
      <c r="F48">
        <f>IF(VLOOKUP(A48,'Delta Z Scores'!$A$1:$N$1541,14,FALSE)&gt;2,VLOOKUP(A48,'Delta Z Scores'!$A$1:$N$1541,13,FALSE)/VLOOKUP(A48,'Delta Z Scores'!$A$1:$N$1541,14,FALSE),"Not Enough Data")</f>
        <v>-1.5711265275908926E-2</v>
      </c>
      <c r="G48">
        <f>IF(VLOOKUP(A48,'Forecast Z Scores'!$A$1:$N$1541,14,FALSE)&gt;2,VLOOKUP(A48,'Forecast Z Scores'!$A$1:$N$1541,13,FALSE)/VLOOKUP(A48,'Forecast Z Scores'!$A$1:$N$1541,14,FALSE),"Not Enough Data")</f>
        <v>0.36921698647595785</v>
      </c>
      <c r="H48">
        <v>-5.3499465490459419E-3</v>
      </c>
    </row>
    <row r="49" spans="1:8" x14ac:dyDescent="0.35">
      <c r="A49" t="str">
        <f t="shared" si="0"/>
        <v>18097310203_2026</v>
      </c>
      <c r="B49">
        <v>18097310203</v>
      </c>
      <c r="C49">
        <v>2026</v>
      </c>
      <c r="E49">
        <f>-(IF(VLOOKUP(B49,'2023 Z Scores'!$A$1:$K$309,11,FALSE)&gt;2,VLOOKUP(B49,'2023 Z Scores'!$A$1:$K$309,10,FALSE)/VLOOKUP(B49,'2023 Z Scores'!$A$1:$K$309,11,FALSE),"Not Enough data"))</f>
        <v>-0.35919424212032375</v>
      </c>
      <c r="F49">
        <f>IF(VLOOKUP(A49,'Delta Z Scores'!$A$1:$N$1541,14,FALSE)&gt;2,VLOOKUP(A49,'Delta Z Scores'!$A$1:$N$1541,13,FALSE)/VLOOKUP(A49,'Delta Z Scores'!$A$1:$N$1541,14,FALSE),"Not Enough Data")</f>
        <v>-0.10560705908528441</v>
      </c>
      <c r="G49">
        <f>IF(VLOOKUP(A49,'Forecast Z Scores'!$A$1:$N$1541,14,FALSE)&gt;2,VLOOKUP(A49,'Forecast Z Scores'!$A$1:$N$1541,13,FALSE)/VLOOKUP(A49,'Forecast Z Scores'!$A$1:$N$1541,14,FALSE),"Not Enough Data")</f>
        <v>0.34637785804904392</v>
      </c>
      <c r="H49">
        <v>-5.6007625560462161E-2</v>
      </c>
    </row>
    <row r="50" spans="1:8" x14ac:dyDescent="0.35">
      <c r="A50" t="str">
        <f t="shared" si="0"/>
        <v>18097310203_2027</v>
      </c>
      <c r="B50">
        <v>18097310203</v>
      </c>
      <c r="C50">
        <v>2027</v>
      </c>
      <c r="E50">
        <f>-(IF(VLOOKUP(B50,'2023 Z Scores'!$A$1:$K$309,11,FALSE)&gt;2,VLOOKUP(B50,'2023 Z Scores'!$A$1:$K$309,10,FALSE)/VLOOKUP(B50,'2023 Z Scores'!$A$1:$K$309,11,FALSE),"Not Enough data"))</f>
        <v>-0.35919424212032375</v>
      </c>
      <c r="F50">
        <f>IF(VLOOKUP(A50,'Delta Z Scores'!$A$1:$N$1541,14,FALSE)&gt;2,VLOOKUP(A50,'Delta Z Scores'!$A$1:$N$1541,13,FALSE)/VLOOKUP(A50,'Delta Z Scores'!$A$1:$N$1541,14,FALSE),"Not Enough Data")</f>
        <v>1.461435496879326E-2</v>
      </c>
      <c r="G50">
        <f>IF(VLOOKUP(A50,'Forecast Z Scores'!$A$1:$N$1541,14,FALSE)&gt;2,VLOOKUP(A50,'Forecast Z Scores'!$A$1:$N$1541,13,FALSE)/VLOOKUP(A50,'Forecast Z Scores'!$A$1:$N$1541,14,FALSE),"Not Enough Data")</f>
        <v>0.33586620556175595</v>
      </c>
      <c r="H50">
        <v>1.4751683447546821E-3</v>
      </c>
    </row>
    <row r="51" spans="1:8" x14ac:dyDescent="0.35">
      <c r="A51" t="str">
        <f t="shared" si="0"/>
        <v>18097310203_2028</v>
      </c>
      <c r="B51">
        <v>18097310203</v>
      </c>
      <c r="C51">
        <v>2028</v>
      </c>
      <c r="E51">
        <f>-(IF(VLOOKUP(B51,'2023 Z Scores'!$A$1:$K$309,11,FALSE)&gt;2,VLOOKUP(B51,'2023 Z Scores'!$A$1:$K$309,10,FALSE)/VLOOKUP(B51,'2023 Z Scores'!$A$1:$K$309,11,FALSE),"Not Enough data"))</f>
        <v>-0.35919424212032375</v>
      </c>
      <c r="F51">
        <f>IF(VLOOKUP(A51,'Delta Z Scores'!$A$1:$N$1541,14,FALSE)&gt;2,VLOOKUP(A51,'Delta Z Scores'!$A$1:$N$1541,13,FALSE)/VLOOKUP(A51,'Delta Z Scores'!$A$1:$N$1541,14,FALSE),"Not Enough Data")</f>
        <v>3.3755091667830472E-2</v>
      </c>
      <c r="G51">
        <f>IF(VLOOKUP(A51,'Forecast Z Scores'!$A$1:$N$1541,14,FALSE)&gt;2,VLOOKUP(A51,'Forecast Z Scores'!$A$1:$N$1541,13,FALSE)/VLOOKUP(A51,'Forecast Z Scores'!$A$1:$N$1541,14,FALSE),"Not Enough Data")</f>
        <v>0.31414036906989051</v>
      </c>
      <c r="H51">
        <v>5.6140775713069274E-3</v>
      </c>
    </row>
    <row r="52" spans="1:8" x14ac:dyDescent="0.35">
      <c r="A52" t="str">
        <f t="shared" si="0"/>
        <v>18097310204_2024</v>
      </c>
      <c r="B52">
        <v>18097310204</v>
      </c>
      <c r="C52">
        <v>2024</v>
      </c>
      <c r="E52">
        <f>-(IF(VLOOKUP(B52,'2023 Z Scores'!$A$1:$K$309,11,FALSE)&gt;2,VLOOKUP(B52,'2023 Z Scores'!$A$1:$K$309,10,FALSE)/VLOOKUP(B52,'2023 Z Scores'!$A$1:$K$309,11,FALSE),"Not Enough data"))</f>
        <v>-0.33185976890385455</v>
      </c>
      <c r="F52">
        <f>IF(VLOOKUP(A52,'Delta Z Scores'!$A$1:$N$1541,14,FALSE)&gt;2,VLOOKUP(A52,'Delta Z Scores'!$A$1:$N$1541,13,FALSE)/VLOOKUP(A52,'Delta Z Scores'!$A$1:$N$1541,14,FALSE),"Not Enough Data")</f>
        <v>-3.9036881712896467E-2</v>
      </c>
      <c r="G52">
        <f>IF(VLOOKUP(A52,'Forecast Z Scores'!$A$1:$N$1541,14,FALSE)&gt;2,VLOOKUP(A52,'Forecast Z Scores'!$A$1:$N$1541,13,FALSE)/VLOOKUP(A52,'Forecast Z Scores'!$A$1:$N$1541,14,FALSE),"Not Enough Data")</f>
        <v>0.14277834738194589</v>
      </c>
      <c r="H52">
        <v>-6.6788796236925393E-2</v>
      </c>
    </row>
    <row r="53" spans="1:8" x14ac:dyDescent="0.35">
      <c r="A53" t="str">
        <f t="shared" si="0"/>
        <v>18097310204_2025</v>
      </c>
      <c r="B53">
        <v>18097310204</v>
      </c>
      <c r="C53">
        <v>2025</v>
      </c>
      <c r="E53">
        <f>-(IF(VLOOKUP(B53,'2023 Z Scores'!$A$1:$K$309,11,FALSE)&gt;2,VLOOKUP(B53,'2023 Z Scores'!$A$1:$K$309,10,FALSE)/VLOOKUP(B53,'2023 Z Scores'!$A$1:$K$309,11,FALSE),"Not Enough data"))</f>
        <v>-0.33185976890385455</v>
      </c>
      <c r="F53">
        <f>IF(VLOOKUP(A53,'Delta Z Scores'!$A$1:$N$1541,14,FALSE)&gt;2,VLOOKUP(A53,'Delta Z Scores'!$A$1:$N$1541,13,FALSE)/VLOOKUP(A53,'Delta Z Scores'!$A$1:$N$1541,14,FALSE),"Not Enough Data")</f>
        <v>0.12926051129124091</v>
      </c>
      <c r="G53">
        <f>IF(VLOOKUP(A53,'Forecast Z Scores'!$A$1:$N$1541,14,FALSE)&gt;2,VLOOKUP(A53,'Forecast Z Scores'!$A$1:$N$1541,13,FALSE)/VLOOKUP(A53,'Forecast Z Scores'!$A$1:$N$1541,14,FALSE),"Not Enough Data")</f>
        <v>0.14898455292841561</v>
      </c>
      <c r="H53">
        <v>1.8911451651760725E-2</v>
      </c>
    </row>
    <row r="54" spans="1:8" x14ac:dyDescent="0.35">
      <c r="A54" t="str">
        <f t="shared" si="0"/>
        <v>18097310204_2026</v>
      </c>
      <c r="B54">
        <v>18097310204</v>
      </c>
      <c r="C54">
        <v>2026</v>
      </c>
      <c r="E54">
        <f>-(IF(VLOOKUP(B54,'2023 Z Scores'!$A$1:$K$309,11,FALSE)&gt;2,VLOOKUP(B54,'2023 Z Scores'!$A$1:$K$309,10,FALSE)/VLOOKUP(B54,'2023 Z Scores'!$A$1:$K$309,11,FALSE),"Not Enough data"))</f>
        <v>-0.33185976890385455</v>
      </c>
      <c r="F54">
        <f>IF(VLOOKUP(A54,'Delta Z Scores'!$A$1:$N$1541,14,FALSE)&gt;2,VLOOKUP(A54,'Delta Z Scores'!$A$1:$N$1541,13,FALSE)/VLOOKUP(A54,'Delta Z Scores'!$A$1:$N$1541,14,FALSE),"Not Enough Data")</f>
        <v>-7.412940807818463E-3</v>
      </c>
      <c r="G54">
        <f>IF(VLOOKUP(A54,'Forecast Z Scores'!$A$1:$N$1541,14,FALSE)&gt;2,VLOOKUP(A54,'Forecast Z Scores'!$A$1:$N$1541,13,FALSE)/VLOOKUP(A54,'Forecast Z Scores'!$A$1:$N$1541,14,FALSE),"Not Enough Data")</f>
        <v>0.13246926651310945</v>
      </c>
      <c r="H54">
        <v>-5.3554096001595511E-2</v>
      </c>
    </row>
    <row r="55" spans="1:8" x14ac:dyDescent="0.35">
      <c r="A55" t="str">
        <f t="shared" si="0"/>
        <v>18097310204_2027</v>
      </c>
      <c r="B55">
        <v>18097310204</v>
      </c>
      <c r="C55">
        <v>2027</v>
      </c>
      <c r="E55">
        <f>-(IF(VLOOKUP(B55,'2023 Z Scores'!$A$1:$K$309,11,FALSE)&gt;2,VLOOKUP(B55,'2023 Z Scores'!$A$1:$K$309,10,FALSE)/VLOOKUP(B55,'2023 Z Scores'!$A$1:$K$309,11,FALSE),"Not Enough data"))</f>
        <v>-0.33185976890385455</v>
      </c>
      <c r="F55">
        <f>IF(VLOOKUP(A55,'Delta Z Scores'!$A$1:$N$1541,14,FALSE)&gt;2,VLOOKUP(A55,'Delta Z Scores'!$A$1:$N$1541,13,FALSE)/VLOOKUP(A55,'Delta Z Scores'!$A$1:$N$1541,14,FALSE),"Not Enough Data")</f>
        <v>0.12151650044921211</v>
      </c>
      <c r="G55">
        <f>IF(VLOOKUP(A55,'Forecast Z Scores'!$A$1:$N$1541,14,FALSE)&gt;2,VLOOKUP(A55,'Forecast Z Scores'!$A$1:$N$1541,13,FALSE)/VLOOKUP(A55,'Forecast Z Scores'!$A$1:$N$1541,14,FALSE),"Not Enough Data")</f>
        <v>0.12339013580262644</v>
      </c>
      <c r="H55">
        <v>8.6408419492990246E-3</v>
      </c>
    </row>
    <row r="56" spans="1:8" x14ac:dyDescent="0.35">
      <c r="A56" t="str">
        <f t="shared" si="0"/>
        <v>18097310204_2028</v>
      </c>
      <c r="B56">
        <v>18097310204</v>
      </c>
      <c r="C56">
        <v>2028</v>
      </c>
      <c r="E56">
        <f>-(IF(VLOOKUP(B56,'2023 Z Scores'!$A$1:$K$309,11,FALSE)&gt;2,VLOOKUP(B56,'2023 Z Scores'!$A$1:$K$309,10,FALSE)/VLOOKUP(B56,'2023 Z Scores'!$A$1:$K$309,11,FALSE),"Not Enough data"))</f>
        <v>-0.33185976890385455</v>
      </c>
      <c r="F56">
        <f>IF(VLOOKUP(A56,'Delta Z Scores'!$A$1:$N$1541,14,FALSE)&gt;2,VLOOKUP(A56,'Delta Z Scores'!$A$1:$N$1541,13,FALSE)/VLOOKUP(A56,'Delta Z Scores'!$A$1:$N$1541,14,FALSE),"Not Enough Data")</f>
        <v>0.1293339481584575</v>
      </c>
      <c r="G56">
        <f>IF(VLOOKUP(A56,'Forecast Z Scores'!$A$1:$N$1541,14,FALSE)&gt;2,VLOOKUP(A56,'Forecast Z Scores'!$A$1:$N$1541,13,FALSE)/VLOOKUP(A56,'Forecast Z Scores'!$A$1:$N$1541,14,FALSE),"Not Enough Data")</f>
        <v>0.10539501589560824</v>
      </c>
      <c r="H56">
        <v>8.0507858271671728E-3</v>
      </c>
    </row>
    <row r="57" spans="1:8" x14ac:dyDescent="0.35">
      <c r="A57" t="str">
        <f t="shared" si="0"/>
        <v>18097310305_2024</v>
      </c>
      <c r="B57">
        <v>18097310305</v>
      </c>
      <c r="C57">
        <v>2024</v>
      </c>
      <c r="E57">
        <f>-(IF(VLOOKUP(B57,'2023 Z Scores'!$A$1:$K$309,11,FALSE)&gt;2,VLOOKUP(B57,'2023 Z Scores'!$A$1:$K$309,10,FALSE)/VLOOKUP(B57,'2023 Z Scores'!$A$1:$K$309,11,FALSE),"Not Enough data"))</f>
        <v>0.35937813113748784</v>
      </c>
      <c r="F57">
        <f>IF(VLOOKUP(A57,'Delta Z Scores'!$A$1:$N$1541,14,FALSE)&gt;2,VLOOKUP(A57,'Delta Z Scores'!$A$1:$N$1541,13,FALSE)/VLOOKUP(A57,'Delta Z Scores'!$A$1:$N$1541,14,FALSE),"Not Enough Data")</f>
        <v>-7.6306682258631797E-2</v>
      </c>
      <c r="G57">
        <f>IF(VLOOKUP(A57,'Forecast Z Scores'!$A$1:$N$1541,14,FALSE)&gt;2,VLOOKUP(A57,'Forecast Z Scores'!$A$1:$N$1541,13,FALSE)/VLOOKUP(A57,'Forecast Z Scores'!$A$1:$N$1541,14,FALSE),"Not Enough Data")</f>
        <v>-0.19069260186763065</v>
      </c>
      <c r="H57">
        <v>4.0180411881483996E-3</v>
      </c>
    </row>
    <row r="58" spans="1:8" x14ac:dyDescent="0.35">
      <c r="A58" t="str">
        <f t="shared" si="0"/>
        <v>18097310305_2025</v>
      </c>
      <c r="B58">
        <v>18097310305</v>
      </c>
      <c r="C58">
        <v>2025</v>
      </c>
      <c r="E58">
        <f>-(IF(VLOOKUP(B58,'2023 Z Scores'!$A$1:$K$309,11,FALSE)&gt;2,VLOOKUP(B58,'2023 Z Scores'!$A$1:$K$309,10,FALSE)/VLOOKUP(B58,'2023 Z Scores'!$A$1:$K$309,11,FALSE),"Not Enough data"))</f>
        <v>0.35937813113748784</v>
      </c>
      <c r="F58">
        <f>IF(VLOOKUP(A58,'Delta Z Scores'!$A$1:$N$1541,14,FALSE)&gt;2,VLOOKUP(A58,'Delta Z Scores'!$A$1:$N$1541,13,FALSE)/VLOOKUP(A58,'Delta Z Scores'!$A$1:$N$1541,14,FALSE),"Not Enough Data")</f>
        <v>-0.25639209521283063</v>
      </c>
      <c r="G58">
        <f>IF(VLOOKUP(A58,'Forecast Z Scores'!$A$1:$N$1541,14,FALSE)&gt;2,VLOOKUP(A58,'Forecast Z Scores'!$A$1:$N$1541,13,FALSE)/VLOOKUP(A58,'Forecast Z Scores'!$A$1:$N$1541,14,FALSE),"Not Enough Data")</f>
        <v>-0.19690512075309838</v>
      </c>
      <c r="H58">
        <v>-8.7577795010317955E-2</v>
      </c>
    </row>
    <row r="59" spans="1:8" x14ac:dyDescent="0.35">
      <c r="A59" t="str">
        <f t="shared" si="0"/>
        <v>18097310305_2026</v>
      </c>
      <c r="B59">
        <v>18097310305</v>
      </c>
      <c r="C59">
        <v>2026</v>
      </c>
      <c r="E59">
        <f>-(IF(VLOOKUP(B59,'2023 Z Scores'!$A$1:$K$309,11,FALSE)&gt;2,VLOOKUP(B59,'2023 Z Scores'!$A$1:$K$309,10,FALSE)/VLOOKUP(B59,'2023 Z Scores'!$A$1:$K$309,11,FALSE),"Not Enough data"))</f>
        <v>0.35937813113748784</v>
      </c>
      <c r="F59">
        <f>IF(VLOOKUP(A59,'Delta Z Scores'!$A$1:$N$1541,14,FALSE)&gt;2,VLOOKUP(A59,'Delta Z Scores'!$A$1:$N$1541,13,FALSE)/VLOOKUP(A59,'Delta Z Scores'!$A$1:$N$1541,14,FALSE),"Not Enough Data")</f>
        <v>-0.28754975670792249</v>
      </c>
      <c r="G59">
        <f>IF(VLOOKUP(A59,'Forecast Z Scores'!$A$1:$N$1541,14,FALSE)&gt;2,VLOOKUP(A59,'Forecast Z Scores'!$A$1:$N$1541,13,FALSE)/VLOOKUP(A59,'Forecast Z Scores'!$A$1:$N$1541,14,FALSE),"Not Enough Data")</f>
        <v>-0.21433674095322761</v>
      </c>
      <c r="H59">
        <v>-0.10751453080789619</v>
      </c>
    </row>
    <row r="60" spans="1:8" x14ac:dyDescent="0.35">
      <c r="A60" t="str">
        <f t="shared" si="0"/>
        <v>18097310305_2027</v>
      </c>
      <c r="B60">
        <v>18097310305</v>
      </c>
      <c r="C60">
        <v>2027</v>
      </c>
      <c r="E60">
        <f>-(IF(VLOOKUP(B60,'2023 Z Scores'!$A$1:$K$309,11,FALSE)&gt;2,VLOOKUP(B60,'2023 Z Scores'!$A$1:$K$309,10,FALSE)/VLOOKUP(B60,'2023 Z Scores'!$A$1:$K$309,11,FALSE),"Not Enough data"))</f>
        <v>0.35937813113748784</v>
      </c>
      <c r="F60">
        <f>IF(VLOOKUP(A60,'Delta Z Scores'!$A$1:$N$1541,14,FALSE)&gt;2,VLOOKUP(A60,'Delta Z Scores'!$A$1:$N$1541,13,FALSE)/VLOOKUP(A60,'Delta Z Scores'!$A$1:$N$1541,14,FALSE),"Not Enough Data")</f>
        <v>-0.29000057055658013</v>
      </c>
      <c r="G60">
        <f>IF(VLOOKUP(A60,'Forecast Z Scores'!$A$1:$N$1541,14,FALSE)&gt;2,VLOOKUP(A60,'Forecast Z Scores'!$A$1:$N$1541,13,FALSE)/VLOOKUP(A60,'Forecast Z Scores'!$A$1:$N$1541,14,FALSE),"Not Enough Data")</f>
        <v>-0.23549920628886664</v>
      </c>
      <c r="H60">
        <v>-0.11403055406613477</v>
      </c>
    </row>
    <row r="61" spans="1:8" x14ac:dyDescent="0.35">
      <c r="A61" t="str">
        <f t="shared" si="0"/>
        <v>18097310305_2028</v>
      </c>
      <c r="B61">
        <v>18097310305</v>
      </c>
      <c r="C61">
        <v>2028</v>
      </c>
      <c r="E61">
        <f>-(IF(VLOOKUP(B61,'2023 Z Scores'!$A$1:$K$309,11,FALSE)&gt;2,VLOOKUP(B61,'2023 Z Scores'!$A$1:$K$309,10,FALSE)/VLOOKUP(B61,'2023 Z Scores'!$A$1:$K$309,11,FALSE),"Not Enough data"))</f>
        <v>0.35937813113748784</v>
      </c>
      <c r="F61">
        <f>IF(VLOOKUP(A61,'Delta Z Scores'!$A$1:$N$1541,14,FALSE)&gt;2,VLOOKUP(A61,'Delta Z Scores'!$A$1:$N$1541,13,FALSE)/VLOOKUP(A61,'Delta Z Scores'!$A$1:$N$1541,14,FALSE),"Not Enough Data")</f>
        <v>-0.28546963961764066</v>
      </c>
      <c r="G61">
        <f>IF(VLOOKUP(A61,'Forecast Z Scores'!$A$1:$N$1541,14,FALSE)&gt;2,VLOOKUP(A61,'Forecast Z Scores'!$A$1:$N$1541,13,FALSE)/VLOOKUP(A61,'Forecast Z Scores'!$A$1:$N$1541,14,FALSE),"Not Enough Data")</f>
        <v>-0.25712247599800031</v>
      </c>
      <c r="H61">
        <v>-0.11717090602394845</v>
      </c>
    </row>
    <row r="62" spans="1:8" x14ac:dyDescent="0.35">
      <c r="A62" t="str">
        <f t="shared" si="0"/>
        <v>18097310306_2024</v>
      </c>
      <c r="B62">
        <v>18097310306</v>
      </c>
      <c r="C62">
        <v>2024</v>
      </c>
      <c r="E62">
        <f>-(IF(VLOOKUP(B62,'2023 Z Scores'!$A$1:$K$309,11,FALSE)&gt;2,VLOOKUP(B62,'2023 Z Scores'!$A$1:$K$309,10,FALSE)/VLOOKUP(B62,'2023 Z Scores'!$A$1:$K$309,11,FALSE),"Not Enough data"))</f>
        <v>0.37195592824370199</v>
      </c>
      <c r="F62">
        <f>IF(VLOOKUP(A62,'Delta Z Scores'!$A$1:$N$1541,14,FALSE)&gt;2,VLOOKUP(A62,'Delta Z Scores'!$A$1:$N$1541,13,FALSE)/VLOOKUP(A62,'Delta Z Scores'!$A$1:$N$1541,14,FALSE),"Not Enough Data")</f>
        <v>7.3016240764412876E-2</v>
      </c>
      <c r="G62">
        <f>IF(VLOOKUP(A62,'Forecast Z Scores'!$A$1:$N$1541,14,FALSE)&gt;2,VLOOKUP(A62,'Forecast Z Scores'!$A$1:$N$1541,13,FALSE)/VLOOKUP(A62,'Forecast Z Scores'!$A$1:$N$1541,14,FALSE),"Not Enough Data")</f>
        <v>-0.20099067385990904</v>
      </c>
      <c r="H62">
        <v>7.9249433978154676E-2</v>
      </c>
    </row>
    <row r="63" spans="1:8" x14ac:dyDescent="0.35">
      <c r="A63" t="str">
        <f t="shared" si="0"/>
        <v>18097310306_2025</v>
      </c>
      <c r="B63">
        <v>18097310306</v>
      </c>
      <c r="C63">
        <v>2025</v>
      </c>
      <c r="E63">
        <f>-(IF(VLOOKUP(B63,'2023 Z Scores'!$A$1:$K$309,11,FALSE)&gt;2,VLOOKUP(B63,'2023 Z Scores'!$A$1:$K$309,10,FALSE)/VLOOKUP(B63,'2023 Z Scores'!$A$1:$K$309,11,FALSE),"Not Enough data"))</f>
        <v>0.37195592824370199</v>
      </c>
      <c r="F63">
        <f>IF(VLOOKUP(A63,'Delta Z Scores'!$A$1:$N$1541,14,FALSE)&gt;2,VLOOKUP(A63,'Delta Z Scores'!$A$1:$N$1541,13,FALSE)/VLOOKUP(A63,'Delta Z Scores'!$A$1:$N$1541,14,FALSE),"Not Enough Data")</f>
        <v>0.21338210029368052</v>
      </c>
      <c r="G63">
        <f>IF(VLOOKUP(A63,'Forecast Z Scores'!$A$1:$N$1541,14,FALSE)&gt;2,VLOOKUP(A63,'Forecast Z Scores'!$A$1:$N$1541,13,FALSE)/VLOOKUP(A63,'Forecast Z Scores'!$A$1:$N$1541,14,FALSE),"Not Enough Data")</f>
        <v>-0.18489934378794295</v>
      </c>
      <c r="H63">
        <v>0.15345519626078002</v>
      </c>
    </row>
    <row r="64" spans="1:8" x14ac:dyDescent="0.35">
      <c r="A64" t="str">
        <f t="shared" si="0"/>
        <v>18097310306_2026</v>
      </c>
      <c r="B64">
        <v>18097310306</v>
      </c>
      <c r="C64">
        <v>2026</v>
      </c>
      <c r="E64">
        <f>-(IF(VLOOKUP(B64,'2023 Z Scores'!$A$1:$K$309,11,FALSE)&gt;2,VLOOKUP(B64,'2023 Z Scores'!$A$1:$K$309,10,FALSE)/VLOOKUP(B64,'2023 Z Scores'!$A$1:$K$309,11,FALSE),"Not Enough data"))</f>
        <v>0.37195592824370199</v>
      </c>
      <c r="F64">
        <f>IF(VLOOKUP(A64,'Delta Z Scores'!$A$1:$N$1541,14,FALSE)&gt;2,VLOOKUP(A64,'Delta Z Scores'!$A$1:$N$1541,13,FALSE)/VLOOKUP(A64,'Delta Z Scores'!$A$1:$N$1541,14,FALSE),"Not Enough Data")</f>
        <v>0.13555931351477807</v>
      </c>
      <c r="G64">
        <f>IF(VLOOKUP(A64,'Forecast Z Scores'!$A$1:$N$1541,14,FALSE)&gt;2,VLOOKUP(A64,'Forecast Z Scores'!$A$1:$N$1541,13,FALSE)/VLOOKUP(A64,'Forecast Z Scores'!$A$1:$N$1541,14,FALSE),"Not Enough Data")</f>
        <v>-0.18576967246918349</v>
      </c>
      <c r="H64">
        <v>0.11432622070101867</v>
      </c>
    </row>
    <row r="65" spans="1:8" x14ac:dyDescent="0.35">
      <c r="A65" t="str">
        <f t="shared" si="0"/>
        <v>18097310306_2027</v>
      </c>
      <c r="B65">
        <v>18097310306</v>
      </c>
      <c r="C65">
        <v>2027</v>
      </c>
      <c r="E65">
        <f>-(IF(VLOOKUP(B65,'2023 Z Scores'!$A$1:$K$309,11,FALSE)&gt;2,VLOOKUP(B65,'2023 Z Scores'!$A$1:$K$309,10,FALSE)/VLOOKUP(B65,'2023 Z Scores'!$A$1:$K$309,11,FALSE),"Not Enough data"))</f>
        <v>0.37195592824370199</v>
      </c>
      <c r="F65">
        <f>IF(VLOOKUP(A65,'Delta Z Scores'!$A$1:$N$1541,14,FALSE)&gt;2,VLOOKUP(A65,'Delta Z Scores'!$A$1:$N$1541,13,FALSE)/VLOOKUP(A65,'Delta Z Scores'!$A$1:$N$1541,14,FALSE),"Not Enough Data")</f>
        <v>0.26700513189932584</v>
      </c>
      <c r="G65">
        <f>IF(VLOOKUP(A65,'Forecast Z Scores'!$A$1:$N$1541,14,FALSE)&gt;2,VLOOKUP(A65,'Forecast Z Scores'!$A$1:$N$1541,13,FALSE)/VLOOKUP(A65,'Forecast Z Scores'!$A$1:$N$1541,14,FALSE),"Not Enough Data")</f>
        <v>-0.18830665946895719</v>
      </c>
      <c r="H65">
        <v>0.17941488314334914</v>
      </c>
    </row>
    <row r="66" spans="1:8" x14ac:dyDescent="0.35">
      <c r="A66" t="str">
        <f t="shared" si="0"/>
        <v>18097310306_2028</v>
      </c>
      <c r="B66">
        <v>18097310306</v>
      </c>
      <c r="C66">
        <v>2028</v>
      </c>
      <c r="E66">
        <f>-(IF(VLOOKUP(B66,'2023 Z Scores'!$A$1:$K$309,11,FALSE)&gt;2,VLOOKUP(B66,'2023 Z Scores'!$A$1:$K$309,10,FALSE)/VLOOKUP(B66,'2023 Z Scores'!$A$1:$K$309,11,FALSE),"Not Enough data"))</f>
        <v>0.37195592824370199</v>
      </c>
      <c r="F66">
        <f>IF(VLOOKUP(A66,'Delta Z Scores'!$A$1:$N$1541,14,FALSE)&gt;2,VLOOKUP(A66,'Delta Z Scores'!$A$1:$N$1541,13,FALSE)/VLOOKUP(A66,'Delta Z Scores'!$A$1:$N$1541,14,FALSE),"Not Enough Data")</f>
        <v>0.34094163062967608</v>
      </c>
      <c r="G66">
        <f>IF(VLOOKUP(A66,'Forecast Z Scores'!$A$1:$N$1541,14,FALSE)&gt;2,VLOOKUP(A66,'Forecast Z Scores'!$A$1:$N$1541,13,FALSE)/VLOOKUP(A66,'Forecast Z Scores'!$A$1:$N$1541,14,FALSE),"Not Enough Data")</f>
        <v>-0.19797378678930586</v>
      </c>
      <c r="H66">
        <v>0.21396635067843706</v>
      </c>
    </row>
    <row r="67" spans="1:8" x14ac:dyDescent="0.35">
      <c r="A67" t="str">
        <f t="shared" ref="A67:A130" si="1">TEXT(B67,0)&amp;"_"&amp;TEXT(C67,0)</f>
        <v>18097310308_2024</v>
      </c>
      <c r="B67">
        <v>18097310308</v>
      </c>
      <c r="C67">
        <v>2024</v>
      </c>
      <c r="E67">
        <f>-(IF(VLOOKUP(B67,'2023 Z Scores'!$A$1:$K$309,11,FALSE)&gt;2,VLOOKUP(B67,'2023 Z Scores'!$A$1:$K$309,10,FALSE)/VLOOKUP(B67,'2023 Z Scores'!$A$1:$K$309,11,FALSE),"Not Enough data"))</f>
        <v>0.37503691023577479</v>
      </c>
      <c r="F67">
        <f>IF(VLOOKUP(A67,'Delta Z Scores'!$A$1:$N$1541,14,FALSE)&gt;2,VLOOKUP(A67,'Delta Z Scores'!$A$1:$N$1541,13,FALSE)/VLOOKUP(A67,'Delta Z Scores'!$A$1:$N$1541,14,FALSE),"Not Enough Data")</f>
        <v>-1.736370395541599</v>
      </c>
      <c r="G67">
        <f>IF(VLOOKUP(A67,'Forecast Z Scores'!$A$1:$N$1541,14,FALSE)&gt;2,VLOOKUP(A67,'Forecast Z Scores'!$A$1:$N$1541,13,FALSE)/VLOOKUP(A67,'Forecast Z Scores'!$A$1:$N$1541,14,FALSE),"Not Enough Data")</f>
        <v>-0.6648576941274168</v>
      </c>
      <c r="H67">
        <v>-0.94064039374370989</v>
      </c>
    </row>
    <row r="68" spans="1:8" x14ac:dyDescent="0.35">
      <c r="A68" t="str">
        <f t="shared" si="1"/>
        <v>18097310308_2025</v>
      </c>
      <c r="B68">
        <v>18097310308</v>
      </c>
      <c r="C68">
        <v>2025</v>
      </c>
      <c r="E68">
        <f>-(IF(VLOOKUP(B68,'2023 Z Scores'!$A$1:$K$309,11,FALSE)&gt;2,VLOOKUP(B68,'2023 Z Scores'!$A$1:$K$309,10,FALSE)/VLOOKUP(B68,'2023 Z Scores'!$A$1:$K$309,11,FALSE),"Not Enough data"))</f>
        <v>0.37503691023577479</v>
      </c>
      <c r="F68">
        <f>IF(VLOOKUP(A68,'Delta Z Scores'!$A$1:$N$1541,14,FALSE)&gt;2,VLOOKUP(A68,'Delta Z Scores'!$A$1:$N$1541,13,FALSE)/VLOOKUP(A68,'Delta Z Scores'!$A$1:$N$1541,14,FALSE),"Not Enough Data")</f>
        <v>-0.21492348089774863</v>
      </c>
      <c r="G68">
        <f>IF(VLOOKUP(A68,'Forecast Z Scores'!$A$1:$N$1541,14,FALSE)&gt;2,VLOOKUP(A68,'Forecast Z Scores'!$A$1:$N$1541,13,FALSE)/VLOOKUP(A68,'Forecast Z Scores'!$A$1:$N$1541,14,FALSE),"Not Enough Data")</f>
        <v>-0.68306484037131976</v>
      </c>
      <c r="H68">
        <v>-0.18446872298276054</v>
      </c>
    </row>
    <row r="69" spans="1:8" x14ac:dyDescent="0.35">
      <c r="A69" t="str">
        <f t="shared" si="1"/>
        <v>18097310308_2026</v>
      </c>
      <c r="B69">
        <v>18097310308</v>
      </c>
      <c r="C69">
        <v>2026</v>
      </c>
      <c r="E69">
        <f>-(IF(VLOOKUP(B69,'2023 Z Scores'!$A$1:$K$309,11,FALSE)&gt;2,VLOOKUP(B69,'2023 Z Scores'!$A$1:$K$309,10,FALSE)/VLOOKUP(B69,'2023 Z Scores'!$A$1:$K$309,11,FALSE),"Not Enough data"))</f>
        <v>0.37503691023577479</v>
      </c>
      <c r="F69">
        <f>IF(VLOOKUP(A69,'Delta Z Scores'!$A$1:$N$1541,14,FALSE)&gt;2,VLOOKUP(A69,'Delta Z Scores'!$A$1:$N$1541,13,FALSE)/VLOOKUP(A69,'Delta Z Scores'!$A$1:$N$1541,14,FALSE),"Not Enough Data")</f>
        <v>-0.30888015820656156</v>
      </c>
      <c r="G69">
        <f>IF(VLOOKUP(A69,'Forecast Z Scores'!$A$1:$N$1541,14,FALSE)&gt;2,VLOOKUP(A69,'Forecast Z Scores'!$A$1:$N$1541,13,FALSE)/VLOOKUP(A69,'Forecast Z Scores'!$A$1:$N$1541,14,FALSE),"Not Enough Data")</f>
        <v>-0.67324564528972242</v>
      </c>
      <c r="H69">
        <v>-0.22899226286676769</v>
      </c>
    </row>
    <row r="70" spans="1:8" x14ac:dyDescent="0.35">
      <c r="A70" t="str">
        <f t="shared" si="1"/>
        <v>18097310308_2027</v>
      </c>
      <c r="B70">
        <v>18097310308</v>
      </c>
      <c r="C70">
        <v>2027</v>
      </c>
      <c r="E70">
        <f>-(IF(VLOOKUP(B70,'2023 Z Scores'!$A$1:$K$309,11,FALSE)&gt;2,VLOOKUP(B70,'2023 Z Scores'!$A$1:$K$309,10,FALSE)/VLOOKUP(B70,'2023 Z Scores'!$A$1:$K$309,11,FALSE),"Not Enough data"))</f>
        <v>0.37503691023577479</v>
      </c>
      <c r="F70">
        <f>IF(VLOOKUP(A70,'Delta Z Scores'!$A$1:$N$1541,14,FALSE)&gt;2,VLOOKUP(A70,'Delta Z Scores'!$A$1:$N$1541,13,FALSE)/VLOOKUP(A70,'Delta Z Scores'!$A$1:$N$1541,14,FALSE),"Not Enough Data")</f>
        <v>-0.26538198163908294</v>
      </c>
      <c r="G70">
        <f>IF(VLOOKUP(A70,'Forecast Z Scores'!$A$1:$N$1541,14,FALSE)&gt;2,VLOOKUP(A70,'Forecast Z Scores'!$A$1:$N$1541,13,FALSE)/VLOOKUP(A70,'Forecast Z Scores'!$A$1:$N$1541,14,FALSE),"Not Enough Data")</f>
        <v>-0.66127575932245353</v>
      </c>
      <c r="H70">
        <v>-0.20425070309121116</v>
      </c>
    </row>
    <row r="71" spans="1:8" x14ac:dyDescent="0.35">
      <c r="A71" t="str">
        <f t="shared" si="1"/>
        <v>18097310308_2028</v>
      </c>
      <c r="B71">
        <v>18097310308</v>
      </c>
      <c r="C71">
        <v>2028</v>
      </c>
      <c r="E71">
        <f>-(IF(VLOOKUP(B71,'2023 Z Scores'!$A$1:$K$309,11,FALSE)&gt;2,VLOOKUP(B71,'2023 Z Scores'!$A$1:$K$309,10,FALSE)/VLOOKUP(B71,'2023 Z Scores'!$A$1:$K$309,11,FALSE),"Not Enough data"))</f>
        <v>0.37503691023577479</v>
      </c>
      <c r="F71">
        <f>IF(VLOOKUP(A71,'Delta Z Scores'!$A$1:$N$1541,14,FALSE)&gt;2,VLOOKUP(A71,'Delta Z Scores'!$A$1:$N$1541,13,FALSE)/VLOOKUP(A71,'Delta Z Scores'!$A$1:$N$1541,14,FALSE),"Not Enough Data")</f>
        <v>-0.32432249522270501</v>
      </c>
      <c r="G71">
        <f>IF(VLOOKUP(A71,'Forecast Z Scores'!$A$1:$N$1541,14,FALSE)&gt;2,VLOOKUP(A71,'Forecast Z Scores'!$A$1:$N$1541,13,FALSE)/VLOOKUP(A71,'Forecast Z Scores'!$A$1:$N$1541,14,FALSE),"Not Enough Data")</f>
        <v>-0.6360469646966127</v>
      </c>
      <c r="H71">
        <v>-0.22741376122656201</v>
      </c>
    </row>
    <row r="72" spans="1:8" x14ac:dyDescent="0.35">
      <c r="A72" t="str">
        <f t="shared" si="1"/>
        <v>18097310309_2024</v>
      </c>
      <c r="B72">
        <v>18097310309</v>
      </c>
      <c r="C72">
        <v>2024</v>
      </c>
      <c r="E72">
        <f>-(IF(VLOOKUP(B72,'2023 Z Scores'!$A$1:$K$309,11,FALSE)&gt;2,VLOOKUP(B72,'2023 Z Scores'!$A$1:$K$309,10,FALSE)/VLOOKUP(B72,'2023 Z Scores'!$A$1:$K$309,11,FALSE),"Not Enough data"))</f>
        <v>0.40789453205831944</v>
      </c>
      <c r="F72">
        <f>IF(VLOOKUP(A72,'Delta Z Scores'!$A$1:$N$1541,14,FALSE)&gt;2,VLOOKUP(A72,'Delta Z Scores'!$A$1:$N$1541,13,FALSE)/VLOOKUP(A72,'Delta Z Scores'!$A$1:$N$1541,14,FALSE),"Not Enough Data")</f>
        <v>2.0737835304176892E-2</v>
      </c>
      <c r="G72">
        <f>IF(VLOOKUP(A72,'Forecast Z Scores'!$A$1:$N$1541,14,FALSE)&gt;2,VLOOKUP(A72,'Forecast Z Scores'!$A$1:$N$1541,13,FALSE)/VLOOKUP(A72,'Forecast Z Scores'!$A$1:$N$1541,14,FALSE),"Not Enough Data")</f>
        <v>-0.38279552080104567</v>
      </c>
      <c r="H72">
        <v>1.6643670466406885E-2</v>
      </c>
    </row>
    <row r="73" spans="1:8" x14ac:dyDescent="0.35">
      <c r="A73" t="str">
        <f t="shared" si="1"/>
        <v>18097310309_2025</v>
      </c>
      <c r="B73">
        <v>18097310309</v>
      </c>
      <c r="C73">
        <v>2025</v>
      </c>
      <c r="E73">
        <f>-(IF(VLOOKUP(B73,'2023 Z Scores'!$A$1:$K$309,11,FALSE)&gt;2,VLOOKUP(B73,'2023 Z Scores'!$A$1:$K$309,10,FALSE)/VLOOKUP(B73,'2023 Z Scores'!$A$1:$K$309,11,FALSE),"Not Enough data"))</f>
        <v>0.40789453205831944</v>
      </c>
      <c r="F73">
        <f>IF(VLOOKUP(A73,'Delta Z Scores'!$A$1:$N$1541,14,FALSE)&gt;2,VLOOKUP(A73,'Delta Z Scores'!$A$1:$N$1541,13,FALSE)/VLOOKUP(A73,'Delta Z Scores'!$A$1:$N$1541,14,FALSE),"Not Enough Data")</f>
        <v>9.0828700337521023E-2</v>
      </c>
      <c r="G73">
        <f>IF(VLOOKUP(A73,'Forecast Z Scores'!$A$1:$N$1541,14,FALSE)&gt;2,VLOOKUP(A73,'Forecast Z Scores'!$A$1:$N$1541,13,FALSE)/VLOOKUP(A73,'Forecast Z Scores'!$A$1:$N$1541,14,FALSE),"Not Enough Data")</f>
        <v>-0.39000015368394092</v>
      </c>
      <c r="H73">
        <v>4.9887944762355141E-2</v>
      </c>
    </row>
    <row r="74" spans="1:8" x14ac:dyDescent="0.35">
      <c r="A74" t="str">
        <f t="shared" si="1"/>
        <v>18097310309_2026</v>
      </c>
      <c r="B74">
        <v>18097310309</v>
      </c>
      <c r="C74">
        <v>2026</v>
      </c>
      <c r="E74">
        <f>-(IF(VLOOKUP(B74,'2023 Z Scores'!$A$1:$K$309,11,FALSE)&gt;2,VLOOKUP(B74,'2023 Z Scores'!$A$1:$K$309,10,FALSE)/VLOOKUP(B74,'2023 Z Scores'!$A$1:$K$309,11,FALSE),"Not Enough data"))</f>
        <v>0.40789453205831944</v>
      </c>
      <c r="F74">
        <f>IF(VLOOKUP(A74,'Delta Z Scores'!$A$1:$N$1541,14,FALSE)&gt;2,VLOOKUP(A74,'Delta Z Scores'!$A$1:$N$1541,13,FALSE)/VLOOKUP(A74,'Delta Z Scores'!$A$1:$N$1541,14,FALSE),"Not Enough Data")</f>
        <v>-0.14522802775435426</v>
      </c>
      <c r="G74">
        <f>IF(VLOOKUP(A74,'Forecast Z Scores'!$A$1:$N$1541,14,FALSE)&gt;2,VLOOKUP(A74,'Forecast Z Scores'!$A$1:$N$1541,13,FALSE)/VLOOKUP(A74,'Forecast Z Scores'!$A$1:$N$1541,14,FALSE),"Not Enough Data")</f>
        <v>-0.4108438803506016</v>
      </c>
      <c r="H74">
        <v>-7.3351350950247682E-2</v>
      </c>
    </row>
    <row r="75" spans="1:8" x14ac:dyDescent="0.35">
      <c r="A75" t="str">
        <f t="shared" si="1"/>
        <v>18097310309_2027</v>
      </c>
      <c r="B75">
        <v>18097310309</v>
      </c>
      <c r="C75">
        <v>2027</v>
      </c>
      <c r="E75">
        <f>-(IF(VLOOKUP(B75,'2023 Z Scores'!$A$1:$K$309,11,FALSE)&gt;2,VLOOKUP(B75,'2023 Z Scores'!$A$1:$K$309,10,FALSE)/VLOOKUP(B75,'2023 Z Scores'!$A$1:$K$309,11,FALSE),"Not Enough data"))</f>
        <v>0.40789453205831944</v>
      </c>
      <c r="F75">
        <f>IF(VLOOKUP(A75,'Delta Z Scores'!$A$1:$N$1541,14,FALSE)&gt;2,VLOOKUP(A75,'Delta Z Scores'!$A$1:$N$1541,13,FALSE)/VLOOKUP(A75,'Delta Z Scores'!$A$1:$N$1541,14,FALSE),"Not Enough Data")</f>
        <v>-5.1543565507634143E-2</v>
      </c>
      <c r="G75">
        <f>IF(VLOOKUP(A75,'Forecast Z Scores'!$A$1:$N$1541,14,FALSE)&gt;2,VLOOKUP(A75,'Forecast Z Scores'!$A$1:$N$1541,13,FALSE)/VLOOKUP(A75,'Forecast Z Scores'!$A$1:$N$1541,14,FALSE),"Not Enough Data")</f>
        <v>-0.42420194936479111</v>
      </c>
      <c r="H75">
        <v>-2.9848637080434989E-2</v>
      </c>
    </row>
    <row r="76" spans="1:8" x14ac:dyDescent="0.35">
      <c r="A76" t="str">
        <f t="shared" si="1"/>
        <v>18097310309_2028</v>
      </c>
      <c r="B76">
        <v>18097310309</v>
      </c>
      <c r="C76">
        <v>2028</v>
      </c>
      <c r="E76">
        <f>-(IF(VLOOKUP(B76,'2023 Z Scores'!$A$1:$K$309,11,FALSE)&gt;2,VLOOKUP(B76,'2023 Z Scores'!$A$1:$K$309,10,FALSE)/VLOOKUP(B76,'2023 Z Scores'!$A$1:$K$309,11,FALSE),"Not Enough data"))</f>
        <v>0.40789453205831944</v>
      </c>
      <c r="F76">
        <f>IF(VLOOKUP(A76,'Delta Z Scores'!$A$1:$N$1541,14,FALSE)&gt;2,VLOOKUP(A76,'Delta Z Scores'!$A$1:$N$1541,13,FALSE)/VLOOKUP(A76,'Delta Z Scores'!$A$1:$N$1541,14,FALSE),"Not Enough Data")</f>
        <v>-0.14939220054005281</v>
      </c>
      <c r="G76">
        <f>IF(VLOOKUP(A76,'Forecast Z Scores'!$A$1:$N$1541,14,FALSE)&gt;2,VLOOKUP(A76,'Forecast Z Scores'!$A$1:$N$1541,13,FALSE)/VLOOKUP(A76,'Forecast Z Scores'!$A$1:$N$1541,14,FALSE),"Not Enough Data")</f>
        <v>-0.43752044469493823</v>
      </c>
      <c r="H76">
        <v>-8.2102578429181103E-2</v>
      </c>
    </row>
    <row r="77" spans="1:8" x14ac:dyDescent="0.35">
      <c r="A77" t="str">
        <f t="shared" si="1"/>
        <v>18097310310_2024</v>
      </c>
      <c r="B77">
        <v>18097310310</v>
      </c>
      <c r="C77">
        <v>2024</v>
      </c>
      <c r="E77">
        <f>-(IF(VLOOKUP(B77,'2023 Z Scores'!$A$1:$K$309,11,FALSE)&gt;2,VLOOKUP(B77,'2023 Z Scores'!$A$1:$K$309,10,FALSE)/VLOOKUP(B77,'2023 Z Scores'!$A$1:$K$309,11,FALSE),"Not Enough data"))</f>
        <v>-0.24293511900326012</v>
      </c>
      <c r="F77">
        <f>IF(VLOOKUP(A77,'Delta Z Scores'!$A$1:$N$1541,14,FALSE)&gt;2,VLOOKUP(A77,'Delta Z Scores'!$A$1:$N$1541,13,FALSE)/VLOOKUP(A77,'Delta Z Scores'!$A$1:$N$1541,14,FALSE),"Not Enough Data")</f>
        <v>1.6527277918576781E-2</v>
      </c>
      <c r="G77">
        <f>IF(VLOOKUP(A77,'Forecast Z Scores'!$A$1:$N$1541,14,FALSE)&gt;2,VLOOKUP(A77,'Forecast Z Scores'!$A$1:$N$1541,13,FALSE)/VLOOKUP(A77,'Forecast Z Scores'!$A$1:$N$1541,14,FALSE),"Not Enough Data")</f>
        <v>-0.25314179921351226</v>
      </c>
      <c r="H77">
        <v>-0.1157555905949047</v>
      </c>
    </row>
    <row r="78" spans="1:8" x14ac:dyDescent="0.35">
      <c r="A78" t="str">
        <f t="shared" si="1"/>
        <v>18097310310_2025</v>
      </c>
      <c r="B78">
        <v>18097310310</v>
      </c>
      <c r="C78">
        <v>2025</v>
      </c>
      <c r="E78">
        <f>-(IF(VLOOKUP(B78,'2023 Z Scores'!$A$1:$K$309,11,FALSE)&gt;2,VLOOKUP(B78,'2023 Z Scores'!$A$1:$K$309,10,FALSE)/VLOOKUP(B78,'2023 Z Scores'!$A$1:$K$309,11,FALSE),"Not Enough data"))</f>
        <v>-0.24293511900326012</v>
      </c>
      <c r="F78">
        <f>IF(VLOOKUP(A78,'Delta Z Scores'!$A$1:$N$1541,14,FALSE)&gt;2,VLOOKUP(A78,'Delta Z Scores'!$A$1:$N$1541,13,FALSE)/VLOOKUP(A78,'Delta Z Scores'!$A$1:$N$1541,14,FALSE),"Not Enough Data")</f>
        <v>-0.12823171280468837</v>
      </c>
      <c r="G78">
        <f>IF(VLOOKUP(A78,'Forecast Z Scores'!$A$1:$N$1541,14,FALSE)&gt;2,VLOOKUP(A78,'Forecast Z Scores'!$A$1:$N$1541,13,FALSE)/VLOOKUP(A78,'Forecast Z Scores'!$A$1:$N$1541,14,FALSE),"Not Enough Data")</f>
        <v>-0.26492143039697535</v>
      </c>
      <c r="H78">
        <v>-0.19107999375240306</v>
      </c>
    </row>
    <row r="79" spans="1:8" x14ac:dyDescent="0.35">
      <c r="A79" t="str">
        <f t="shared" si="1"/>
        <v>18097310310_2026</v>
      </c>
      <c r="B79">
        <v>18097310310</v>
      </c>
      <c r="C79">
        <v>2026</v>
      </c>
      <c r="E79">
        <f>-(IF(VLOOKUP(B79,'2023 Z Scores'!$A$1:$K$309,11,FALSE)&gt;2,VLOOKUP(B79,'2023 Z Scores'!$A$1:$K$309,10,FALSE)/VLOOKUP(B79,'2023 Z Scores'!$A$1:$K$309,11,FALSE),"Not Enough data"))</f>
        <v>-0.24293511900326012</v>
      </c>
      <c r="F79">
        <f>IF(VLOOKUP(A79,'Delta Z Scores'!$A$1:$N$1541,14,FALSE)&gt;2,VLOOKUP(A79,'Delta Z Scores'!$A$1:$N$1541,13,FALSE)/VLOOKUP(A79,'Delta Z Scores'!$A$1:$N$1541,14,FALSE),"Not Enough Data")</f>
        <v>-7.0624879919195901E-2</v>
      </c>
      <c r="G79">
        <f>IF(VLOOKUP(A79,'Forecast Z Scores'!$A$1:$N$1541,14,FALSE)&gt;2,VLOOKUP(A79,'Forecast Z Scores'!$A$1:$N$1541,13,FALSE)/VLOOKUP(A79,'Forecast Z Scores'!$A$1:$N$1541,14,FALSE),"Not Enough Data")</f>
        <v>-0.27876213707744107</v>
      </c>
      <c r="H79">
        <v>-0.16573675397977325</v>
      </c>
    </row>
    <row r="80" spans="1:8" x14ac:dyDescent="0.35">
      <c r="A80" t="str">
        <f t="shared" si="1"/>
        <v>18097310310_2027</v>
      </c>
      <c r="B80">
        <v>18097310310</v>
      </c>
      <c r="C80">
        <v>2027</v>
      </c>
      <c r="E80">
        <f>-(IF(VLOOKUP(B80,'2023 Z Scores'!$A$1:$K$309,11,FALSE)&gt;2,VLOOKUP(B80,'2023 Z Scores'!$A$1:$K$309,10,FALSE)/VLOOKUP(B80,'2023 Z Scores'!$A$1:$K$309,11,FALSE),"Not Enough data"))</f>
        <v>-0.24293511900326012</v>
      </c>
      <c r="F80">
        <f>IF(VLOOKUP(A80,'Delta Z Scores'!$A$1:$N$1541,14,FALSE)&gt;2,VLOOKUP(A80,'Delta Z Scores'!$A$1:$N$1541,13,FALSE)/VLOOKUP(A80,'Delta Z Scores'!$A$1:$N$1541,14,FALSE),"Not Enough Data")</f>
        <v>-6.7165141855665536E-2</v>
      </c>
      <c r="G80">
        <f>IF(VLOOKUP(A80,'Forecast Z Scores'!$A$1:$N$1541,14,FALSE)&gt;2,VLOOKUP(A80,'Forecast Z Scores'!$A$1:$N$1541,13,FALSE)/VLOOKUP(A80,'Forecast Z Scores'!$A$1:$N$1541,14,FALSE),"Not Enough Data")</f>
        <v>-0.29616264446219492</v>
      </c>
      <c r="H80">
        <v>-0.16835701179419654</v>
      </c>
    </row>
    <row r="81" spans="1:8" x14ac:dyDescent="0.35">
      <c r="A81" t="str">
        <f t="shared" si="1"/>
        <v>18097310310_2028</v>
      </c>
      <c r="B81">
        <v>18097310310</v>
      </c>
      <c r="C81">
        <v>2028</v>
      </c>
      <c r="E81">
        <f>-(IF(VLOOKUP(B81,'2023 Z Scores'!$A$1:$K$309,11,FALSE)&gt;2,VLOOKUP(B81,'2023 Z Scores'!$A$1:$K$309,10,FALSE)/VLOOKUP(B81,'2023 Z Scores'!$A$1:$K$309,11,FALSE),"Not Enough data"))</f>
        <v>-0.24293511900326012</v>
      </c>
      <c r="F81">
        <f>IF(VLOOKUP(A81,'Delta Z Scores'!$A$1:$N$1541,14,FALSE)&gt;2,VLOOKUP(A81,'Delta Z Scores'!$A$1:$N$1541,13,FALSE)/VLOOKUP(A81,'Delta Z Scores'!$A$1:$N$1541,14,FALSE),"Not Enough Data")</f>
        <v>-5.5081506449574276E-2</v>
      </c>
      <c r="G81">
        <f>IF(VLOOKUP(A81,'Forecast Z Scores'!$A$1:$N$1541,14,FALSE)&gt;2,VLOOKUP(A81,'Forecast Z Scores'!$A$1:$N$1541,13,FALSE)/VLOOKUP(A81,'Forecast Z Scores'!$A$1:$N$1541,14,FALSE),"Not Enough Data")</f>
        <v>-0.31602748682988252</v>
      </c>
      <c r="H81">
        <v>-0.16728140468307279</v>
      </c>
    </row>
    <row r="82" spans="1:8" x14ac:dyDescent="0.35">
      <c r="A82" t="str">
        <f t="shared" si="1"/>
        <v>18097310311_2024</v>
      </c>
      <c r="B82">
        <v>18097310311</v>
      </c>
      <c r="C82">
        <v>2024</v>
      </c>
      <c r="E82">
        <f>-(IF(VLOOKUP(B82,'2023 Z Scores'!$A$1:$K$309,11,FALSE)&gt;2,VLOOKUP(B82,'2023 Z Scores'!$A$1:$K$309,10,FALSE)/VLOOKUP(B82,'2023 Z Scores'!$A$1:$K$309,11,FALSE),"Not Enough data"))</f>
        <v>0.49704660839428938</v>
      </c>
      <c r="F82">
        <f>IF(VLOOKUP(A82,'Delta Z Scores'!$A$1:$N$1541,14,FALSE)&gt;2,VLOOKUP(A82,'Delta Z Scores'!$A$1:$N$1541,13,FALSE)/VLOOKUP(A82,'Delta Z Scores'!$A$1:$N$1541,14,FALSE),"Not Enough Data")</f>
        <v>-0.14865360285994653</v>
      </c>
      <c r="G82">
        <f>IF(VLOOKUP(A82,'Forecast Z Scores'!$A$1:$N$1541,14,FALSE)&gt;2,VLOOKUP(A82,'Forecast Z Scores'!$A$1:$N$1541,13,FALSE)/VLOOKUP(A82,'Forecast Z Scores'!$A$1:$N$1541,14,FALSE),"Not Enough Data")</f>
        <v>-0.52633938951711245</v>
      </c>
      <c r="H82">
        <v>-8.1649996710679046E-2</v>
      </c>
    </row>
    <row r="83" spans="1:8" x14ac:dyDescent="0.35">
      <c r="A83" t="str">
        <f t="shared" si="1"/>
        <v>18097310311_2025</v>
      </c>
      <c r="B83">
        <v>18097310311</v>
      </c>
      <c r="C83">
        <v>2025</v>
      </c>
      <c r="E83">
        <f>-(IF(VLOOKUP(B83,'2023 Z Scores'!$A$1:$K$309,11,FALSE)&gt;2,VLOOKUP(B83,'2023 Z Scores'!$A$1:$K$309,10,FALSE)/VLOOKUP(B83,'2023 Z Scores'!$A$1:$K$309,11,FALSE),"Not Enough data"))</f>
        <v>0.49704660839428938</v>
      </c>
      <c r="F83">
        <f>IF(VLOOKUP(A83,'Delta Z Scores'!$A$1:$N$1541,14,FALSE)&gt;2,VLOOKUP(A83,'Delta Z Scores'!$A$1:$N$1541,13,FALSE)/VLOOKUP(A83,'Delta Z Scores'!$A$1:$N$1541,14,FALSE),"Not Enough Data")</f>
        <v>-0.32816051167550869</v>
      </c>
      <c r="G83">
        <f>IF(VLOOKUP(A83,'Forecast Z Scores'!$A$1:$N$1541,14,FALSE)&gt;2,VLOOKUP(A83,'Forecast Z Scores'!$A$1:$N$1541,13,FALSE)/VLOOKUP(A83,'Forecast Z Scores'!$A$1:$N$1541,14,FALSE),"Not Enough Data")</f>
        <v>-0.4976167506062622</v>
      </c>
      <c r="H83">
        <v>-0.16422279139074755</v>
      </c>
    </row>
    <row r="84" spans="1:8" x14ac:dyDescent="0.35">
      <c r="A84" t="str">
        <f t="shared" si="1"/>
        <v>18097310311_2026</v>
      </c>
      <c r="B84">
        <v>18097310311</v>
      </c>
      <c r="C84">
        <v>2026</v>
      </c>
      <c r="E84">
        <f>-(IF(VLOOKUP(B84,'2023 Z Scores'!$A$1:$K$309,11,FALSE)&gt;2,VLOOKUP(B84,'2023 Z Scores'!$A$1:$K$309,10,FALSE)/VLOOKUP(B84,'2023 Z Scores'!$A$1:$K$309,11,FALSE),"Not Enough data"))</f>
        <v>0.49704660839428938</v>
      </c>
      <c r="F84">
        <f>IF(VLOOKUP(A84,'Delta Z Scores'!$A$1:$N$1541,14,FALSE)&gt;2,VLOOKUP(A84,'Delta Z Scores'!$A$1:$N$1541,13,FALSE)/VLOOKUP(A84,'Delta Z Scores'!$A$1:$N$1541,14,FALSE),"Not Enough Data")</f>
        <v>-0.30272812866520266</v>
      </c>
      <c r="G84">
        <f>IF(VLOOKUP(A84,'Forecast Z Scores'!$A$1:$N$1541,14,FALSE)&gt;2,VLOOKUP(A84,'Forecast Z Scores'!$A$1:$N$1541,13,FALSE)/VLOOKUP(A84,'Forecast Z Scores'!$A$1:$N$1541,14,FALSE),"Not Enough Data")</f>
        <v>-0.45811652419495008</v>
      </c>
      <c r="H84">
        <v>-0.14163154328276648</v>
      </c>
    </row>
    <row r="85" spans="1:8" x14ac:dyDescent="0.35">
      <c r="A85" t="str">
        <f t="shared" si="1"/>
        <v>18097310311_2027</v>
      </c>
      <c r="B85">
        <v>18097310311</v>
      </c>
      <c r="C85">
        <v>2027</v>
      </c>
      <c r="E85">
        <f>-(IF(VLOOKUP(B85,'2023 Z Scores'!$A$1:$K$309,11,FALSE)&gt;2,VLOOKUP(B85,'2023 Z Scores'!$A$1:$K$309,10,FALSE)/VLOOKUP(B85,'2023 Z Scores'!$A$1:$K$309,11,FALSE),"Not Enough data"))</f>
        <v>0.49704660839428938</v>
      </c>
      <c r="F85">
        <f>IF(VLOOKUP(A85,'Delta Z Scores'!$A$1:$N$1541,14,FALSE)&gt;2,VLOOKUP(A85,'Delta Z Scores'!$A$1:$N$1541,13,FALSE)/VLOOKUP(A85,'Delta Z Scores'!$A$1:$N$1541,14,FALSE),"Not Enough Data")</f>
        <v>-0.23869602775030158</v>
      </c>
      <c r="G85">
        <f>IF(VLOOKUP(A85,'Forecast Z Scores'!$A$1:$N$1541,14,FALSE)&gt;2,VLOOKUP(A85,'Forecast Z Scores'!$A$1:$N$1541,13,FALSE)/VLOOKUP(A85,'Forecast Z Scores'!$A$1:$N$1541,14,FALSE),"Not Enough Data")</f>
        <v>-0.40518187013276458</v>
      </c>
      <c r="H85">
        <v>-9.6381829309769601E-2</v>
      </c>
    </row>
    <row r="86" spans="1:8" x14ac:dyDescent="0.35">
      <c r="A86" t="str">
        <f t="shared" si="1"/>
        <v>18097310311_2028</v>
      </c>
      <c r="B86">
        <v>18097310311</v>
      </c>
      <c r="C86">
        <v>2028</v>
      </c>
      <c r="E86">
        <f>-(IF(VLOOKUP(B86,'2023 Z Scores'!$A$1:$K$309,11,FALSE)&gt;2,VLOOKUP(B86,'2023 Z Scores'!$A$1:$K$309,10,FALSE)/VLOOKUP(B86,'2023 Z Scores'!$A$1:$K$309,11,FALSE),"Not Enough data"))</f>
        <v>0.49704660839428938</v>
      </c>
      <c r="F86">
        <f>IF(VLOOKUP(A86,'Delta Z Scores'!$A$1:$N$1541,14,FALSE)&gt;2,VLOOKUP(A86,'Delta Z Scores'!$A$1:$N$1541,13,FALSE)/VLOOKUP(A86,'Delta Z Scores'!$A$1:$N$1541,14,FALSE),"Not Enough Data")</f>
        <v>-0.27810665736797585</v>
      </c>
      <c r="G86">
        <f>IF(VLOOKUP(A86,'Forecast Z Scores'!$A$1:$N$1541,14,FALSE)&gt;2,VLOOKUP(A86,'Forecast Z Scores'!$A$1:$N$1541,13,FALSE)/VLOOKUP(A86,'Forecast Z Scores'!$A$1:$N$1541,14,FALSE),"Not Enough Data")</f>
        <v>-0.35800354361359971</v>
      </c>
      <c r="H86">
        <v>-0.10429256248881549</v>
      </c>
    </row>
    <row r="87" spans="1:8" x14ac:dyDescent="0.35">
      <c r="A87" t="str">
        <f t="shared" si="1"/>
        <v>18097310312_2024</v>
      </c>
      <c r="B87">
        <v>18097310312</v>
      </c>
      <c r="C87">
        <v>2024</v>
      </c>
      <c r="E87">
        <f>-(IF(VLOOKUP(B87,'2023 Z Scores'!$A$1:$K$309,11,FALSE)&gt;2,VLOOKUP(B87,'2023 Z Scores'!$A$1:$K$309,10,FALSE)/VLOOKUP(B87,'2023 Z Scores'!$A$1:$K$309,11,FALSE),"Not Enough data"))</f>
        <v>-2.0427556411826444E-2</v>
      </c>
      <c r="F87">
        <f>IF(VLOOKUP(A87,'Delta Z Scores'!$A$1:$N$1541,14,FALSE)&gt;2,VLOOKUP(A87,'Delta Z Scores'!$A$1:$N$1541,13,FALSE)/VLOOKUP(A87,'Delta Z Scores'!$A$1:$N$1541,14,FALSE),"Not Enough Data")</f>
        <v>4.0431758793534533E-3</v>
      </c>
      <c r="G87">
        <f>IF(VLOOKUP(A87,'Forecast Z Scores'!$A$1:$N$1541,14,FALSE)&gt;2,VLOOKUP(A87,'Forecast Z Scores'!$A$1:$N$1541,13,FALSE)/VLOOKUP(A87,'Forecast Z Scores'!$A$1:$N$1541,14,FALSE),"Not Enough Data")</f>
        <v>-0.10833521129344068</v>
      </c>
      <c r="H87">
        <v>-3.0169103986640054E-2</v>
      </c>
    </row>
    <row r="88" spans="1:8" x14ac:dyDescent="0.35">
      <c r="A88" t="str">
        <f t="shared" si="1"/>
        <v>18097310312_2025</v>
      </c>
      <c r="B88">
        <v>18097310312</v>
      </c>
      <c r="C88">
        <v>2025</v>
      </c>
      <c r="E88">
        <f>-(IF(VLOOKUP(B88,'2023 Z Scores'!$A$1:$K$309,11,FALSE)&gt;2,VLOOKUP(B88,'2023 Z Scores'!$A$1:$K$309,10,FALSE)/VLOOKUP(B88,'2023 Z Scores'!$A$1:$K$309,11,FALSE),"Not Enough data"))</f>
        <v>-2.0427556411826444E-2</v>
      </c>
      <c r="F88">
        <f>IF(VLOOKUP(A88,'Delta Z Scores'!$A$1:$N$1541,14,FALSE)&gt;2,VLOOKUP(A88,'Delta Z Scores'!$A$1:$N$1541,13,FALSE)/VLOOKUP(A88,'Delta Z Scores'!$A$1:$N$1541,14,FALSE),"Not Enough Data")</f>
        <v>-1.1478799861063501E-2</v>
      </c>
      <c r="G88">
        <f>IF(VLOOKUP(A88,'Forecast Z Scores'!$A$1:$N$1541,14,FALSE)&gt;2,VLOOKUP(A88,'Forecast Z Scores'!$A$1:$N$1541,13,FALSE)/VLOOKUP(A88,'Forecast Z Scores'!$A$1:$N$1541,14,FALSE),"Not Enough Data")</f>
        <v>-0.12832985210147574</v>
      </c>
      <c r="H88">
        <v>-4.2928752058857295E-2</v>
      </c>
    </row>
    <row r="89" spans="1:8" x14ac:dyDescent="0.35">
      <c r="A89" t="str">
        <f t="shared" si="1"/>
        <v>18097310312_2026</v>
      </c>
      <c r="B89">
        <v>18097310312</v>
      </c>
      <c r="C89">
        <v>2026</v>
      </c>
      <c r="E89">
        <f>-(IF(VLOOKUP(B89,'2023 Z Scores'!$A$1:$K$309,11,FALSE)&gt;2,VLOOKUP(B89,'2023 Z Scores'!$A$1:$K$309,10,FALSE)/VLOOKUP(B89,'2023 Z Scores'!$A$1:$K$309,11,FALSE),"Not Enough data"))</f>
        <v>-2.0427556411826444E-2</v>
      </c>
      <c r="F89">
        <f>IF(VLOOKUP(A89,'Delta Z Scores'!$A$1:$N$1541,14,FALSE)&gt;2,VLOOKUP(A89,'Delta Z Scores'!$A$1:$N$1541,13,FALSE)/VLOOKUP(A89,'Delta Z Scores'!$A$1:$N$1541,14,FALSE),"Not Enough Data")</f>
        <v>-7.1093963211661879E-2</v>
      </c>
      <c r="G89">
        <f>IF(VLOOKUP(A89,'Forecast Z Scores'!$A$1:$N$1541,14,FALSE)&gt;2,VLOOKUP(A89,'Forecast Z Scores'!$A$1:$N$1541,13,FALSE)/VLOOKUP(A89,'Forecast Z Scores'!$A$1:$N$1541,14,FALSE),"Not Enough Data")</f>
        <v>-0.14275247293107637</v>
      </c>
      <c r="H89">
        <v>-7.6341988941556638E-2</v>
      </c>
    </row>
    <row r="90" spans="1:8" x14ac:dyDescent="0.35">
      <c r="A90" t="str">
        <f t="shared" si="1"/>
        <v>18097310312_2027</v>
      </c>
      <c r="B90">
        <v>18097310312</v>
      </c>
      <c r="C90">
        <v>2027</v>
      </c>
      <c r="E90">
        <f>-(IF(VLOOKUP(B90,'2023 Z Scores'!$A$1:$K$309,11,FALSE)&gt;2,VLOOKUP(B90,'2023 Z Scores'!$A$1:$K$309,10,FALSE)/VLOOKUP(B90,'2023 Z Scores'!$A$1:$K$309,11,FALSE),"Not Enough data"))</f>
        <v>-2.0427556411826444E-2</v>
      </c>
      <c r="F90">
        <f>IF(VLOOKUP(A90,'Delta Z Scores'!$A$1:$N$1541,14,FALSE)&gt;2,VLOOKUP(A90,'Delta Z Scores'!$A$1:$N$1541,13,FALSE)/VLOOKUP(A90,'Delta Z Scores'!$A$1:$N$1541,14,FALSE),"Not Enough Data")</f>
        <v>-2.5979690480400091E-2</v>
      </c>
      <c r="G90">
        <f>IF(VLOOKUP(A90,'Forecast Z Scores'!$A$1:$N$1541,14,FALSE)&gt;2,VLOOKUP(A90,'Forecast Z Scores'!$A$1:$N$1541,13,FALSE)/VLOOKUP(A90,'Forecast Z Scores'!$A$1:$N$1541,14,FALSE),"Not Enough Data")</f>
        <v>-0.16897032139902121</v>
      </c>
      <c r="H90">
        <v>-6.0339314692911962E-2</v>
      </c>
    </row>
    <row r="91" spans="1:8" x14ac:dyDescent="0.35">
      <c r="A91" t="str">
        <f t="shared" si="1"/>
        <v>18097310312_2028</v>
      </c>
      <c r="B91">
        <v>18097310312</v>
      </c>
      <c r="C91">
        <v>2028</v>
      </c>
      <c r="E91">
        <f>-(IF(VLOOKUP(B91,'2023 Z Scores'!$A$1:$K$309,11,FALSE)&gt;2,VLOOKUP(B91,'2023 Z Scores'!$A$1:$K$309,10,FALSE)/VLOOKUP(B91,'2023 Z Scores'!$A$1:$K$309,11,FALSE),"Not Enough data"))</f>
        <v>-2.0427556411826444E-2</v>
      </c>
      <c r="F91">
        <f>IF(VLOOKUP(A91,'Delta Z Scores'!$A$1:$N$1541,14,FALSE)&gt;2,VLOOKUP(A91,'Delta Z Scores'!$A$1:$N$1541,13,FALSE)/VLOOKUP(A91,'Delta Z Scores'!$A$1:$N$1541,14,FALSE),"Not Enough Data")</f>
        <v>-3.1909137697240485E-2</v>
      </c>
      <c r="G91">
        <f>IF(VLOOKUP(A91,'Forecast Z Scores'!$A$1:$N$1541,14,FALSE)&gt;2,VLOOKUP(A91,'Forecast Z Scores'!$A$1:$N$1541,13,FALSE)/VLOOKUP(A91,'Forecast Z Scores'!$A$1:$N$1541,14,FALSE),"Not Enough Data")</f>
        <v>-0.19202897404933306</v>
      </c>
      <c r="H91">
        <v>-6.9068701463910115E-2</v>
      </c>
    </row>
    <row r="92" spans="1:8" x14ac:dyDescent="0.35">
      <c r="A92" t="str">
        <f t="shared" si="1"/>
        <v>18097320105_2024</v>
      </c>
      <c r="B92">
        <v>18097320105</v>
      </c>
      <c r="C92">
        <v>2024</v>
      </c>
      <c r="E92">
        <f>-(IF(VLOOKUP(B92,'2023 Z Scores'!$A$1:$K$309,11,FALSE)&gt;2,VLOOKUP(B92,'2023 Z Scores'!$A$1:$K$309,10,FALSE)/VLOOKUP(B92,'2023 Z Scores'!$A$1:$K$309,11,FALSE),"Not Enough data"))</f>
        <v>-0.34654060284712412</v>
      </c>
      <c r="F92">
        <f>IF(VLOOKUP(A92,'Delta Z Scores'!$A$1:$N$1541,14,FALSE)&gt;2,VLOOKUP(A92,'Delta Z Scores'!$A$1:$N$1541,13,FALSE)/VLOOKUP(A92,'Delta Z Scores'!$A$1:$N$1541,14,FALSE),"Not Enough Data")</f>
        <v>-0.3556436784173142</v>
      </c>
      <c r="G92">
        <f>IF(VLOOKUP(A92,'Forecast Z Scores'!$A$1:$N$1541,14,FALSE)&gt;2,VLOOKUP(A92,'Forecast Z Scores'!$A$1:$N$1541,13,FALSE)/VLOOKUP(A92,'Forecast Z Scores'!$A$1:$N$1541,14,FALSE),"Not Enough Data")</f>
        <v>0.30138150783007861</v>
      </c>
      <c r="H92">
        <v>-0.18911161296291848</v>
      </c>
    </row>
    <row r="93" spans="1:8" x14ac:dyDescent="0.35">
      <c r="A93" t="str">
        <f t="shared" si="1"/>
        <v>18097320105_2025</v>
      </c>
      <c r="B93">
        <v>18097320105</v>
      </c>
      <c r="C93">
        <v>2025</v>
      </c>
      <c r="E93">
        <f>-(IF(VLOOKUP(B93,'2023 Z Scores'!$A$1:$K$309,11,FALSE)&gt;2,VLOOKUP(B93,'2023 Z Scores'!$A$1:$K$309,10,FALSE)/VLOOKUP(B93,'2023 Z Scores'!$A$1:$K$309,11,FALSE),"Not Enough data"))</f>
        <v>-0.34654060284712412</v>
      </c>
      <c r="F93">
        <f>IF(VLOOKUP(A93,'Delta Z Scores'!$A$1:$N$1541,14,FALSE)&gt;2,VLOOKUP(A93,'Delta Z Scores'!$A$1:$N$1541,13,FALSE)/VLOOKUP(A93,'Delta Z Scores'!$A$1:$N$1541,14,FALSE),"Not Enough Data")</f>
        <v>0.20312309144972956</v>
      </c>
      <c r="G93">
        <f>IF(VLOOKUP(A93,'Forecast Z Scores'!$A$1:$N$1541,14,FALSE)&gt;2,VLOOKUP(A93,'Forecast Z Scores'!$A$1:$N$1541,13,FALSE)/VLOOKUP(A93,'Forecast Z Scores'!$A$1:$N$1541,14,FALSE),"Not Enough Data")</f>
        <v>0.30902489736750072</v>
      </c>
      <c r="H93">
        <v>9.2182619354958931E-2</v>
      </c>
    </row>
    <row r="94" spans="1:8" x14ac:dyDescent="0.35">
      <c r="A94" t="str">
        <f t="shared" si="1"/>
        <v>18097320105_2026</v>
      </c>
      <c r="B94">
        <v>18097320105</v>
      </c>
      <c r="C94">
        <v>2026</v>
      </c>
      <c r="E94">
        <f>-(IF(VLOOKUP(B94,'2023 Z Scores'!$A$1:$K$309,11,FALSE)&gt;2,VLOOKUP(B94,'2023 Z Scores'!$A$1:$K$309,10,FALSE)/VLOOKUP(B94,'2023 Z Scores'!$A$1:$K$309,11,FALSE),"Not Enough data"))</f>
        <v>-0.34654060284712412</v>
      </c>
      <c r="F94">
        <f>IF(VLOOKUP(A94,'Delta Z Scores'!$A$1:$N$1541,14,FALSE)&gt;2,VLOOKUP(A94,'Delta Z Scores'!$A$1:$N$1541,13,FALSE)/VLOOKUP(A94,'Delta Z Scores'!$A$1:$N$1541,14,FALSE),"Not Enough Data")</f>
        <v>2.2449425365028825E-2</v>
      </c>
      <c r="G94">
        <f>IF(VLOOKUP(A94,'Forecast Z Scores'!$A$1:$N$1541,14,FALSE)&gt;2,VLOOKUP(A94,'Forecast Z Scores'!$A$1:$N$1541,13,FALSE)/VLOOKUP(A94,'Forecast Z Scores'!$A$1:$N$1541,14,FALSE),"Not Enough Data")</f>
        <v>0.28842834496302233</v>
      </c>
      <c r="H94">
        <v>-3.3033517885110303E-3</v>
      </c>
    </row>
    <row r="95" spans="1:8" x14ac:dyDescent="0.35">
      <c r="A95" t="str">
        <f t="shared" si="1"/>
        <v>18097320105_2027</v>
      </c>
      <c r="B95">
        <v>18097320105</v>
      </c>
      <c r="C95">
        <v>2027</v>
      </c>
      <c r="E95">
        <f>-(IF(VLOOKUP(B95,'2023 Z Scores'!$A$1:$K$309,11,FALSE)&gt;2,VLOOKUP(B95,'2023 Z Scores'!$A$1:$K$309,10,FALSE)/VLOOKUP(B95,'2023 Z Scores'!$A$1:$K$309,11,FALSE),"Not Enough data"))</f>
        <v>-0.34654060284712412</v>
      </c>
      <c r="F95">
        <f>IF(VLOOKUP(A95,'Delta Z Scores'!$A$1:$N$1541,14,FALSE)&gt;2,VLOOKUP(A95,'Delta Z Scores'!$A$1:$N$1541,13,FALSE)/VLOOKUP(A95,'Delta Z Scores'!$A$1:$N$1541,14,FALSE),"Not Enough Data")</f>
        <v>0.35663350020285328</v>
      </c>
      <c r="G95">
        <f>IF(VLOOKUP(A95,'Forecast Z Scores'!$A$1:$N$1541,14,FALSE)&gt;2,VLOOKUP(A95,'Forecast Z Scores'!$A$1:$N$1541,13,FALSE)/VLOOKUP(A95,'Forecast Z Scores'!$A$1:$N$1541,14,FALSE),"Not Enough Data")</f>
        <v>0.28578074090020511</v>
      </c>
      <c r="H95">
        <v>0.16312678461469687</v>
      </c>
    </row>
    <row r="96" spans="1:8" x14ac:dyDescent="0.35">
      <c r="A96" t="str">
        <f t="shared" si="1"/>
        <v>18097320105_2028</v>
      </c>
      <c r="B96">
        <v>18097320105</v>
      </c>
      <c r="C96">
        <v>2028</v>
      </c>
      <c r="E96">
        <f>-(IF(VLOOKUP(B96,'2023 Z Scores'!$A$1:$K$309,11,FALSE)&gt;2,VLOOKUP(B96,'2023 Z Scores'!$A$1:$K$309,10,FALSE)/VLOOKUP(B96,'2023 Z Scores'!$A$1:$K$309,11,FALSE),"Not Enough data"))</f>
        <v>-0.34654060284712412</v>
      </c>
      <c r="F96">
        <f>IF(VLOOKUP(A96,'Delta Z Scores'!$A$1:$N$1541,14,FALSE)&gt;2,VLOOKUP(A96,'Delta Z Scores'!$A$1:$N$1541,13,FALSE)/VLOOKUP(A96,'Delta Z Scores'!$A$1:$N$1541,14,FALSE),"Not Enough Data")</f>
        <v>0.32427909547246087</v>
      </c>
      <c r="G96">
        <f>IF(VLOOKUP(A96,'Forecast Z Scores'!$A$1:$N$1541,14,FALSE)&gt;2,VLOOKUP(A96,'Forecast Z Scores'!$A$1:$N$1541,13,FALSE)/VLOOKUP(A96,'Forecast Z Scores'!$A$1:$N$1541,14,FALSE),"Not Enough Data")</f>
        <v>0.26236812609889654</v>
      </c>
      <c r="H96">
        <v>0.14109642854917354</v>
      </c>
    </row>
    <row r="97" spans="1:8" x14ac:dyDescent="0.35">
      <c r="A97" t="str">
        <f t="shared" si="1"/>
        <v>18097320106_2024</v>
      </c>
      <c r="B97">
        <v>18097320106</v>
      </c>
      <c r="C97">
        <v>2024</v>
      </c>
      <c r="E97">
        <f>-(IF(VLOOKUP(B97,'2023 Z Scores'!$A$1:$K$309,11,FALSE)&gt;2,VLOOKUP(B97,'2023 Z Scores'!$A$1:$K$309,10,FALSE)/VLOOKUP(B97,'2023 Z Scores'!$A$1:$K$309,11,FALSE),"Not Enough data"))</f>
        <v>-0.19793242851322826</v>
      </c>
      <c r="F97">
        <f>IF(VLOOKUP(A97,'Delta Z Scores'!$A$1:$N$1541,14,FALSE)&gt;2,VLOOKUP(A97,'Delta Z Scores'!$A$1:$N$1541,13,FALSE)/VLOOKUP(A97,'Delta Z Scores'!$A$1:$N$1541,14,FALSE),"Not Enough Data")</f>
        <v>-0.25822153678231735</v>
      </c>
      <c r="G97">
        <f>IF(VLOOKUP(A97,'Forecast Z Scores'!$A$1:$N$1541,14,FALSE)&gt;2,VLOOKUP(A97,'Forecast Z Scores'!$A$1:$N$1541,13,FALSE)/VLOOKUP(A97,'Forecast Z Scores'!$A$1:$N$1541,14,FALSE),"Not Enough Data")</f>
        <v>8.5377846175296201E-2</v>
      </c>
      <c r="H97">
        <v>-0.15724941397564168</v>
      </c>
    </row>
    <row r="98" spans="1:8" x14ac:dyDescent="0.35">
      <c r="A98" t="str">
        <f t="shared" si="1"/>
        <v>18097320106_2025</v>
      </c>
      <c r="B98">
        <v>18097320106</v>
      </c>
      <c r="C98">
        <v>2025</v>
      </c>
      <c r="E98">
        <f>-(IF(VLOOKUP(B98,'2023 Z Scores'!$A$1:$K$309,11,FALSE)&gt;2,VLOOKUP(B98,'2023 Z Scores'!$A$1:$K$309,10,FALSE)/VLOOKUP(B98,'2023 Z Scores'!$A$1:$K$309,11,FALSE),"Not Enough data"))</f>
        <v>-0.19793242851322826</v>
      </c>
      <c r="F98">
        <f>IF(VLOOKUP(A98,'Delta Z Scores'!$A$1:$N$1541,14,FALSE)&gt;2,VLOOKUP(A98,'Delta Z Scores'!$A$1:$N$1541,13,FALSE)/VLOOKUP(A98,'Delta Z Scores'!$A$1:$N$1541,14,FALSE),"Not Enough Data")</f>
        <v>-0.34402391809742155</v>
      </c>
      <c r="G98">
        <f>IF(VLOOKUP(A98,'Forecast Z Scores'!$A$1:$N$1541,14,FALSE)&gt;2,VLOOKUP(A98,'Forecast Z Scores'!$A$1:$N$1541,13,FALSE)/VLOOKUP(A98,'Forecast Z Scores'!$A$1:$N$1541,14,FALSE),"Not Enough Data")</f>
        <v>3.1764339477566961E-2</v>
      </c>
      <c r="H98">
        <v>-0.2135539813076261</v>
      </c>
    </row>
    <row r="99" spans="1:8" x14ac:dyDescent="0.35">
      <c r="A99" t="str">
        <f t="shared" si="1"/>
        <v>18097320106_2026</v>
      </c>
      <c r="B99">
        <v>18097320106</v>
      </c>
      <c r="C99">
        <v>2026</v>
      </c>
      <c r="E99">
        <f>-(IF(VLOOKUP(B99,'2023 Z Scores'!$A$1:$K$309,11,FALSE)&gt;2,VLOOKUP(B99,'2023 Z Scores'!$A$1:$K$309,10,FALSE)/VLOOKUP(B99,'2023 Z Scores'!$A$1:$K$309,11,FALSE),"Not Enough data"))</f>
        <v>-0.19793242851322826</v>
      </c>
      <c r="F99">
        <f>IF(VLOOKUP(A99,'Delta Z Scores'!$A$1:$N$1541,14,FALSE)&gt;2,VLOOKUP(A99,'Delta Z Scores'!$A$1:$N$1541,13,FALSE)/VLOOKUP(A99,'Delta Z Scores'!$A$1:$N$1541,14,FALSE),"Not Enough Data")</f>
        <v>-0.40108608228383641</v>
      </c>
      <c r="G99">
        <f>IF(VLOOKUP(A99,'Forecast Z Scores'!$A$1:$N$1541,14,FALSE)&gt;2,VLOOKUP(A99,'Forecast Z Scores'!$A$1:$N$1541,13,FALSE)/VLOOKUP(A99,'Forecast Z Scores'!$A$1:$N$1541,14,FALSE),"Not Enough Data")</f>
        <v>-1.5253593639842704E-2</v>
      </c>
      <c r="H99">
        <v>-0.25383954668018593</v>
      </c>
    </row>
    <row r="100" spans="1:8" x14ac:dyDescent="0.35">
      <c r="A100" t="str">
        <f t="shared" si="1"/>
        <v>18097320106_2027</v>
      </c>
      <c r="B100">
        <v>18097320106</v>
      </c>
      <c r="C100">
        <v>2027</v>
      </c>
      <c r="E100">
        <f>-(IF(VLOOKUP(B100,'2023 Z Scores'!$A$1:$K$309,11,FALSE)&gt;2,VLOOKUP(B100,'2023 Z Scores'!$A$1:$K$309,10,FALSE)/VLOOKUP(B100,'2023 Z Scores'!$A$1:$K$309,11,FALSE),"Not Enough data"))</f>
        <v>-0.19793242851322826</v>
      </c>
      <c r="F100">
        <f>IF(VLOOKUP(A100,'Delta Z Scores'!$A$1:$N$1541,14,FALSE)&gt;2,VLOOKUP(A100,'Delta Z Scores'!$A$1:$N$1541,13,FALSE)/VLOOKUP(A100,'Delta Z Scores'!$A$1:$N$1541,14,FALSE),"Not Enough Data")</f>
        <v>-0.1185923997185981</v>
      </c>
      <c r="G100">
        <f>IF(VLOOKUP(A100,'Forecast Z Scores'!$A$1:$N$1541,14,FALSE)&gt;2,VLOOKUP(A100,'Forecast Z Scores'!$A$1:$N$1541,13,FALSE)/VLOOKUP(A100,'Forecast Z Scores'!$A$1:$N$1541,14,FALSE),"Not Enough Data")</f>
        <v>-4.4227771990291105E-2</v>
      </c>
      <c r="H100">
        <v>-0.11983624998517889</v>
      </c>
    </row>
    <row r="101" spans="1:8" x14ac:dyDescent="0.35">
      <c r="A101" t="str">
        <f t="shared" si="1"/>
        <v>18097320106_2028</v>
      </c>
      <c r="B101">
        <v>18097320106</v>
      </c>
      <c r="C101">
        <v>2028</v>
      </c>
      <c r="E101">
        <f>-(IF(VLOOKUP(B101,'2023 Z Scores'!$A$1:$K$309,11,FALSE)&gt;2,VLOOKUP(B101,'2023 Z Scores'!$A$1:$K$309,10,FALSE)/VLOOKUP(B101,'2023 Z Scores'!$A$1:$K$309,11,FALSE),"Not Enough data"))</f>
        <v>-0.19793242851322826</v>
      </c>
      <c r="F101">
        <f>IF(VLOOKUP(A101,'Delta Z Scores'!$A$1:$N$1541,14,FALSE)&gt;2,VLOOKUP(A101,'Delta Z Scores'!$A$1:$N$1541,13,FALSE)/VLOOKUP(A101,'Delta Z Scores'!$A$1:$N$1541,14,FALSE),"Not Enough Data")</f>
        <v>-7.5030253668226132E-2</v>
      </c>
      <c r="G101">
        <f>IF(VLOOKUP(A101,'Forecast Z Scores'!$A$1:$N$1541,14,FALSE)&gt;2,VLOOKUP(A101,'Forecast Z Scores'!$A$1:$N$1541,13,FALSE)/VLOOKUP(A101,'Forecast Z Scores'!$A$1:$N$1541,14,FALSE),"Not Enough Data")</f>
        <v>-6.9211187878221822E-2</v>
      </c>
      <c r="H101">
        <v>-0.1043010309319756</v>
      </c>
    </row>
    <row r="102" spans="1:8" x14ac:dyDescent="0.35">
      <c r="A102" t="str">
        <f t="shared" si="1"/>
        <v>18097320107_2024</v>
      </c>
      <c r="B102">
        <v>18097320107</v>
      </c>
      <c r="C102">
        <v>2024</v>
      </c>
      <c r="E102">
        <f>-(IF(VLOOKUP(B102,'2023 Z Scores'!$A$1:$K$309,11,FALSE)&gt;2,VLOOKUP(B102,'2023 Z Scores'!$A$1:$K$309,10,FALSE)/VLOOKUP(B102,'2023 Z Scores'!$A$1:$K$309,11,FALSE),"Not Enough data"))</f>
        <v>-0.69060439126815487</v>
      </c>
      <c r="F102">
        <f>IF(VLOOKUP(A102,'Delta Z Scores'!$A$1:$N$1541,14,FALSE)&gt;2,VLOOKUP(A102,'Delta Z Scores'!$A$1:$N$1541,13,FALSE)/VLOOKUP(A102,'Delta Z Scores'!$A$1:$N$1541,14,FALSE),"Not Enough Data")</f>
        <v>-0.31468000497563064</v>
      </c>
      <c r="G102">
        <f>IF(VLOOKUP(A102,'Forecast Z Scores'!$A$1:$N$1541,14,FALSE)&gt;2,VLOOKUP(A102,'Forecast Z Scores'!$A$1:$N$1541,13,FALSE)/VLOOKUP(A102,'Forecast Z Scores'!$A$1:$N$1541,14,FALSE),"Not Enough Data")</f>
        <v>0.56565688277622228</v>
      </c>
      <c r="H102">
        <v>-0.18857687961079847</v>
      </c>
    </row>
    <row r="103" spans="1:8" x14ac:dyDescent="0.35">
      <c r="A103" t="str">
        <f t="shared" si="1"/>
        <v>18097320107_2025</v>
      </c>
      <c r="B103">
        <v>18097320107</v>
      </c>
      <c r="C103">
        <v>2025</v>
      </c>
      <c r="E103">
        <f>-(IF(VLOOKUP(B103,'2023 Z Scores'!$A$1:$K$309,11,FALSE)&gt;2,VLOOKUP(B103,'2023 Z Scores'!$A$1:$K$309,10,FALSE)/VLOOKUP(B103,'2023 Z Scores'!$A$1:$K$309,11,FALSE),"Not Enough data"))</f>
        <v>-0.69060439126815487</v>
      </c>
      <c r="F103">
        <f>IF(VLOOKUP(A103,'Delta Z Scores'!$A$1:$N$1541,14,FALSE)&gt;2,VLOOKUP(A103,'Delta Z Scores'!$A$1:$N$1541,13,FALSE)/VLOOKUP(A103,'Delta Z Scores'!$A$1:$N$1541,14,FALSE),"Not Enough Data")</f>
        <v>-0.26405244983700815</v>
      </c>
      <c r="G103">
        <f>IF(VLOOKUP(A103,'Forecast Z Scores'!$A$1:$N$1541,14,FALSE)&gt;2,VLOOKUP(A103,'Forecast Z Scores'!$A$1:$N$1541,13,FALSE)/VLOOKUP(A103,'Forecast Z Scores'!$A$1:$N$1541,14,FALSE),"Not Enough Data")</f>
        <v>0.54410903271588185</v>
      </c>
      <c r="H103">
        <v>-0.16865006455657233</v>
      </c>
    </row>
    <row r="104" spans="1:8" x14ac:dyDescent="0.35">
      <c r="A104" t="str">
        <f t="shared" si="1"/>
        <v>18097320107_2026</v>
      </c>
      <c r="B104">
        <v>18097320107</v>
      </c>
      <c r="C104">
        <v>2026</v>
      </c>
      <c r="E104">
        <f>-(IF(VLOOKUP(B104,'2023 Z Scores'!$A$1:$K$309,11,FALSE)&gt;2,VLOOKUP(B104,'2023 Z Scores'!$A$1:$K$309,10,FALSE)/VLOOKUP(B104,'2023 Z Scores'!$A$1:$K$309,11,FALSE),"Not Enough data"))</f>
        <v>-0.69060439126815487</v>
      </c>
      <c r="F104">
        <f>IF(VLOOKUP(A104,'Delta Z Scores'!$A$1:$N$1541,14,FALSE)&gt;2,VLOOKUP(A104,'Delta Z Scores'!$A$1:$N$1541,13,FALSE)/VLOOKUP(A104,'Delta Z Scores'!$A$1:$N$1541,14,FALSE),"Not Enough Data")</f>
        <v>-0.16771879620784752</v>
      </c>
      <c r="G104">
        <f>IF(VLOOKUP(A104,'Forecast Z Scores'!$A$1:$N$1541,14,FALSE)&gt;2,VLOOKUP(A104,'Forecast Z Scores'!$A$1:$N$1541,13,FALSE)/VLOOKUP(A104,'Forecast Z Scores'!$A$1:$N$1541,14,FALSE),"Not Enough Data")</f>
        <v>0.52365644363305608</v>
      </c>
      <c r="H104">
        <v>-0.12559638501269846</v>
      </c>
    </row>
    <row r="105" spans="1:8" x14ac:dyDescent="0.35">
      <c r="A105" t="str">
        <f t="shared" si="1"/>
        <v>18097320107_2027</v>
      </c>
      <c r="B105">
        <v>18097320107</v>
      </c>
      <c r="C105">
        <v>2027</v>
      </c>
      <c r="E105">
        <f>-(IF(VLOOKUP(B105,'2023 Z Scores'!$A$1:$K$309,11,FALSE)&gt;2,VLOOKUP(B105,'2023 Z Scores'!$A$1:$K$309,10,FALSE)/VLOOKUP(B105,'2023 Z Scores'!$A$1:$K$309,11,FALSE),"Not Enough data"))</f>
        <v>-0.69060439126815487</v>
      </c>
      <c r="F105">
        <f>IF(VLOOKUP(A105,'Delta Z Scores'!$A$1:$N$1541,14,FALSE)&gt;2,VLOOKUP(A105,'Delta Z Scores'!$A$1:$N$1541,13,FALSE)/VLOOKUP(A105,'Delta Z Scores'!$A$1:$N$1541,14,FALSE),"Not Enough Data")</f>
        <v>-0.17500467688493235</v>
      </c>
      <c r="G105">
        <f>IF(VLOOKUP(A105,'Forecast Z Scores'!$A$1:$N$1541,14,FALSE)&gt;2,VLOOKUP(A105,'Forecast Z Scores'!$A$1:$N$1541,13,FALSE)/VLOOKUP(A105,'Forecast Z Scores'!$A$1:$N$1541,14,FALSE),"Not Enough Data")</f>
        <v>0.5080895701875966</v>
      </c>
      <c r="H105">
        <v>-0.13313104371260576</v>
      </c>
    </row>
    <row r="106" spans="1:8" x14ac:dyDescent="0.35">
      <c r="A106" t="str">
        <f t="shared" si="1"/>
        <v>18097320107_2028</v>
      </c>
      <c r="B106">
        <v>18097320107</v>
      </c>
      <c r="C106">
        <v>2028</v>
      </c>
      <c r="E106">
        <f>-(IF(VLOOKUP(B106,'2023 Z Scores'!$A$1:$K$309,11,FALSE)&gt;2,VLOOKUP(B106,'2023 Z Scores'!$A$1:$K$309,10,FALSE)/VLOOKUP(B106,'2023 Z Scores'!$A$1:$K$309,11,FALSE),"Not Enough data"))</f>
        <v>-0.69060439126815487</v>
      </c>
      <c r="F106">
        <f>IF(VLOOKUP(A106,'Delta Z Scores'!$A$1:$N$1541,14,FALSE)&gt;2,VLOOKUP(A106,'Delta Z Scores'!$A$1:$N$1541,13,FALSE)/VLOOKUP(A106,'Delta Z Scores'!$A$1:$N$1541,14,FALSE),"Not Enough Data")</f>
        <v>-0.13680008746837416</v>
      </c>
      <c r="G106">
        <f>IF(VLOOKUP(A106,'Forecast Z Scores'!$A$1:$N$1541,14,FALSE)&gt;2,VLOOKUP(A106,'Forecast Z Scores'!$A$1:$N$1541,13,FALSE)/VLOOKUP(A106,'Forecast Z Scores'!$A$1:$N$1541,14,FALSE),"Not Enough Data")</f>
        <v>0.48554993443306194</v>
      </c>
      <c r="H106">
        <v>-0.11966365794296031</v>
      </c>
    </row>
    <row r="107" spans="1:8" x14ac:dyDescent="0.35">
      <c r="A107" t="str">
        <f t="shared" si="1"/>
        <v>18097320108_2024</v>
      </c>
      <c r="B107">
        <v>18097320108</v>
      </c>
      <c r="C107">
        <v>2024</v>
      </c>
      <c r="E107">
        <f>-(IF(VLOOKUP(B107,'2023 Z Scores'!$A$1:$K$309,11,FALSE)&gt;2,VLOOKUP(B107,'2023 Z Scores'!$A$1:$K$309,10,FALSE)/VLOOKUP(B107,'2023 Z Scores'!$A$1:$K$309,11,FALSE),"Not Enough data"))</f>
        <v>-3.4020186172025457E-2</v>
      </c>
      <c r="F107">
        <f>IF(VLOOKUP(A107,'Delta Z Scores'!$A$1:$N$1541,14,FALSE)&gt;2,VLOOKUP(A107,'Delta Z Scores'!$A$1:$N$1541,13,FALSE)/VLOOKUP(A107,'Delta Z Scores'!$A$1:$N$1541,14,FALSE),"Not Enough Data")</f>
        <v>-2.4105332922401357E-2</v>
      </c>
      <c r="G107">
        <f>IF(VLOOKUP(A107,'Forecast Z Scores'!$A$1:$N$1541,14,FALSE)&gt;2,VLOOKUP(A107,'Forecast Z Scores'!$A$1:$N$1541,13,FALSE)/VLOOKUP(A107,'Forecast Z Scores'!$A$1:$N$1541,14,FALSE),"Not Enough Data")</f>
        <v>0.15726606651390004</v>
      </c>
      <c r="H107">
        <v>1.8758803624267968E-2</v>
      </c>
    </row>
    <row r="108" spans="1:8" x14ac:dyDescent="0.35">
      <c r="A108" t="str">
        <f t="shared" si="1"/>
        <v>18097320108_2025</v>
      </c>
      <c r="B108">
        <v>18097320108</v>
      </c>
      <c r="C108">
        <v>2025</v>
      </c>
      <c r="E108">
        <f>-(IF(VLOOKUP(B108,'2023 Z Scores'!$A$1:$K$309,11,FALSE)&gt;2,VLOOKUP(B108,'2023 Z Scores'!$A$1:$K$309,10,FALSE)/VLOOKUP(B108,'2023 Z Scores'!$A$1:$K$309,11,FALSE),"Not Enough data"))</f>
        <v>-3.4020186172025457E-2</v>
      </c>
      <c r="F108">
        <f>IF(VLOOKUP(A108,'Delta Z Scores'!$A$1:$N$1541,14,FALSE)&gt;2,VLOOKUP(A108,'Delta Z Scores'!$A$1:$N$1541,13,FALSE)/VLOOKUP(A108,'Delta Z Scores'!$A$1:$N$1541,14,FALSE),"Not Enough Data")</f>
        <v>0.48860162386686501</v>
      </c>
      <c r="G108">
        <f>IF(VLOOKUP(A108,'Forecast Z Scores'!$A$1:$N$1541,14,FALSE)&gt;2,VLOOKUP(A108,'Forecast Z Scores'!$A$1:$N$1541,13,FALSE)/VLOOKUP(A108,'Forecast Z Scores'!$A$1:$N$1541,14,FALSE),"Not Enough Data")</f>
        <v>0.17905212872182016</v>
      </c>
      <c r="H108">
        <v>0.28055879757088115</v>
      </c>
    </row>
    <row r="109" spans="1:8" x14ac:dyDescent="0.35">
      <c r="A109" t="str">
        <f t="shared" si="1"/>
        <v>18097320108_2026</v>
      </c>
      <c r="B109">
        <v>18097320108</v>
      </c>
      <c r="C109">
        <v>2026</v>
      </c>
      <c r="E109">
        <f>-(IF(VLOOKUP(B109,'2023 Z Scores'!$A$1:$K$309,11,FALSE)&gt;2,VLOOKUP(B109,'2023 Z Scores'!$A$1:$K$309,10,FALSE)/VLOOKUP(B109,'2023 Z Scores'!$A$1:$K$309,11,FALSE),"Not Enough data"))</f>
        <v>-3.4020186172025457E-2</v>
      </c>
      <c r="F109">
        <f>IF(VLOOKUP(A109,'Delta Z Scores'!$A$1:$N$1541,14,FALSE)&gt;2,VLOOKUP(A109,'Delta Z Scores'!$A$1:$N$1541,13,FALSE)/VLOOKUP(A109,'Delta Z Scores'!$A$1:$N$1541,14,FALSE),"Not Enough Data")</f>
        <v>-0.24510977498437056</v>
      </c>
      <c r="G109">
        <f>IF(VLOOKUP(A109,'Forecast Z Scores'!$A$1:$N$1541,14,FALSE)&gt;2,VLOOKUP(A109,'Forecast Z Scores'!$A$1:$N$1541,13,FALSE)/VLOOKUP(A109,'Forecast Z Scores'!$A$1:$N$1541,14,FALSE),"Not Enough Data")</f>
        <v>0.15245871273481851</v>
      </c>
      <c r="H109">
        <v>-9.294525585148701E-2</v>
      </c>
    </row>
    <row r="110" spans="1:8" x14ac:dyDescent="0.35">
      <c r="A110" t="str">
        <f t="shared" si="1"/>
        <v>18097320108_2027</v>
      </c>
      <c r="B110">
        <v>18097320108</v>
      </c>
      <c r="C110">
        <v>2027</v>
      </c>
      <c r="E110">
        <f>-(IF(VLOOKUP(B110,'2023 Z Scores'!$A$1:$K$309,11,FALSE)&gt;2,VLOOKUP(B110,'2023 Z Scores'!$A$1:$K$309,10,FALSE)/VLOOKUP(B110,'2023 Z Scores'!$A$1:$K$309,11,FALSE),"Not Enough data"))</f>
        <v>-3.4020186172025457E-2</v>
      </c>
      <c r="F110">
        <f>IF(VLOOKUP(A110,'Delta Z Scores'!$A$1:$N$1541,14,FALSE)&gt;2,VLOOKUP(A110,'Delta Z Scores'!$A$1:$N$1541,13,FALSE)/VLOOKUP(A110,'Delta Z Scores'!$A$1:$N$1541,14,FALSE),"Not Enough Data")</f>
        <v>0.29187015810798572</v>
      </c>
      <c r="G110">
        <f>IF(VLOOKUP(A110,'Forecast Z Scores'!$A$1:$N$1541,14,FALSE)&gt;2,VLOOKUP(A110,'Forecast Z Scores'!$A$1:$N$1541,13,FALSE)/VLOOKUP(A110,'Forecast Z Scores'!$A$1:$N$1541,14,FALSE),"Not Enough Data")</f>
        <v>0.15898420183288933</v>
      </c>
      <c r="H110">
        <v>0.17717608296920884</v>
      </c>
    </row>
    <row r="111" spans="1:8" x14ac:dyDescent="0.35">
      <c r="A111" t="str">
        <f t="shared" si="1"/>
        <v>18097320108_2028</v>
      </c>
      <c r="B111">
        <v>18097320108</v>
      </c>
      <c r="C111">
        <v>2028</v>
      </c>
      <c r="E111">
        <f>-(IF(VLOOKUP(B111,'2023 Z Scores'!$A$1:$K$309,11,FALSE)&gt;2,VLOOKUP(B111,'2023 Z Scores'!$A$1:$K$309,10,FALSE)/VLOOKUP(B111,'2023 Z Scores'!$A$1:$K$309,11,FALSE),"Not Enough data"))</f>
        <v>-3.4020186172025457E-2</v>
      </c>
      <c r="F111">
        <f>IF(VLOOKUP(A111,'Delta Z Scores'!$A$1:$N$1541,14,FALSE)&gt;2,VLOOKUP(A111,'Delta Z Scores'!$A$1:$N$1541,13,FALSE)/VLOOKUP(A111,'Delta Z Scores'!$A$1:$N$1541,14,FALSE),"Not Enough Data")</f>
        <v>-6.417762958303512E-2</v>
      </c>
      <c r="G111">
        <f>IF(VLOOKUP(A111,'Forecast Z Scores'!$A$1:$N$1541,14,FALSE)&gt;2,VLOOKUP(A111,'Forecast Z Scores'!$A$1:$N$1541,13,FALSE)/VLOOKUP(A111,'Forecast Z Scores'!$A$1:$N$1541,14,FALSE),"Not Enough Data")</f>
        <v>0.15061754279517689</v>
      </c>
      <c r="H111">
        <v>-2.9394756357297019E-3</v>
      </c>
    </row>
    <row r="112" spans="1:8" x14ac:dyDescent="0.35">
      <c r="A112" t="str">
        <f t="shared" si="1"/>
        <v>18097320109_2024</v>
      </c>
      <c r="B112">
        <v>18097320109</v>
      </c>
      <c r="C112">
        <v>2024</v>
      </c>
      <c r="E112">
        <f>-(IF(VLOOKUP(B112,'2023 Z Scores'!$A$1:$K$309,11,FALSE)&gt;2,VLOOKUP(B112,'2023 Z Scores'!$A$1:$K$309,10,FALSE)/VLOOKUP(B112,'2023 Z Scores'!$A$1:$K$309,11,FALSE),"Not Enough data"))</f>
        <v>-0.43481032673369002</v>
      </c>
      <c r="F112">
        <f>IF(VLOOKUP(A112,'Delta Z Scores'!$A$1:$N$1541,14,FALSE)&gt;2,VLOOKUP(A112,'Delta Z Scores'!$A$1:$N$1541,13,FALSE)/VLOOKUP(A112,'Delta Z Scores'!$A$1:$N$1541,14,FALSE),"Not Enough Data")</f>
        <v>-0.55484850865621904</v>
      </c>
      <c r="G112">
        <f>IF(VLOOKUP(A112,'Forecast Z Scores'!$A$1:$N$1541,14,FALSE)&gt;2,VLOOKUP(A112,'Forecast Z Scores'!$A$1:$N$1541,13,FALSE)/VLOOKUP(A112,'Forecast Z Scores'!$A$1:$N$1541,14,FALSE),"Not Enough Data")</f>
        <v>0.14938438933190315</v>
      </c>
      <c r="H112">
        <v>-0.34878073867855625</v>
      </c>
    </row>
    <row r="113" spans="1:8" x14ac:dyDescent="0.35">
      <c r="A113" t="str">
        <f t="shared" si="1"/>
        <v>18097320109_2025</v>
      </c>
      <c r="B113">
        <v>18097320109</v>
      </c>
      <c r="C113">
        <v>2025</v>
      </c>
      <c r="E113">
        <f>-(IF(VLOOKUP(B113,'2023 Z Scores'!$A$1:$K$309,11,FALSE)&gt;2,VLOOKUP(B113,'2023 Z Scores'!$A$1:$K$309,10,FALSE)/VLOOKUP(B113,'2023 Z Scores'!$A$1:$K$309,11,FALSE),"Not Enough data"))</f>
        <v>-0.43481032673369002</v>
      </c>
      <c r="F113">
        <f>IF(VLOOKUP(A113,'Delta Z Scores'!$A$1:$N$1541,14,FALSE)&gt;2,VLOOKUP(A113,'Delta Z Scores'!$A$1:$N$1541,13,FALSE)/VLOOKUP(A113,'Delta Z Scores'!$A$1:$N$1541,14,FALSE),"Not Enough Data")</f>
        <v>-0.16758138424289828</v>
      </c>
      <c r="G113">
        <f>IF(VLOOKUP(A113,'Forecast Z Scores'!$A$1:$N$1541,14,FALSE)&gt;2,VLOOKUP(A113,'Forecast Z Scores'!$A$1:$N$1541,13,FALSE)/VLOOKUP(A113,'Forecast Z Scores'!$A$1:$N$1541,14,FALSE),"Not Enough Data")</f>
        <v>0.16351140939907824</v>
      </c>
      <c r="H113">
        <v>-0.1516154214551021</v>
      </c>
    </row>
    <row r="114" spans="1:8" x14ac:dyDescent="0.35">
      <c r="A114" t="str">
        <f t="shared" si="1"/>
        <v>18097320109_2026</v>
      </c>
      <c r="B114">
        <v>18097320109</v>
      </c>
      <c r="C114">
        <v>2026</v>
      </c>
      <c r="E114">
        <f>-(IF(VLOOKUP(B114,'2023 Z Scores'!$A$1:$K$309,11,FALSE)&gt;2,VLOOKUP(B114,'2023 Z Scores'!$A$1:$K$309,10,FALSE)/VLOOKUP(B114,'2023 Z Scores'!$A$1:$K$309,11,FALSE),"Not Enough data"))</f>
        <v>-0.43481032673369002</v>
      </c>
      <c r="F114">
        <f>IF(VLOOKUP(A114,'Delta Z Scores'!$A$1:$N$1541,14,FALSE)&gt;2,VLOOKUP(A114,'Delta Z Scores'!$A$1:$N$1541,13,FALSE)/VLOOKUP(A114,'Delta Z Scores'!$A$1:$N$1541,14,FALSE),"Not Enough Data")</f>
        <v>-0.59217589676387938</v>
      </c>
      <c r="G114">
        <f>IF(VLOOKUP(A114,'Forecast Z Scores'!$A$1:$N$1541,14,FALSE)&gt;2,VLOOKUP(A114,'Forecast Z Scores'!$A$1:$N$1541,13,FALSE)/VLOOKUP(A114,'Forecast Z Scores'!$A$1:$N$1541,14,FALSE),"Not Enough Data")</f>
        <v>0.14835326212847988</v>
      </c>
      <c r="H114">
        <v>-0.36770221453324226</v>
      </c>
    </row>
    <row r="115" spans="1:8" x14ac:dyDescent="0.35">
      <c r="A115" t="str">
        <f t="shared" si="1"/>
        <v>18097320109_2027</v>
      </c>
      <c r="B115">
        <v>18097320109</v>
      </c>
      <c r="C115">
        <v>2027</v>
      </c>
      <c r="E115">
        <f>-(IF(VLOOKUP(B115,'2023 Z Scores'!$A$1:$K$309,11,FALSE)&gt;2,VLOOKUP(B115,'2023 Z Scores'!$A$1:$K$309,10,FALSE)/VLOOKUP(B115,'2023 Z Scores'!$A$1:$K$309,11,FALSE),"Not Enough data"))</f>
        <v>-0.43481032673369002</v>
      </c>
      <c r="F115">
        <f>IF(VLOOKUP(A115,'Delta Z Scores'!$A$1:$N$1541,14,FALSE)&gt;2,VLOOKUP(A115,'Delta Z Scores'!$A$1:$N$1541,13,FALSE)/VLOOKUP(A115,'Delta Z Scores'!$A$1:$N$1541,14,FALSE),"Not Enough Data")</f>
        <v>-0.33826662211426933</v>
      </c>
      <c r="G115">
        <f>IF(VLOOKUP(A115,'Forecast Z Scores'!$A$1:$N$1541,14,FALSE)&gt;2,VLOOKUP(A115,'Forecast Z Scores'!$A$1:$N$1541,13,FALSE)/VLOOKUP(A115,'Forecast Z Scores'!$A$1:$N$1541,14,FALSE),"Not Enough Data")</f>
        <v>0.15732003510769213</v>
      </c>
      <c r="H115">
        <v>-0.23850588396363415</v>
      </c>
    </row>
    <row r="116" spans="1:8" x14ac:dyDescent="0.35">
      <c r="A116" t="str">
        <f t="shared" si="1"/>
        <v>18097320109_2028</v>
      </c>
      <c r="B116">
        <v>18097320109</v>
      </c>
      <c r="C116">
        <v>2028</v>
      </c>
      <c r="E116">
        <f>-(IF(VLOOKUP(B116,'2023 Z Scores'!$A$1:$K$309,11,FALSE)&gt;2,VLOOKUP(B116,'2023 Z Scores'!$A$1:$K$309,10,FALSE)/VLOOKUP(B116,'2023 Z Scores'!$A$1:$K$309,11,FALSE),"Not Enough data"))</f>
        <v>-0.43481032673369002</v>
      </c>
      <c r="F116">
        <f>IF(VLOOKUP(A116,'Delta Z Scores'!$A$1:$N$1541,14,FALSE)&gt;2,VLOOKUP(A116,'Delta Z Scores'!$A$1:$N$1541,13,FALSE)/VLOOKUP(A116,'Delta Z Scores'!$A$1:$N$1541,14,FALSE),"Not Enough Data")</f>
        <v>-0.51918540732572993</v>
      </c>
      <c r="G116">
        <f>IF(VLOOKUP(A116,'Forecast Z Scores'!$A$1:$N$1541,14,FALSE)&gt;2,VLOOKUP(A116,'Forecast Z Scores'!$A$1:$N$1541,13,FALSE)/VLOOKUP(A116,'Forecast Z Scores'!$A$1:$N$1541,14,FALSE),"Not Enough Data")</f>
        <v>0.14908640013838353</v>
      </c>
      <c r="H116">
        <v>-0.33102368531169157</v>
      </c>
    </row>
    <row r="117" spans="1:8" x14ac:dyDescent="0.35">
      <c r="A117" t="str">
        <f t="shared" si="1"/>
        <v>18097320202_2024</v>
      </c>
      <c r="B117">
        <v>18097320202</v>
      </c>
      <c r="C117">
        <v>2024</v>
      </c>
      <c r="E117">
        <f>-(IF(VLOOKUP(B117,'2023 Z Scores'!$A$1:$K$309,11,FALSE)&gt;2,VLOOKUP(B117,'2023 Z Scores'!$A$1:$K$309,10,FALSE)/VLOOKUP(B117,'2023 Z Scores'!$A$1:$K$309,11,FALSE),"Not Enough data"))</f>
        <v>-0.88124528338592734</v>
      </c>
      <c r="F117">
        <f>IF(VLOOKUP(A117,'Delta Z Scores'!$A$1:$N$1541,14,FALSE)&gt;2,VLOOKUP(A117,'Delta Z Scores'!$A$1:$N$1541,13,FALSE)/VLOOKUP(A117,'Delta Z Scores'!$A$1:$N$1541,14,FALSE),"Not Enough Data")</f>
        <v>-0.15266606304031596</v>
      </c>
      <c r="G117">
        <f>IF(VLOOKUP(A117,'Forecast Z Scores'!$A$1:$N$1541,14,FALSE)&gt;2,VLOOKUP(A117,'Forecast Z Scores'!$A$1:$N$1541,13,FALSE)/VLOOKUP(A117,'Forecast Z Scores'!$A$1:$N$1541,14,FALSE),"Not Enough Data")</f>
        <v>0.51098375699120469</v>
      </c>
      <c r="H117">
        <v>-0.16889841311883863</v>
      </c>
    </row>
    <row r="118" spans="1:8" x14ac:dyDescent="0.35">
      <c r="A118" t="str">
        <f t="shared" si="1"/>
        <v>18097320202_2025</v>
      </c>
      <c r="B118">
        <v>18097320202</v>
      </c>
      <c r="C118">
        <v>2025</v>
      </c>
      <c r="E118">
        <f>-(IF(VLOOKUP(B118,'2023 Z Scores'!$A$1:$K$309,11,FALSE)&gt;2,VLOOKUP(B118,'2023 Z Scores'!$A$1:$K$309,10,FALSE)/VLOOKUP(B118,'2023 Z Scores'!$A$1:$K$309,11,FALSE),"Not Enough data"))</f>
        <v>-0.88124528338592734</v>
      </c>
      <c r="F118">
        <f>IF(VLOOKUP(A118,'Delta Z Scores'!$A$1:$N$1541,14,FALSE)&gt;2,VLOOKUP(A118,'Delta Z Scores'!$A$1:$N$1541,13,FALSE)/VLOOKUP(A118,'Delta Z Scores'!$A$1:$N$1541,14,FALSE),"Not Enough Data")</f>
        <v>-0.37408237773424108</v>
      </c>
      <c r="G118">
        <f>IF(VLOOKUP(A118,'Forecast Z Scores'!$A$1:$N$1541,14,FALSE)&gt;2,VLOOKUP(A118,'Forecast Z Scores'!$A$1:$N$1541,13,FALSE)/VLOOKUP(A118,'Forecast Z Scores'!$A$1:$N$1541,14,FALSE),"Not Enough Data")</f>
        <v>0.4751805621770871</v>
      </c>
      <c r="H118">
        <v>-0.28855736916933061</v>
      </c>
    </row>
    <row r="119" spans="1:8" x14ac:dyDescent="0.35">
      <c r="A119" t="str">
        <f t="shared" si="1"/>
        <v>18097320202_2026</v>
      </c>
      <c r="B119">
        <v>18097320202</v>
      </c>
      <c r="C119">
        <v>2026</v>
      </c>
      <c r="E119">
        <f>-(IF(VLOOKUP(B119,'2023 Z Scores'!$A$1:$K$309,11,FALSE)&gt;2,VLOOKUP(B119,'2023 Z Scores'!$A$1:$K$309,10,FALSE)/VLOOKUP(B119,'2023 Z Scores'!$A$1:$K$309,11,FALSE),"Not Enough data"))</f>
        <v>-0.88124528338592734</v>
      </c>
      <c r="F119">
        <f>IF(VLOOKUP(A119,'Delta Z Scores'!$A$1:$N$1541,14,FALSE)&gt;2,VLOOKUP(A119,'Delta Z Scores'!$A$1:$N$1541,13,FALSE)/VLOOKUP(A119,'Delta Z Scores'!$A$1:$N$1541,14,FALSE),"Not Enough Data")</f>
        <v>-0.33027889909174923</v>
      </c>
      <c r="G119">
        <f>IF(VLOOKUP(A119,'Forecast Z Scores'!$A$1:$N$1541,14,FALSE)&gt;2,VLOOKUP(A119,'Forecast Z Scores'!$A$1:$N$1541,13,FALSE)/VLOOKUP(A119,'Forecast Z Scores'!$A$1:$N$1541,14,FALSE),"Not Enough Data")</f>
        <v>0.43867950551451423</v>
      </c>
      <c r="H119">
        <v>-0.27578089401372791</v>
      </c>
    </row>
    <row r="120" spans="1:8" x14ac:dyDescent="0.35">
      <c r="A120" t="str">
        <f t="shared" si="1"/>
        <v>18097320202_2027</v>
      </c>
      <c r="B120">
        <v>18097320202</v>
      </c>
      <c r="C120">
        <v>2027</v>
      </c>
      <c r="E120">
        <f>-(IF(VLOOKUP(B120,'2023 Z Scores'!$A$1:$K$309,11,FALSE)&gt;2,VLOOKUP(B120,'2023 Z Scores'!$A$1:$K$309,10,FALSE)/VLOOKUP(B120,'2023 Z Scores'!$A$1:$K$309,11,FALSE),"Not Enough data"))</f>
        <v>-0.88124528338592734</v>
      </c>
      <c r="F120">
        <f>IF(VLOOKUP(A120,'Delta Z Scores'!$A$1:$N$1541,14,FALSE)&gt;2,VLOOKUP(A120,'Delta Z Scores'!$A$1:$N$1541,13,FALSE)/VLOOKUP(A120,'Delta Z Scores'!$A$1:$N$1541,14,FALSE),"Not Enough Data")</f>
        <v>-0.31769759988681823</v>
      </c>
      <c r="G120">
        <f>IF(VLOOKUP(A120,'Forecast Z Scores'!$A$1:$N$1541,14,FALSE)&gt;2,VLOOKUP(A120,'Forecast Z Scores'!$A$1:$N$1541,13,FALSE)/VLOOKUP(A120,'Forecast Z Scores'!$A$1:$N$1541,14,FALSE),"Not Enough Data")</f>
        <v>0.40312001223015409</v>
      </c>
      <c r="H120">
        <v>-0.27838011773235244</v>
      </c>
    </row>
    <row r="121" spans="1:8" x14ac:dyDescent="0.35">
      <c r="A121" t="str">
        <f t="shared" si="1"/>
        <v>18097320202_2028</v>
      </c>
      <c r="B121">
        <v>18097320202</v>
      </c>
      <c r="C121">
        <v>2028</v>
      </c>
      <c r="E121">
        <f>-(IF(VLOOKUP(B121,'2023 Z Scores'!$A$1:$K$309,11,FALSE)&gt;2,VLOOKUP(B121,'2023 Z Scores'!$A$1:$K$309,10,FALSE)/VLOOKUP(B121,'2023 Z Scores'!$A$1:$K$309,11,FALSE),"Not Enough data"))</f>
        <v>-0.88124528338592734</v>
      </c>
      <c r="F121">
        <f>IF(VLOOKUP(A121,'Delta Z Scores'!$A$1:$N$1541,14,FALSE)&gt;2,VLOOKUP(A121,'Delta Z Scores'!$A$1:$N$1541,13,FALSE)/VLOOKUP(A121,'Delta Z Scores'!$A$1:$N$1541,14,FALSE),"Not Enough Data")</f>
        <v>-0.29565075356041842</v>
      </c>
      <c r="G121">
        <f>IF(VLOOKUP(A121,'Forecast Z Scores'!$A$1:$N$1541,14,FALSE)&gt;2,VLOOKUP(A121,'Forecast Z Scores'!$A$1:$N$1541,13,FALSE)/VLOOKUP(A121,'Forecast Z Scores'!$A$1:$N$1541,14,FALSE),"Not Enough Data")</f>
        <v>0.37418478538234679</v>
      </c>
      <c r="H121">
        <v>-0.27459050128110435</v>
      </c>
    </row>
    <row r="122" spans="1:8" x14ac:dyDescent="0.35">
      <c r="A122" t="str">
        <f t="shared" si="1"/>
        <v>18097320206_2024</v>
      </c>
      <c r="B122">
        <v>18097320206</v>
      </c>
      <c r="C122">
        <v>2024</v>
      </c>
      <c r="E122">
        <f>-(IF(VLOOKUP(B122,'2023 Z Scores'!$A$1:$K$309,11,FALSE)&gt;2,VLOOKUP(B122,'2023 Z Scores'!$A$1:$K$309,10,FALSE)/VLOOKUP(B122,'2023 Z Scores'!$A$1:$K$309,11,FALSE),"Not Enough data"))</f>
        <v>0.40568674495539714</v>
      </c>
      <c r="F122">
        <f>IF(VLOOKUP(A122,'Delta Z Scores'!$A$1:$N$1541,14,FALSE)&gt;2,VLOOKUP(A122,'Delta Z Scores'!$A$1:$N$1541,13,FALSE)/VLOOKUP(A122,'Delta Z Scores'!$A$1:$N$1541,14,FALSE),"Not Enough Data")</f>
        <v>1.2397214824972329</v>
      </c>
      <c r="G122">
        <f>IF(VLOOKUP(A122,'Forecast Z Scores'!$A$1:$N$1541,14,FALSE)&gt;2,VLOOKUP(A122,'Forecast Z Scores'!$A$1:$N$1541,13,FALSE)/VLOOKUP(A122,'Forecast Z Scores'!$A$1:$N$1541,14,FALSE),"Not Enough Data")</f>
        <v>-0.47889666947802845</v>
      </c>
      <c r="H122">
        <v>0.60155826011795865</v>
      </c>
    </row>
    <row r="123" spans="1:8" x14ac:dyDescent="0.35">
      <c r="A123" t="str">
        <f t="shared" si="1"/>
        <v>18097320206_2025</v>
      </c>
      <c r="B123">
        <v>18097320206</v>
      </c>
      <c r="C123">
        <v>2025</v>
      </c>
      <c r="E123">
        <f>-(IF(VLOOKUP(B123,'2023 Z Scores'!$A$1:$K$309,11,FALSE)&gt;2,VLOOKUP(B123,'2023 Z Scores'!$A$1:$K$309,10,FALSE)/VLOOKUP(B123,'2023 Z Scores'!$A$1:$K$309,11,FALSE),"Not Enough data"))</f>
        <v>0.40568674495539714</v>
      </c>
      <c r="F123">
        <f>IF(VLOOKUP(A123,'Delta Z Scores'!$A$1:$N$1541,14,FALSE)&gt;2,VLOOKUP(A123,'Delta Z Scores'!$A$1:$N$1541,13,FALSE)/VLOOKUP(A123,'Delta Z Scores'!$A$1:$N$1541,14,FALSE),"Not Enough Data")</f>
        <v>-8.3817936081056768E-2</v>
      </c>
      <c r="G123">
        <f>IF(VLOOKUP(A123,'Forecast Z Scores'!$A$1:$N$1541,14,FALSE)&gt;2,VLOOKUP(A123,'Forecast Z Scores'!$A$1:$N$1541,13,FALSE)/VLOOKUP(A123,'Forecast Z Scores'!$A$1:$N$1541,14,FALSE),"Not Enough Data")</f>
        <v>-0.50924746531037124</v>
      </c>
      <c r="H123">
        <v>-6.7799148129271902E-2</v>
      </c>
    </row>
    <row r="124" spans="1:8" x14ac:dyDescent="0.35">
      <c r="A124" t="str">
        <f t="shared" si="1"/>
        <v>18097320206_2026</v>
      </c>
      <c r="B124">
        <v>18097320206</v>
      </c>
      <c r="C124">
        <v>2026</v>
      </c>
      <c r="E124">
        <f>-(IF(VLOOKUP(B124,'2023 Z Scores'!$A$1:$K$309,11,FALSE)&gt;2,VLOOKUP(B124,'2023 Z Scores'!$A$1:$K$309,10,FALSE)/VLOOKUP(B124,'2023 Z Scores'!$A$1:$K$309,11,FALSE),"Not Enough data"))</f>
        <v>0.40568674495539714</v>
      </c>
      <c r="F124">
        <f>IF(VLOOKUP(A124,'Delta Z Scores'!$A$1:$N$1541,14,FALSE)&gt;2,VLOOKUP(A124,'Delta Z Scores'!$A$1:$N$1541,13,FALSE)/VLOOKUP(A124,'Delta Z Scores'!$A$1:$N$1541,14,FALSE),"Not Enough Data")</f>
        <v>-0.35324626107796775</v>
      </c>
      <c r="G124">
        <f>IF(VLOOKUP(A124,'Forecast Z Scores'!$A$1:$N$1541,14,FALSE)&gt;2,VLOOKUP(A124,'Forecast Z Scores'!$A$1:$N$1541,13,FALSE)/VLOOKUP(A124,'Forecast Z Scores'!$A$1:$N$1541,14,FALSE),"Not Enough Data")</f>
        <v>-0.52306675612916576</v>
      </c>
      <c r="H124">
        <v>-0.20596813333242603</v>
      </c>
    </row>
    <row r="125" spans="1:8" x14ac:dyDescent="0.35">
      <c r="A125" t="str">
        <f t="shared" si="1"/>
        <v>18097320206_2027</v>
      </c>
      <c r="B125">
        <v>18097320206</v>
      </c>
      <c r="C125">
        <v>2027</v>
      </c>
      <c r="E125">
        <f>-(IF(VLOOKUP(B125,'2023 Z Scores'!$A$1:$K$309,11,FALSE)&gt;2,VLOOKUP(B125,'2023 Z Scores'!$A$1:$K$309,10,FALSE)/VLOOKUP(B125,'2023 Z Scores'!$A$1:$K$309,11,FALSE),"Not Enough data"))</f>
        <v>0.40568674495539714</v>
      </c>
      <c r="F125">
        <f>IF(VLOOKUP(A125,'Delta Z Scores'!$A$1:$N$1541,14,FALSE)&gt;2,VLOOKUP(A125,'Delta Z Scores'!$A$1:$N$1541,13,FALSE)/VLOOKUP(A125,'Delta Z Scores'!$A$1:$N$1541,14,FALSE),"Not Enough Data")</f>
        <v>-0.18500443574523492</v>
      </c>
      <c r="G125">
        <f>IF(VLOOKUP(A125,'Forecast Z Scores'!$A$1:$N$1541,14,FALSE)&gt;2,VLOOKUP(A125,'Forecast Z Scores'!$A$1:$N$1541,13,FALSE)/VLOOKUP(A125,'Forecast Z Scores'!$A$1:$N$1541,14,FALSE),"Not Enough Data")</f>
        <v>-0.53588450833274714</v>
      </c>
      <c r="H125">
        <v>-0.12505165871695495</v>
      </c>
    </row>
    <row r="126" spans="1:8" x14ac:dyDescent="0.35">
      <c r="A126" t="str">
        <f t="shared" si="1"/>
        <v>18097320206_2028</v>
      </c>
      <c r="B126">
        <v>18097320206</v>
      </c>
      <c r="C126">
        <v>2028</v>
      </c>
      <c r="E126">
        <f>-(IF(VLOOKUP(B126,'2023 Z Scores'!$A$1:$K$309,11,FALSE)&gt;2,VLOOKUP(B126,'2023 Z Scores'!$A$1:$K$309,10,FALSE)/VLOOKUP(B126,'2023 Z Scores'!$A$1:$K$309,11,FALSE),"Not Enough data"))</f>
        <v>0.40568674495539714</v>
      </c>
      <c r="F126">
        <f>IF(VLOOKUP(A126,'Delta Z Scores'!$A$1:$N$1541,14,FALSE)&gt;2,VLOOKUP(A126,'Delta Z Scores'!$A$1:$N$1541,13,FALSE)/VLOOKUP(A126,'Delta Z Scores'!$A$1:$N$1541,14,FALSE),"Not Enough Data")</f>
        <v>-0.33339543123093562</v>
      </c>
      <c r="G126">
        <f>IF(VLOOKUP(A126,'Forecast Z Scores'!$A$1:$N$1541,14,FALSE)&gt;2,VLOOKUP(A126,'Forecast Z Scores'!$A$1:$N$1541,13,FALSE)/VLOOKUP(A126,'Forecast Z Scores'!$A$1:$N$1541,14,FALSE),"Not Enough Data")</f>
        <v>-0.52671273479662184</v>
      </c>
      <c r="H126">
        <v>-0.19695421307577399</v>
      </c>
    </row>
    <row r="127" spans="1:8" x14ac:dyDescent="0.35">
      <c r="A127" t="str">
        <f t="shared" si="1"/>
        <v>18097320301_2024</v>
      </c>
      <c r="B127">
        <v>18097320301</v>
      </c>
      <c r="C127">
        <v>2024</v>
      </c>
      <c r="E127">
        <f>-(IF(VLOOKUP(B127,'2023 Z Scores'!$A$1:$K$309,11,FALSE)&gt;2,VLOOKUP(B127,'2023 Z Scores'!$A$1:$K$309,10,FALSE)/VLOOKUP(B127,'2023 Z Scores'!$A$1:$K$309,11,FALSE),"Not Enough data"))</f>
        <v>-0.88651644413618569</v>
      </c>
      <c r="F127">
        <f>IF(VLOOKUP(A127,'Delta Z Scores'!$A$1:$N$1541,14,FALSE)&gt;2,VLOOKUP(A127,'Delta Z Scores'!$A$1:$N$1541,13,FALSE)/VLOOKUP(A127,'Delta Z Scores'!$A$1:$N$1541,14,FALSE),"Not Enough Data")</f>
        <v>-0.15404580985679378</v>
      </c>
      <c r="G127">
        <f>IF(VLOOKUP(A127,'Forecast Z Scores'!$A$1:$N$1541,14,FALSE)&gt;2,VLOOKUP(A127,'Forecast Z Scores'!$A$1:$N$1541,13,FALSE)/VLOOKUP(A127,'Forecast Z Scores'!$A$1:$N$1541,14,FALSE),"Not Enough Data")</f>
        <v>0.48297035259529447</v>
      </c>
      <c r="H127">
        <v>-0.17790942781361968</v>
      </c>
    </row>
    <row r="128" spans="1:8" x14ac:dyDescent="0.35">
      <c r="A128" t="str">
        <f t="shared" si="1"/>
        <v>18097320301_2025</v>
      </c>
      <c r="B128">
        <v>18097320301</v>
      </c>
      <c r="C128">
        <v>2025</v>
      </c>
      <c r="E128">
        <f>-(IF(VLOOKUP(B128,'2023 Z Scores'!$A$1:$K$309,11,FALSE)&gt;2,VLOOKUP(B128,'2023 Z Scores'!$A$1:$K$309,10,FALSE)/VLOOKUP(B128,'2023 Z Scores'!$A$1:$K$309,11,FALSE),"Not Enough data"))</f>
        <v>-0.88651644413618569</v>
      </c>
      <c r="F128">
        <f>IF(VLOOKUP(A128,'Delta Z Scores'!$A$1:$N$1541,14,FALSE)&gt;2,VLOOKUP(A128,'Delta Z Scores'!$A$1:$N$1541,13,FALSE)/VLOOKUP(A128,'Delta Z Scores'!$A$1:$N$1541,14,FALSE),"Not Enough Data")</f>
        <v>-0.33864966617503323</v>
      </c>
      <c r="G128">
        <f>IF(VLOOKUP(A128,'Forecast Z Scores'!$A$1:$N$1541,14,FALSE)&gt;2,VLOOKUP(A128,'Forecast Z Scores'!$A$1:$N$1541,13,FALSE)/VLOOKUP(A128,'Forecast Z Scores'!$A$1:$N$1541,14,FALSE),"Not Enough Data")</f>
        <v>0.44532193548833804</v>
      </c>
      <c r="H128">
        <v>-0.27962346024947854</v>
      </c>
    </row>
    <row r="129" spans="1:8" x14ac:dyDescent="0.35">
      <c r="A129" t="str">
        <f t="shared" si="1"/>
        <v>18097320301_2026</v>
      </c>
      <c r="B129">
        <v>18097320301</v>
      </c>
      <c r="C129">
        <v>2026</v>
      </c>
      <c r="E129">
        <f>-(IF(VLOOKUP(B129,'2023 Z Scores'!$A$1:$K$309,11,FALSE)&gt;2,VLOOKUP(B129,'2023 Z Scores'!$A$1:$K$309,10,FALSE)/VLOOKUP(B129,'2023 Z Scores'!$A$1:$K$309,11,FALSE),"Not Enough data"))</f>
        <v>-0.88651644413618569</v>
      </c>
      <c r="F129">
        <f>IF(VLOOKUP(A129,'Delta Z Scores'!$A$1:$N$1541,14,FALSE)&gt;2,VLOOKUP(A129,'Delta Z Scores'!$A$1:$N$1541,13,FALSE)/VLOOKUP(A129,'Delta Z Scores'!$A$1:$N$1541,14,FALSE),"Not Enough Data")</f>
        <v>-0.25297537208169218</v>
      </c>
      <c r="G129">
        <f>IF(VLOOKUP(A129,'Forecast Z Scores'!$A$1:$N$1541,14,FALSE)&gt;2,VLOOKUP(A129,'Forecast Z Scores'!$A$1:$N$1541,13,FALSE)/VLOOKUP(A129,'Forecast Z Scores'!$A$1:$N$1541,14,FALSE),"Not Enough Data")</f>
        <v>0.42110170524852708</v>
      </c>
      <c r="H129">
        <v>-0.24284137076276074</v>
      </c>
    </row>
    <row r="130" spans="1:8" x14ac:dyDescent="0.35">
      <c r="A130" t="str">
        <f t="shared" si="1"/>
        <v>18097320301_2027</v>
      </c>
      <c r="B130">
        <v>18097320301</v>
      </c>
      <c r="C130">
        <v>2027</v>
      </c>
      <c r="E130">
        <f>-(IF(VLOOKUP(B130,'2023 Z Scores'!$A$1:$K$309,11,FALSE)&gt;2,VLOOKUP(B130,'2023 Z Scores'!$A$1:$K$309,10,FALSE)/VLOOKUP(B130,'2023 Z Scores'!$A$1:$K$309,11,FALSE),"Not Enough data"))</f>
        <v>-0.88651644413618569</v>
      </c>
      <c r="F130">
        <f>IF(VLOOKUP(A130,'Delta Z Scores'!$A$1:$N$1541,14,FALSE)&gt;2,VLOOKUP(A130,'Delta Z Scores'!$A$1:$N$1541,13,FALSE)/VLOOKUP(A130,'Delta Z Scores'!$A$1:$N$1541,14,FALSE),"Not Enough Data")</f>
        <v>-0.30650804333699688</v>
      </c>
      <c r="G130">
        <f>IF(VLOOKUP(A130,'Forecast Z Scores'!$A$1:$N$1541,14,FALSE)&gt;2,VLOOKUP(A130,'Forecast Z Scores'!$A$1:$N$1541,13,FALSE)/VLOOKUP(A130,'Forecast Z Scores'!$A$1:$N$1541,14,FALSE),"Not Enough Data")</f>
        <v>0.3945737169139743</v>
      </c>
      <c r="H130">
        <v>-0.2762397034740513</v>
      </c>
    </row>
    <row r="131" spans="1:8" x14ac:dyDescent="0.35">
      <c r="A131" t="str">
        <f t="shared" ref="A131:A194" si="2">TEXT(B131,0)&amp;"_"&amp;TEXT(C131,0)</f>
        <v>18097320301_2028</v>
      </c>
      <c r="B131">
        <v>18097320301</v>
      </c>
      <c r="C131">
        <v>2028</v>
      </c>
      <c r="E131">
        <f>-(IF(VLOOKUP(B131,'2023 Z Scores'!$A$1:$K$309,11,FALSE)&gt;2,VLOOKUP(B131,'2023 Z Scores'!$A$1:$K$309,10,FALSE)/VLOOKUP(B131,'2023 Z Scores'!$A$1:$K$309,11,FALSE),"Not Enough data"))</f>
        <v>-0.88651644413618569</v>
      </c>
      <c r="F131">
        <f>IF(VLOOKUP(A131,'Delta Z Scores'!$A$1:$N$1541,14,FALSE)&gt;2,VLOOKUP(A131,'Delta Z Scores'!$A$1:$N$1541,13,FALSE)/VLOOKUP(A131,'Delta Z Scores'!$A$1:$N$1541,14,FALSE),"Not Enough Data")</f>
        <v>-0.30219460150691568</v>
      </c>
      <c r="G131">
        <f>IF(VLOOKUP(A131,'Forecast Z Scores'!$A$1:$N$1541,14,FALSE)&gt;2,VLOOKUP(A131,'Forecast Z Scores'!$A$1:$N$1541,13,FALSE)/VLOOKUP(A131,'Forecast Z Scores'!$A$1:$N$1541,14,FALSE),"Not Enough Data")</f>
        <v>0.37283424099422569</v>
      </c>
      <c r="H131">
        <v>-0.27951785153894781</v>
      </c>
    </row>
    <row r="132" spans="1:8" x14ac:dyDescent="0.35">
      <c r="A132" t="str">
        <f t="shared" si="2"/>
        <v>18097320305_2024</v>
      </c>
      <c r="B132">
        <v>18097320305</v>
      </c>
      <c r="C132">
        <v>2024</v>
      </c>
      <c r="E132">
        <f>-(IF(VLOOKUP(B132,'2023 Z Scores'!$A$1:$K$309,11,FALSE)&gt;2,VLOOKUP(B132,'2023 Z Scores'!$A$1:$K$309,10,FALSE)/VLOOKUP(B132,'2023 Z Scores'!$A$1:$K$309,11,FALSE),"Not Enough data"))</f>
        <v>-1.219694360202513</v>
      </c>
      <c r="F132">
        <f>IF(VLOOKUP(A132,'Delta Z Scores'!$A$1:$N$1541,14,FALSE)&gt;2,VLOOKUP(A132,'Delta Z Scores'!$A$1:$N$1541,13,FALSE)/VLOOKUP(A132,'Delta Z Scores'!$A$1:$N$1541,14,FALSE),"Not Enough Data")</f>
        <v>-0.49217909752909561</v>
      </c>
      <c r="G132">
        <f>IF(VLOOKUP(A132,'Forecast Z Scores'!$A$1:$N$1541,14,FALSE)&gt;2,VLOOKUP(A132,'Forecast Z Scores'!$A$1:$N$1541,13,FALSE)/VLOOKUP(A132,'Forecast Z Scores'!$A$1:$N$1541,14,FALSE),"Not Enough Data")</f>
        <v>0.45076039344906821</v>
      </c>
      <c r="H132">
        <v>-0.43832304045290899</v>
      </c>
    </row>
    <row r="133" spans="1:8" x14ac:dyDescent="0.35">
      <c r="A133" t="str">
        <f t="shared" si="2"/>
        <v>18097320305_2025</v>
      </c>
      <c r="B133">
        <v>18097320305</v>
      </c>
      <c r="C133">
        <v>2025</v>
      </c>
      <c r="E133">
        <f>-(IF(VLOOKUP(B133,'2023 Z Scores'!$A$1:$K$309,11,FALSE)&gt;2,VLOOKUP(B133,'2023 Z Scores'!$A$1:$K$309,10,FALSE)/VLOOKUP(B133,'2023 Z Scores'!$A$1:$K$309,11,FALSE),"Not Enough data"))</f>
        <v>-1.219694360202513</v>
      </c>
      <c r="F133">
        <f>IF(VLOOKUP(A133,'Delta Z Scores'!$A$1:$N$1541,14,FALSE)&gt;2,VLOOKUP(A133,'Delta Z Scores'!$A$1:$N$1541,13,FALSE)/VLOOKUP(A133,'Delta Z Scores'!$A$1:$N$1541,14,FALSE),"Not Enough Data")</f>
        <v>-0.52886443942491579</v>
      </c>
      <c r="G133">
        <f>IF(VLOOKUP(A133,'Forecast Z Scores'!$A$1:$N$1541,14,FALSE)&gt;2,VLOOKUP(A133,'Forecast Z Scores'!$A$1:$N$1541,13,FALSE)/VLOOKUP(A133,'Forecast Z Scores'!$A$1:$N$1541,14,FALSE),"Not Enough Data")</f>
        <v>0.39792028358267201</v>
      </c>
      <c r="H133">
        <v>-0.46987573886741812</v>
      </c>
    </row>
    <row r="134" spans="1:8" x14ac:dyDescent="0.35">
      <c r="A134" t="str">
        <f t="shared" si="2"/>
        <v>18097320305_2026</v>
      </c>
      <c r="B134">
        <v>18097320305</v>
      </c>
      <c r="C134">
        <v>2026</v>
      </c>
      <c r="E134">
        <f>-(IF(VLOOKUP(B134,'2023 Z Scores'!$A$1:$K$309,11,FALSE)&gt;2,VLOOKUP(B134,'2023 Z Scores'!$A$1:$K$309,10,FALSE)/VLOOKUP(B134,'2023 Z Scores'!$A$1:$K$309,11,FALSE),"Not Enough data"))</f>
        <v>-1.219694360202513</v>
      </c>
      <c r="F134">
        <f>IF(VLOOKUP(A134,'Delta Z Scores'!$A$1:$N$1541,14,FALSE)&gt;2,VLOOKUP(A134,'Delta Z Scores'!$A$1:$N$1541,13,FALSE)/VLOOKUP(A134,'Delta Z Scores'!$A$1:$N$1541,14,FALSE),"Not Enough Data")</f>
        <v>-0.67055154278087403</v>
      </c>
      <c r="G134">
        <f>IF(VLOOKUP(A134,'Forecast Z Scores'!$A$1:$N$1541,14,FALSE)&gt;2,VLOOKUP(A134,'Forecast Z Scores'!$A$1:$N$1541,13,FALSE)/VLOOKUP(A134,'Forecast Z Scores'!$A$1:$N$1541,14,FALSE),"Not Enough Data")</f>
        <v>0.31414367129356774</v>
      </c>
      <c r="H134">
        <v>-0.56166344361767329</v>
      </c>
    </row>
    <row r="135" spans="1:8" x14ac:dyDescent="0.35">
      <c r="A135" t="str">
        <f t="shared" si="2"/>
        <v>18097320305_2027</v>
      </c>
      <c r="B135">
        <v>18097320305</v>
      </c>
      <c r="C135">
        <v>2027</v>
      </c>
      <c r="E135">
        <f>-(IF(VLOOKUP(B135,'2023 Z Scores'!$A$1:$K$309,11,FALSE)&gt;2,VLOOKUP(B135,'2023 Z Scores'!$A$1:$K$309,10,FALSE)/VLOOKUP(B135,'2023 Z Scores'!$A$1:$K$309,11,FALSE),"Not Enough data"))</f>
        <v>-1.219694360202513</v>
      </c>
      <c r="F135">
        <f>IF(VLOOKUP(A135,'Delta Z Scores'!$A$1:$N$1541,14,FALSE)&gt;2,VLOOKUP(A135,'Delta Z Scores'!$A$1:$N$1541,13,FALSE)/VLOOKUP(A135,'Delta Z Scores'!$A$1:$N$1541,14,FALSE),"Not Enough Data")</f>
        <v>-0.46149319776804848</v>
      </c>
      <c r="G135">
        <f>IF(VLOOKUP(A135,'Forecast Z Scores'!$A$1:$N$1541,14,FALSE)&gt;2,VLOOKUP(A135,'Forecast Z Scores'!$A$1:$N$1541,13,FALSE)/VLOOKUP(A135,'Forecast Z Scores'!$A$1:$N$1541,14,FALSE),"Not Enough Data")</f>
        <v>0.26800828752829375</v>
      </c>
      <c r="H135">
        <v>-0.46866811705257905</v>
      </c>
    </row>
    <row r="136" spans="1:8" x14ac:dyDescent="0.35">
      <c r="A136" t="str">
        <f t="shared" si="2"/>
        <v>18097320305_2028</v>
      </c>
      <c r="B136">
        <v>18097320305</v>
      </c>
      <c r="C136">
        <v>2028</v>
      </c>
      <c r="E136">
        <f>-(IF(VLOOKUP(B136,'2023 Z Scores'!$A$1:$K$309,11,FALSE)&gt;2,VLOOKUP(B136,'2023 Z Scores'!$A$1:$K$309,10,FALSE)/VLOOKUP(B136,'2023 Z Scores'!$A$1:$K$309,11,FALSE),"Not Enough data"))</f>
        <v>-1.219694360202513</v>
      </c>
      <c r="F136">
        <f>IF(VLOOKUP(A136,'Delta Z Scores'!$A$1:$N$1541,14,FALSE)&gt;2,VLOOKUP(A136,'Delta Z Scores'!$A$1:$N$1541,13,FALSE)/VLOOKUP(A136,'Delta Z Scores'!$A$1:$N$1541,14,FALSE),"Not Enough Data")</f>
        <v>-0.62602731950767698</v>
      </c>
      <c r="G136">
        <f>IF(VLOOKUP(A136,'Forecast Z Scores'!$A$1:$N$1541,14,FALSE)&gt;2,VLOOKUP(A136,'Forecast Z Scores'!$A$1:$N$1541,13,FALSE)/VLOOKUP(A136,'Forecast Z Scores'!$A$1:$N$1541,14,FALSE),"Not Enough Data")</f>
        <v>0.19087454062449191</v>
      </c>
      <c r="H136">
        <v>-0.57021861464834378</v>
      </c>
    </row>
    <row r="137" spans="1:8" x14ac:dyDescent="0.35">
      <c r="A137" t="str">
        <f t="shared" si="2"/>
        <v>18097320306_2024</v>
      </c>
      <c r="B137">
        <v>18097320306</v>
      </c>
      <c r="C137">
        <v>2024</v>
      </c>
      <c r="E137">
        <f>-(IF(VLOOKUP(B137,'2023 Z Scores'!$A$1:$K$309,11,FALSE)&gt;2,VLOOKUP(B137,'2023 Z Scores'!$A$1:$K$309,10,FALSE)/VLOOKUP(B137,'2023 Z Scores'!$A$1:$K$309,11,FALSE),"Not Enough data"))</f>
        <v>-0.79435676882520034</v>
      </c>
      <c r="F137">
        <f>IF(VLOOKUP(A137,'Delta Z Scores'!$A$1:$N$1541,14,FALSE)&gt;2,VLOOKUP(A137,'Delta Z Scores'!$A$1:$N$1541,13,FALSE)/VLOOKUP(A137,'Delta Z Scores'!$A$1:$N$1541,14,FALSE),"Not Enough Data")</f>
        <v>1.680520562349877E-2</v>
      </c>
      <c r="G137">
        <f>IF(VLOOKUP(A137,'Forecast Z Scores'!$A$1:$N$1541,14,FALSE)&gt;2,VLOOKUP(A137,'Forecast Z Scores'!$A$1:$N$1541,13,FALSE)/VLOOKUP(A137,'Forecast Z Scores'!$A$1:$N$1541,14,FALSE),"Not Enough Data")</f>
        <v>0.43479788323342483</v>
      </c>
      <c r="H137">
        <v>-8.1487118586194493E-2</v>
      </c>
    </row>
    <row r="138" spans="1:8" x14ac:dyDescent="0.35">
      <c r="A138" t="str">
        <f t="shared" si="2"/>
        <v>18097320306_2025</v>
      </c>
      <c r="B138">
        <v>18097320306</v>
      </c>
      <c r="C138">
        <v>2025</v>
      </c>
      <c r="E138">
        <f>-(IF(VLOOKUP(B138,'2023 Z Scores'!$A$1:$K$309,11,FALSE)&gt;2,VLOOKUP(B138,'2023 Z Scores'!$A$1:$K$309,10,FALSE)/VLOOKUP(B138,'2023 Z Scores'!$A$1:$K$309,11,FALSE),"Not Enough data"))</f>
        <v>-0.79435676882520034</v>
      </c>
      <c r="F138">
        <f>IF(VLOOKUP(A138,'Delta Z Scores'!$A$1:$N$1541,14,FALSE)&gt;2,VLOOKUP(A138,'Delta Z Scores'!$A$1:$N$1541,13,FALSE)/VLOOKUP(A138,'Delta Z Scores'!$A$1:$N$1541,14,FALSE),"Not Enough Data")</f>
        <v>-0.29971479071732532</v>
      </c>
      <c r="G138">
        <f>IF(VLOOKUP(A138,'Forecast Z Scores'!$A$1:$N$1541,14,FALSE)&gt;2,VLOOKUP(A138,'Forecast Z Scores'!$A$1:$N$1541,13,FALSE)/VLOOKUP(A138,'Forecast Z Scores'!$A$1:$N$1541,14,FALSE),"Not Enough Data")</f>
        <v>0.41138608649240888</v>
      </c>
      <c r="H138">
        <v>-0.24560006594186051</v>
      </c>
    </row>
    <row r="139" spans="1:8" x14ac:dyDescent="0.35">
      <c r="A139" t="str">
        <f t="shared" si="2"/>
        <v>18097320306_2026</v>
      </c>
      <c r="B139">
        <v>18097320306</v>
      </c>
      <c r="C139">
        <v>2026</v>
      </c>
      <c r="E139">
        <f>-(IF(VLOOKUP(B139,'2023 Z Scores'!$A$1:$K$309,11,FALSE)&gt;2,VLOOKUP(B139,'2023 Z Scores'!$A$1:$K$309,10,FALSE)/VLOOKUP(B139,'2023 Z Scores'!$A$1:$K$309,11,FALSE),"Not Enough data"))</f>
        <v>-0.79435676882520034</v>
      </c>
      <c r="F139">
        <f>IF(VLOOKUP(A139,'Delta Z Scores'!$A$1:$N$1541,14,FALSE)&gt;2,VLOOKUP(A139,'Delta Z Scores'!$A$1:$N$1541,13,FALSE)/VLOOKUP(A139,'Delta Z Scores'!$A$1:$N$1541,14,FALSE),"Not Enough Data")</f>
        <v>-0.23776669807064563</v>
      </c>
      <c r="G139">
        <f>IF(VLOOKUP(A139,'Forecast Z Scores'!$A$1:$N$1541,14,FALSE)&gt;2,VLOOKUP(A139,'Forecast Z Scores'!$A$1:$N$1541,13,FALSE)/VLOOKUP(A139,'Forecast Z Scores'!$A$1:$N$1541,14,FALSE),"Not Enough Data")</f>
        <v>0.39114254829607731</v>
      </c>
      <c r="H139">
        <v>-0.21968690416760356</v>
      </c>
    </row>
    <row r="140" spans="1:8" x14ac:dyDescent="0.35">
      <c r="A140" t="str">
        <f t="shared" si="2"/>
        <v>18097320306_2027</v>
      </c>
      <c r="B140">
        <v>18097320306</v>
      </c>
      <c r="C140">
        <v>2027</v>
      </c>
      <c r="E140">
        <f>-(IF(VLOOKUP(B140,'2023 Z Scores'!$A$1:$K$309,11,FALSE)&gt;2,VLOOKUP(B140,'2023 Z Scores'!$A$1:$K$309,10,FALSE)/VLOOKUP(B140,'2023 Z Scores'!$A$1:$K$309,11,FALSE),"Not Enough data"))</f>
        <v>-0.79435676882520034</v>
      </c>
      <c r="F140">
        <f>IF(VLOOKUP(A140,'Delta Z Scores'!$A$1:$N$1541,14,FALSE)&gt;2,VLOOKUP(A140,'Delta Z Scores'!$A$1:$N$1541,13,FALSE)/VLOOKUP(A140,'Delta Z Scores'!$A$1:$N$1541,14,FALSE),"Not Enough Data")</f>
        <v>-0.21095341085149005</v>
      </c>
      <c r="G140">
        <f>IF(VLOOKUP(A140,'Forecast Z Scores'!$A$1:$N$1541,14,FALSE)&gt;2,VLOOKUP(A140,'Forecast Z Scores'!$A$1:$N$1541,13,FALSE)/VLOOKUP(A140,'Forecast Z Scores'!$A$1:$N$1541,14,FALSE),"Not Enough Data")</f>
        <v>0.36752793195661976</v>
      </c>
      <c r="H140">
        <v>-0.21218391464289016</v>
      </c>
    </row>
    <row r="141" spans="1:8" x14ac:dyDescent="0.35">
      <c r="A141" t="str">
        <f t="shared" si="2"/>
        <v>18097320306_2028</v>
      </c>
      <c r="B141">
        <v>18097320306</v>
      </c>
      <c r="C141">
        <v>2028</v>
      </c>
      <c r="E141">
        <f>-(IF(VLOOKUP(B141,'2023 Z Scores'!$A$1:$K$309,11,FALSE)&gt;2,VLOOKUP(B141,'2023 Z Scores'!$A$1:$K$309,10,FALSE)/VLOOKUP(B141,'2023 Z Scores'!$A$1:$K$309,11,FALSE),"Not Enough data"))</f>
        <v>-0.79435676882520034</v>
      </c>
      <c r="F141">
        <f>IF(VLOOKUP(A141,'Delta Z Scores'!$A$1:$N$1541,14,FALSE)&gt;2,VLOOKUP(A141,'Delta Z Scores'!$A$1:$N$1541,13,FALSE)/VLOOKUP(A141,'Delta Z Scores'!$A$1:$N$1541,14,FALSE),"Not Enough Data")</f>
        <v>-0.20498441080204971</v>
      </c>
      <c r="G141">
        <f>IF(VLOOKUP(A141,'Forecast Z Scores'!$A$1:$N$1541,14,FALSE)&gt;2,VLOOKUP(A141,'Forecast Z Scores'!$A$1:$N$1541,13,FALSE)/VLOOKUP(A141,'Forecast Z Scores'!$A$1:$N$1541,14,FALSE),"Not Enough Data")</f>
        <v>0.35096147755952806</v>
      </c>
      <c r="H141">
        <v>-0.21334102821744294</v>
      </c>
    </row>
    <row r="142" spans="1:8" x14ac:dyDescent="0.35">
      <c r="A142" t="str">
        <f t="shared" si="2"/>
        <v>18097320400_2024</v>
      </c>
      <c r="B142">
        <v>18097320400</v>
      </c>
      <c r="C142">
        <v>2024</v>
      </c>
      <c r="E142">
        <f>-(IF(VLOOKUP(B142,'2023 Z Scores'!$A$1:$K$309,11,FALSE)&gt;2,VLOOKUP(B142,'2023 Z Scores'!$A$1:$K$309,10,FALSE)/VLOOKUP(B142,'2023 Z Scores'!$A$1:$K$309,11,FALSE),"Not Enough data"))</f>
        <v>-0.64236057722659845</v>
      </c>
      <c r="F142">
        <f>IF(VLOOKUP(A142,'Delta Z Scores'!$A$1:$N$1541,14,FALSE)&gt;2,VLOOKUP(A142,'Delta Z Scores'!$A$1:$N$1541,13,FALSE)/VLOOKUP(A142,'Delta Z Scores'!$A$1:$N$1541,14,FALSE),"Not Enough Data")</f>
        <v>4.7752176785195152E-2</v>
      </c>
      <c r="G142">
        <f>IF(VLOOKUP(A142,'Forecast Z Scores'!$A$1:$N$1541,14,FALSE)&gt;2,VLOOKUP(A142,'Forecast Z Scores'!$A$1:$N$1541,13,FALSE)/VLOOKUP(A142,'Forecast Z Scores'!$A$1:$N$1541,14,FALSE),"Not Enough Data")</f>
        <v>0.5477080482025497</v>
      </c>
      <c r="H142">
        <v>2.1295613658539603E-4</v>
      </c>
    </row>
    <row r="143" spans="1:8" x14ac:dyDescent="0.35">
      <c r="A143" t="str">
        <f t="shared" si="2"/>
        <v>18097320400_2025</v>
      </c>
      <c r="B143">
        <v>18097320400</v>
      </c>
      <c r="C143">
        <v>2025</v>
      </c>
      <c r="E143">
        <f>-(IF(VLOOKUP(B143,'2023 Z Scores'!$A$1:$K$309,11,FALSE)&gt;2,VLOOKUP(B143,'2023 Z Scores'!$A$1:$K$309,10,FALSE)/VLOOKUP(B143,'2023 Z Scores'!$A$1:$K$309,11,FALSE),"Not Enough data"))</f>
        <v>-0.64236057722659845</v>
      </c>
      <c r="F143">
        <f>IF(VLOOKUP(A143,'Delta Z Scores'!$A$1:$N$1541,14,FALSE)&gt;2,VLOOKUP(A143,'Delta Z Scores'!$A$1:$N$1541,13,FALSE)/VLOOKUP(A143,'Delta Z Scores'!$A$1:$N$1541,14,FALSE),"Not Enough Data")</f>
        <v>-0.13366625230277748</v>
      </c>
      <c r="G143">
        <f>IF(VLOOKUP(A143,'Forecast Z Scores'!$A$1:$N$1541,14,FALSE)&gt;2,VLOOKUP(A143,'Forecast Z Scores'!$A$1:$N$1541,13,FALSE)/VLOOKUP(A143,'Forecast Z Scores'!$A$1:$N$1541,14,FALSE),"Not Enough Data")</f>
        <v>0.53966837503188636</v>
      </c>
      <c r="H143">
        <v>-9.2506176700066764E-2</v>
      </c>
    </row>
    <row r="144" spans="1:8" x14ac:dyDescent="0.35">
      <c r="A144" t="str">
        <f t="shared" si="2"/>
        <v>18097320400_2026</v>
      </c>
      <c r="B144">
        <v>18097320400</v>
      </c>
      <c r="C144">
        <v>2026</v>
      </c>
      <c r="E144">
        <f>-(IF(VLOOKUP(B144,'2023 Z Scores'!$A$1:$K$309,11,FALSE)&gt;2,VLOOKUP(B144,'2023 Z Scores'!$A$1:$K$309,10,FALSE)/VLOOKUP(B144,'2023 Z Scores'!$A$1:$K$309,11,FALSE),"Not Enough data"))</f>
        <v>-0.64236057722659845</v>
      </c>
      <c r="F144">
        <f>IF(VLOOKUP(A144,'Delta Z Scores'!$A$1:$N$1541,14,FALSE)&gt;2,VLOOKUP(A144,'Delta Z Scores'!$A$1:$N$1541,13,FALSE)/VLOOKUP(A144,'Delta Z Scores'!$A$1:$N$1541,14,FALSE),"Not Enough Data")</f>
        <v>-0.13719683480057632</v>
      </c>
      <c r="G144">
        <f>IF(VLOOKUP(A144,'Forecast Z Scores'!$A$1:$N$1541,14,FALSE)&gt;2,VLOOKUP(A144,'Forecast Z Scores'!$A$1:$N$1541,13,FALSE)/VLOOKUP(A144,'Forecast Z Scores'!$A$1:$N$1541,14,FALSE),"Not Enough Data")</f>
        <v>0.52181544874857166</v>
      </c>
      <c r="H144">
        <v>-9.8734699519794855E-2</v>
      </c>
    </row>
    <row r="145" spans="1:8" x14ac:dyDescent="0.35">
      <c r="A145" t="str">
        <f t="shared" si="2"/>
        <v>18097320400_2027</v>
      </c>
      <c r="B145">
        <v>18097320400</v>
      </c>
      <c r="C145">
        <v>2027</v>
      </c>
      <c r="E145">
        <f>-(IF(VLOOKUP(B145,'2023 Z Scores'!$A$1:$K$309,11,FALSE)&gt;2,VLOOKUP(B145,'2023 Z Scores'!$A$1:$K$309,10,FALSE)/VLOOKUP(B145,'2023 Z Scores'!$A$1:$K$309,11,FALSE),"Not Enough data"))</f>
        <v>-0.64236057722659845</v>
      </c>
      <c r="F145">
        <f>IF(VLOOKUP(A145,'Delta Z Scores'!$A$1:$N$1541,14,FALSE)&gt;2,VLOOKUP(A145,'Delta Z Scores'!$A$1:$N$1541,13,FALSE)/VLOOKUP(A145,'Delta Z Scores'!$A$1:$N$1541,14,FALSE),"Not Enough Data")</f>
        <v>-0.1092377260130491</v>
      </c>
      <c r="G145">
        <f>IF(VLOOKUP(A145,'Forecast Z Scores'!$A$1:$N$1541,14,FALSE)&gt;2,VLOOKUP(A145,'Forecast Z Scores'!$A$1:$N$1541,13,FALSE)/VLOOKUP(A145,'Forecast Z Scores'!$A$1:$N$1541,14,FALSE),"Not Enough Data")</f>
        <v>0.50724010022685417</v>
      </c>
      <c r="H145">
        <v>-8.8398982256460618E-2</v>
      </c>
    </row>
    <row r="146" spans="1:8" x14ac:dyDescent="0.35">
      <c r="A146" t="str">
        <f t="shared" si="2"/>
        <v>18097320400_2028</v>
      </c>
      <c r="B146">
        <v>18097320400</v>
      </c>
      <c r="C146">
        <v>2028</v>
      </c>
      <c r="E146">
        <f>-(IF(VLOOKUP(B146,'2023 Z Scores'!$A$1:$K$309,11,FALSE)&gt;2,VLOOKUP(B146,'2023 Z Scores'!$A$1:$K$309,10,FALSE)/VLOOKUP(B146,'2023 Z Scores'!$A$1:$K$309,11,FALSE),"Not Enough data"))</f>
        <v>-0.64236057722659845</v>
      </c>
      <c r="F146">
        <f>IF(VLOOKUP(A146,'Delta Z Scores'!$A$1:$N$1541,14,FALSE)&gt;2,VLOOKUP(A146,'Delta Z Scores'!$A$1:$N$1541,13,FALSE)/VLOOKUP(A146,'Delta Z Scores'!$A$1:$N$1541,14,FALSE),"Not Enough Data")</f>
        <v>-0.14122827869912419</v>
      </c>
      <c r="G146">
        <f>IF(VLOOKUP(A146,'Forecast Z Scores'!$A$1:$N$1541,14,FALSE)&gt;2,VLOOKUP(A146,'Forecast Z Scores'!$A$1:$N$1541,13,FALSE)/VLOOKUP(A146,'Forecast Z Scores'!$A$1:$N$1541,14,FALSE),"Not Enough Data")</f>
        <v>0.49129834214086865</v>
      </c>
      <c r="H146">
        <v>-0.10837969812099454</v>
      </c>
    </row>
    <row r="147" spans="1:8" x14ac:dyDescent="0.35">
      <c r="A147" t="str">
        <f t="shared" si="2"/>
        <v>18097320500_2024</v>
      </c>
      <c r="B147">
        <v>18097320500</v>
      </c>
      <c r="C147">
        <v>2024</v>
      </c>
      <c r="E147">
        <f>-(IF(VLOOKUP(B147,'2023 Z Scores'!$A$1:$K$309,11,FALSE)&gt;2,VLOOKUP(B147,'2023 Z Scores'!$A$1:$K$309,10,FALSE)/VLOOKUP(B147,'2023 Z Scores'!$A$1:$K$309,11,FALSE),"Not Enough data"))</f>
        <v>-0.80323792464497168</v>
      </c>
      <c r="F147">
        <f>IF(VLOOKUP(A147,'Delta Z Scores'!$A$1:$N$1541,14,FALSE)&gt;2,VLOOKUP(A147,'Delta Z Scores'!$A$1:$N$1541,13,FALSE)/VLOOKUP(A147,'Delta Z Scores'!$A$1:$N$1541,14,FALSE),"Not Enough Data")</f>
        <v>4.5738627930116391E-2</v>
      </c>
      <c r="G147">
        <f>IF(VLOOKUP(A147,'Forecast Z Scores'!$A$1:$N$1541,14,FALSE)&gt;2,VLOOKUP(A147,'Forecast Z Scores'!$A$1:$N$1541,13,FALSE)/VLOOKUP(A147,'Forecast Z Scores'!$A$1:$N$1541,14,FALSE),"Not Enough Data")</f>
        <v>0.60928692212213298</v>
      </c>
      <c r="H147">
        <v>-2.5618436665651473E-2</v>
      </c>
    </row>
    <row r="148" spans="1:8" x14ac:dyDescent="0.35">
      <c r="A148" t="str">
        <f t="shared" si="2"/>
        <v>18097320500_2025</v>
      </c>
      <c r="B148">
        <v>18097320500</v>
      </c>
      <c r="C148">
        <v>2025</v>
      </c>
      <c r="E148">
        <f>-(IF(VLOOKUP(B148,'2023 Z Scores'!$A$1:$K$309,11,FALSE)&gt;2,VLOOKUP(B148,'2023 Z Scores'!$A$1:$K$309,10,FALSE)/VLOOKUP(B148,'2023 Z Scores'!$A$1:$K$309,11,FALSE),"Not Enough data"))</f>
        <v>-0.80323792464497168</v>
      </c>
      <c r="F148">
        <f>IF(VLOOKUP(A148,'Delta Z Scores'!$A$1:$N$1541,14,FALSE)&gt;2,VLOOKUP(A148,'Delta Z Scores'!$A$1:$N$1541,13,FALSE)/VLOOKUP(A148,'Delta Z Scores'!$A$1:$N$1541,14,FALSE),"Not Enough Data")</f>
        <v>-7.7722583636146925E-2</v>
      </c>
      <c r="G148">
        <f>IF(VLOOKUP(A148,'Forecast Z Scores'!$A$1:$N$1541,14,FALSE)&gt;2,VLOOKUP(A148,'Forecast Z Scores'!$A$1:$N$1541,13,FALSE)/VLOOKUP(A148,'Forecast Z Scores'!$A$1:$N$1541,14,FALSE),"Not Enough Data")</f>
        <v>0.61499771289857652</v>
      </c>
      <c r="H148">
        <v>-8.5921344754672252E-2</v>
      </c>
    </row>
    <row r="149" spans="1:8" x14ac:dyDescent="0.35">
      <c r="A149" t="str">
        <f t="shared" si="2"/>
        <v>18097320500_2026</v>
      </c>
      <c r="B149">
        <v>18097320500</v>
      </c>
      <c r="C149">
        <v>2026</v>
      </c>
      <c r="E149">
        <f>-(IF(VLOOKUP(B149,'2023 Z Scores'!$A$1:$K$309,11,FALSE)&gt;2,VLOOKUP(B149,'2023 Z Scores'!$A$1:$K$309,10,FALSE)/VLOOKUP(B149,'2023 Z Scores'!$A$1:$K$309,11,FALSE),"Not Enough data"))</f>
        <v>-0.80323792464497168</v>
      </c>
      <c r="F149">
        <f>IF(VLOOKUP(A149,'Delta Z Scores'!$A$1:$N$1541,14,FALSE)&gt;2,VLOOKUP(A149,'Delta Z Scores'!$A$1:$N$1541,13,FALSE)/VLOOKUP(A149,'Delta Z Scores'!$A$1:$N$1541,14,FALSE),"Not Enough Data")</f>
        <v>-0.26002891288107272</v>
      </c>
      <c r="G149">
        <f>IF(VLOOKUP(A149,'Forecast Z Scores'!$A$1:$N$1541,14,FALSE)&gt;2,VLOOKUP(A149,'Forecast Z Scores'!$A$1:$N$1541,13,FALSE)/VLOOKUP(A149,'Forecast Z Scores'!$A$1:$N$1541,14,FALSE),"Not Enough Data")</f>
        <v>0.58076113401332774</v>
      </c>
      <c r="H149">
        <v>-0.18563365409844734</v>
      </c>
    </row>
    <row r="150" spans="1:8" x14ac:dyDescent="0.35">
      <c r="A150" t="str">
        <f t="shared" si="2"/>
        <v>18097320500_2027</v>
      </c>
      <c r="B150">
        <v>18097320500</v>
      </c>
      <c r="C150">
        <v>2027</v>
      </c>
      <c r="E150">
        <f>-(IF(VLOOKUP(B150,'2023 Z Scores'!$A$1:$K$309,11,FALSE)&gt;2,VLOOKUP(B150,'2023 Z Scores'!$A$1:$K$309,10,FALSE)/VLOOKUP(B150,'2023 Z Scores'!$A$1:$K$309,11,FALSE),"Not Enough data"))</f>
        <v>-0.80323792464497168</v>
      </c>
      <c r="F150">
        <f>IF(VLOOKUP(A150,'Delta Z Scores'!$A$1:$N$1541,14,FALSE)&gt;2,VLOOKUP(A150,'Delta Z Scores'!$A$1:$N$1541,13,FALSE)/VLOOKUP(A150,'Delta Z Scores'!$A$1:$N$1541,14,FALSE),"Not Enough Data")</f>
        <v>-8.2580101193860667E-2</v>
      </c>
      <c r="G150">
        <f>IF(VLOOKUP(A150,'Forecast Z Scores'!$A$1:$N$1541,14,FALSE)&gt;2,VLOOKUP(A150,'Forecast Z Scores'!$A$1:$N$1541,13,FALSE)/VLOOKUP(A150,'Forecast Z Scores'!$A$1:$N$1541,14,FALSE),"Not Enough Data")</f>
        <v>0.56911669346647997</v>
      </c>
      <c r="H150">
        <v>-9.982035839155326E-2</v>
      </c>
    </row>
    <row r="151" spans="1:8" x14ac:dyDescent="0.35">
      <c r="A151" t="str">
        <f t="shared" si="2"/>
        <v>18097320500_2028</v>
      </c>
      <c r="B151">
        <v>18097320500</v>
      </c>
      <c r="C151">
        <v>2028</v>
      </c>
      <c r="E151">
        <f>-(IF(VLOOKUP(B151,'2023 Z Scores'!$A$1:$K$309,11,FALSE)&gt;2,VLOOKUP(B151,'2023 Z Scores'!$A$1:$K$309,10,FALSE)/VLOOKUP(B151,'2023 Z Scores'!$A$1:$K$309,11,FALSE),"Not Enough data"))</f>
        <v>-0.80323792464497168</v>
      </c>
      <c r="F151">
        <f>IF(VLOOKUP(A151,'Delta Z Scores'!$A$1:$N$1541,14,FALSE)&gt;2,VLOOKUP(A151,'Delta Z Scores'!$A$1:$N$1541,13,FALSE)/VLOOKUP(A151,'Delta Z Scores'!$A$1:$N$1541,14,FALSE),"Not Enough Data")</f>
        <v>-0.19049147021200413</v>
      </c>
      <c r="G151">
        <f>IF(VLOOKUP(A151,'Forecast Z Scores'!$A$1:$N$1541,14,FALSE)&gt;2,VLOOKUP(A151,'Forecast Z Scores'!$A$1:$N$1541,13,FALSE)/VLOOKUP(A151,'Forecast Z Scores'!$A$1:$N$1541,14,FALSE),"Not Enough Data")</f>
        <v>0.5433757160008863</v>
      </c>
      <c r="H151">
        <v>-0.16021128726702341</v>
      </c>
    </row>
    <row r="152" spans="1:8" x14ac:dyDescent="0.35">
      <c r="A152" t="str">
        <f t="shared" si="2"/>
        <v>18097320600_2024</v>
      </c>
      <c r="B152">
        <v>18097320600</v>
      </c>
      <c r="C152">
        <v>2024</v>
      </c>
      <c r="E152">
        <f>-(IF(VLOOKUP(B152,'2023 Z Scores'!$A$1:$K$309,11,FALSE)&gt;2,VLOOKUP(B152,'2023 Z Scores'!$A$1:$K$309,10,FALSE)/VLOOKUP(B152,'2023 Z Scores'!$A$1:$K$309,11,FALSE),"Not Enough data"))</f>
        <v>-0.42183998156274188</v>
      </c>
      <c r="F152">
        <f>IF(VLOOKUP(A152,'Delta Z Scores'!$A$1:$N$1541,14,FALSE)&gt;2,VLOOKUP(A152,'Delta Z Scores'!$A$1:$N$1541,13,FALSE)/VLOOKUP(A152,'Delta Z Scores'!$A$1:$N$1541,14,FALSE),"Not Enough Data")</f>
        <v>-0.26514429455369604</v>
      </c>
      <c r="G152">
        <f>IF(VLOOKUP(A152,'Forecast Z Scores'!$A$1:$N$1541,14,FALSE)&gt;2,VLOOKUP(A152,'Forecast Z Scores'!$A$1:$N$1541,13,FALSE)/VLOOKUP(A152,'Forecast Z Scores'!$A$1:$N$1541,14,FALSE),"Not Enough Data")</f>
        <v>0.17421687993126317</v>
      </c>
      <c r="H152">
        <v>-0.1944779226847177</v>
      </c>
    </row>
    <row r="153" spans="1:8" x14ac:dyDescent="0.35">
      <c r="A153" t="str">
        <f t="shared" si="2"/>
        <v>18097320600_2025</v>
      </c>
      <c r="B153">
        <v>18097320600</v>
      </c>
      <c r="C153">
        <v>2025</v>
      </c>
      <c r="E153">
        <f>-(IF(VLOOKUP(B153,'2023 Z Scores'!$A$1:$K$309,11,FALSE)&gt;2,VLOOKUP(B153,'2023 Z Scores'!$A$1:$K$309,10,FALSE)/VLOOKUP(B153,'2023 Z Scores'!$A$1:$K$309,11,FALSE),"Not Enough data"))</f>
        <v>-0.42183998156274188</v>
      </c>
      <c r="F153">
        <f>IF(VLOOKUP(A153,'Delta Z Scores'!$A$1:$N$1541,14,FALSE)&gt;2,VLOOKUP(A153,'Delta Z Scores'!$A$1:$N$1541,13,FALSE)/VLOOKUP(A153,'Delta Z Scores'!$A$1:$N$1541,14,FALSE),"Not Enough Data")</f>
        <v>-0.42724498883989742</v>
      </c>
      <c r="G153">
        <f>IF(VLOOKUP(A153,'Forecast Z Scores'!$A$1:$N$1541,14,FALSE)&gt;2,VLOOKUP(A153,'Forecast Z Scores'!$A$1:$N$1541,13,FALSE)/VLOOKUP(A153,'Forecast Z Scores'!$A$1:$N$1541,14,FALSE),"Not Enough Data")</f>
        <v>0.14063866850997805</v>
      </c>
      <c r="H153">
        <v>-0.28392282268313968</v>
      </c>
    </row>
    <row r="154" spans="1:8" x14ac:dyDescent="0.35">
      <c r="A154" t="str">
        <f t="shared" si="2"/>
        <v>18097320600_2026</v>
      </c>
      <c r="B154">
        <v>18097320600</v>
      </c>
      <c r="C154">
        <v>2026</v>
      </c>
      <c r="E154">
        <f>-(IF(VLOOKUP(B154,'2023 Z Scores'!$A$1:$K$309,11,FALSE)&gt;2,VLOOKUP(B154,'2023 Z Scores'!$A$1:$K$309,10,FALSE)/VLOOKUP(B154,'2023 Z Scores'!$A$1:$K$309,11,FALSE),"Not Enough data"))</f>
        <v>-0.42183998156274188</v>
      </c>
      <c r="F154">
        <f>IF(VLOOKUP(A154,'Delta Z Scores'!$A$1:$N$1541,14,FALSE)&gt;2,VLOOKUP(A154,'Delta Z Scores'!$A$1:$N$1541,13,FALSE)/VLOOKUP(A154,'Delta Z Scores'!$A$1:$N$1541,14,FALSE),"Not Enough Data")</f>
        <v>-0.43350145712302757</v>
      </c>
      <c r="G154">
        <f>IF(VLOOKUP(A154,'Forecast Z Scores'!$A$1:$N$1541,14,FALSE)&gt;2,VLOOKUP(A154,'Forecast Z Scores'!$A$1:$N$1541,13,FALSE)/VLOOKUP(A154,'Forecast Z Scores'!$A$1:$N$1541,14,FALSE),"Not Enough Data")</f>
        <v>0.10747274984601815</v>
      </c>
      <c r="H154">
        <v>-0.2953425364906947</v>
      </c>
    </row>
    <row r="155" spans="1:8" x14ac:dyDescent="0.35">
      <c r="A155" t="str">
        <f t="shared" si="2"/>
        <v>18097320600_2027</v>
      </c>
      <c r="B155">
        <v>18097320600</v>
      </c>
      <c r="C155">
        <v>2027</v>
      </c>
      <c r="E155">
        <f>-(IF(VLOOKUP(B155,'2023 Z Scores'!$A$1:$K$309,11,FALSE)&gt;2,VLOOKUP(B155,'2023 Z Scores'!$A$1:$K$309,10,FALSE)/VLOOKUP(B155,'2023 Z Scores'!$A$1:$K$309,11,FALSE),"Not Enough data"))</f>
        <v>-0.42183998156274188</v>
      </c>
      <c r="F155">
        <f>IF(VLOOKUP(A155,'Delta Z Scores'!$A$1:$N$1541,14,FALSE)&gt;2,VLOOKUP(A155,'Delta Z Scores'!$A$1:$N$1541,13,FALSE)/VLOOKUP(A155,'Delta Z Scores'!$A$1:$N$1541,14,FALSE),"Not Enough Data")</f>
        <v>-0.41441871395662466</v>
      </c>
      <c r="G155">
        <f>IF(VLOOKUP(A155,'Forecast Z Scores'!$A$1:$N$1541,14,FALSE)&gt;2,VLOOKUP(A155,'Forecast Z Scores'!$A$1:$N$1541,13,FALSE)/VLOOKUP(A155,'Forecast Z Scores'!$A$1:$N$1541,14,FALSE),"Not Enough Data")</f>
        <v>8.0349820331366381E-2</v>
      </c>
      <c r="H155">
        <v>-0.29258189728615619</v>
      </c>
    </row>
    <row r="156" spans="1:8" x14ac:dyDescent="0.35">
      <c r="A156" t="str">
        <f t="shared" si="2"/>
        <v>18097320600_2028</v>
      </c>
      <c r="B156">
        <v>18097320600</v>
      </c>
      <c r="C156">
        <v>2028</v>
      </c>
      <c r="E156">
        <f>-(IF(VLOOKUP(B156,'2023 Z Scores'!$A$1:$K$309,11,FALSE)&gt;2,VLOOKUP(B156,'2023 Z Scores'!$A$1:$K$309,10,FALSE)/VLOOKUP(B156,'2023 Z Scores'!$A$1:$K$309,11,FALSE),"Not Enough data"))</f>
        <v>-0.42183998156274188</v>
      </c>
      <c r="F156">
        <f>IF(VLOOKUP(A156,'Delta Z Scores'!$A$1:$N$1541,14,FALSE)&gt;2,VLOOKUP(A156,'Delta Z Scores'!$A$1:$N$1541,13,FALSE)/VLOOKUP(A156,'Delta Z Scores'!$A$1:$N$1541,14,FALSE),"Not Enough Data")</f>
        <v>-0.42806547843028264</v>
      </c>
      <c r="G156">
        <f>IF(VLOOKUP(A156,'Forecast Z Scores'!$A$1:$N$1541,14,FALSE)&gt;2,VLOOKUP(A156,'Forecast Z Scores'!$A$1:$N$1541,13,FALSE)/VLOOKUP(A156,'Forecast Z Scores'!$A$1:$N$1541,14,FALSE),"Not Enough Data")</f>
        <v>5.5695799027471668E-2</v>
      </c>
      <c r="H156">
        <v>-0.30556878484895889</v>
      </c>
    </row>
    <row r="157" spans="1:8" x14ac:dyDescent="0.35">
      <c r="A157" t="str">
        <f t="shared" si="2"/>
        <v>18097320700_2024</v>
      </c>
      <c r="B157">
        <v>18097320700</v>
      </c>
      <c r="C157">
        <v>2024</v>
      </c>
      <c r="E157">
        <f>-(IF(VLOOKUP(B157,'2023 Z Scores'!$A$1:$K$309,11,FALSE)&gt;2,VLOOKUP(B157,'2023 Z Scores'!$A$1:$K$309,10,FALSE)/VLOOKUP(B157,'2023 Z Scores'!$A$1:$K$309,11,FALSE),"Not Enough data"))</f>
        <v>-1.0488473862953385</v>
      </c>
      <c r="F157">
        <f>IF(VLOOKUP(A157,'Delta Z Scores'!$A$1:$N$1541,14,FALSE)&gt;2,VLOOKUP(A157,'Delta Z Scores'!$A$1:$N$1541,13,FALSE)/VLOOKUP(A157,'Delta Z Scores'!$A$1:$N$1541,14,FALSE),"Not Enough Data")</f>
        <v>-0.14290278452451938</v>
      </c>
      <c r="G157">
        <f>IF(VLOOKUP(A157,'Forecast Z Scores'!$A$1:$N$1541,14,FALSE)&gt;2,VLOOKUP(A157,'Forecast Z Scores'!$A$1:$N$1541,13,FALSE)/VLOOKUP(A157,'Forecast Z Scores'!$A$1:$N$1541,14,FALSE),"Not Enough Data")</f>
        <v>0.83936241979025017</v>
      </c>
      <c r="H157">
        <v>-0.12382263388853176</v>
      </c>
    </row>
    <row r="158" spans="1:8" x14ac:dyDescent="0.35">
      <c r="A158" t="str">
        <f t="shared" si="2"/>
        <v>18097320700_2025</v>
      </c>
      <c r="B158">
        <v>18097320700</v>
      </c>
      <c r="C158">
        <v>2025</v>
      </c>
      <c r="E158">
        <f>-(IF(VLOOKUP(B158,'2023 Z Scores'!$A$1:$K$309,11,FALSE)&gt;2,VLOOKUP(B158,'2023 Z Scores'!$A$1:$K$309,10,FALSE)/VLOOKUP(B158,'2023 Z Scores'!$A$1:$K$309,11,FALSE),"Not Enough data"))</f>
        <v>-1.0488473862953385</v>
      </c>
      <c r="F158">
        <f>IF(VLOOKUP(A158,'Delta Z Scores'!$A$1:$N$1541,14,FALSE)&gt;2,VLOOKUP(A158,'Delta Z Scores'!$A$1:$N$1541,13,FALSE)/VLOOKUP(A158,'Delta Z Scores'!$A$1:$N$1541,14,FALSE),"Not Enough Data")</f>
        <v>-0.32824994873431074</v>
      </c>
      <c r="G158">
        <f>IF(VLOOKUP(A158,'Forecast Z Scores'!$A$1:$N$1541,14,FALSE)&gt;2,VLOOKUP(A158,'Forecast Z Scores'!$A$1:$N$1541,13,FALSE)/VLOOKUP(A158,'Forecast Z Scores'!$A$1:$N$1541,14,FALSE),"Not Enough Data")</f>
        <v>0.80449080013952812</v>
      </c>
      <c r="H158">
        <v>-0.22521412090610796</v>
      </c>
    </row>
    <row r="159" spans="1:8" x14ac:dyDescent="0.35">
      <c r="A159" t="str">
        <f t="shared" si="2"/>
        <v>18097320700_2026</v>
      </c>
      <c r="B159">
        <v>18097320700</v>
      </c>
      <c r="C159">
        <v>2026</v>
      </c>
      <c r="E159">
        <f>-(IF(VLOOKUP(B159,'2023 Z Scores'!$A$1:$K$309,11,FALSE)&gt;2,VLOOKUP(B159,'2023 Z Scores'!$A$1:$K$309,10,FALSE)/VLOOKUP(B159,'2023 Z Scores'!$A$1:$K$309,11,FALSE),"Not Enough data"))</f>
        <v>-1.0488473862953385</v>
      </c>
      <c r="F159">
        <f>IF(VLOOKUP(A159,'Delta Z Scores'!$A$1:$N$1541,14,FALSE)&gt;2,VLOOKUP(A159,'Delta Z Scores'!$A$1:$N$1541,13,FALSE)/VLOOKUP(A159,'Delta Z Scores'!$A$1:$N$1541,14,FALSE),"Not Enough Data")</f>
        <v>-0.25900315475796049</v>
      </c>
      <c r="G159">
        <f>IF(VLOOKUP(A159,'Forecast Z Scores'!$A$1:$N$1541,14,FALSE)&gt;2,VLOOKUP(A159,'Forecast Z Scores'!$A$1:$N$1541,13,FALSE)/VLOOKUP(A159,'Forecast Z Scores'!$A$1:$N$1541,14,FALSE),"Not Enough Data")</f>
        <v>0.7672894433345443</v>
      </c>
      <c r="H159">
        <v>-0.19989106311917879</v>
      </c>
    </row>
    <row r="160" spans="1:8" x14ac:dyDescent="0.35">
      <c r="A160" t="str">
        <f t="shared" si="2"/>
        <v>18097320700_2027</v>
      </c>
      <c r="B160">
        <v>18097320700</v>
      </c>
      <c r="C160">
        <v>2027</v>
      </c>
      <c r="E160">
        <f>-(IF(VLOOKUP(B160,'2023 Z Scores'!$A$1:$K$309,11,FALSE)&gt;2,VLOOKUP(B160,'2023 Z Scores'!$A$1:$K$309,10,FALSE)/VLOOKUP(B160,'2023 Z Scores'!$A$1:$K$309,11,FALSE),"Not Enough data"))</f>
        <v>-1.0488473862953385</v>
      </c>
      <c r="F160">
        <f>IF(VLOOKUP(A160,'Delta Z Scores'!$A$1:$N$1541,14,FALSE)&gt;2,VLOOKUP(A160,'Delta Z Scores'!$A$1:$N$1541,13,FALSE)/VLOOKUP(A160,'Delta Z Scores'!$A$1:$N$1541,14,FALSE),"Not Enough Data")</f>
        <v>-0.19565877305159368</v>
      </c>
      <c r="G160">
        <f>IF(VLOOKUP(A160,'Forecast Z Scores'!$A$1:$N$1541,14,FALSE)&gt;2,VLOOKUP(A160,'Forecast Z Scores'!$A$1:$N$1541,13,FALSE)/VLOOKUP(A160,'Forecast Z Scores'!$A$1:$N$1541,14,FALSE),"Not Enough Data")</f>
        <v>0.7413765458617364</v>
      </c>
      <c r="H160">
        <v>-0.17469709663419736</v>
      </c>
    </row>
    <row r="161" spans="1:8" x14ac:dyDescent="0.35">
      <c r="A161" t="str">
        <f t="shared" si="2"/>
        <v>18097320700_2028</v>
      </c>
      <c r="B161">
        <v>18097320700</v>
      </c>
      <c r="C161">
        <v>2028</v>
      </c>
      <c r="E161">
        <f>-(IF(VLOOKUP(B161,'2023 Z Scores'!$A$1:$K$309,11,FALSE)&gt;2,VLOOKUP(B161,'2023 Z Scores'!$A$1:$K$309,10,FALSE)/VLOOKUP(B161,'2023 Z Scores'!$A$1:$K$309,11,FALSE),"Not Enough data"))</f>
        <v>-1.0488473862953385</v>
      </c>
      <c r="F161">
        <f>IF(VLOOKUP(A161,'Delta Z Scores'!$A$1:$N$1541,14,FALSE)&gt;2,VLOOKUP(A161,'Delta Z Scores'!$A$1:$N$1541,13,FALSE)/VLOOKUP(A161,'Delta Z Scores'!$A$1:$N$1541,14,FALSE),"Not Enough Data")</f>
        <v>-0.20055935227960336</v>
      </c>
      <c r="G161">
        <f>IF(VLOOKUP(A161,'Forecast Z Scores'!$A$1:$N$1541,14,FALSE)&gt;2,VLOOKUP(A161,'Forecast Z Scores'!$A$1:$N$1541,13,FALSE)/VLOOKUP(A161,'Forecast Z Scores'!$A$1:$N$1541,14,FALSE),"Not Enough Data")</f>
        <v>0.71424116817730898</v>
      </c>
      <c r="H161">
        <v>-0.18393123066930905</v>
      </c>
    </row>
    <row r="162" spans="1:8" x14ac:dyDescent="0.35">
      <c r="A162" t="str">
        <f t="shared" si="2"/>
        <v>18097320800_2024</v>
      </c>
      <c r="B162">
        <v>18097320800</v>
      </c>
      <c r="C162">
        <v>2024</v>
      </c>
      <c r="E162">
        <f>-(IF(VLOOKUP(B162,'2023 Z Scores'!$A$1:$K$309,11,FALSE)&gt;2,VLOOKUP(B162,'2023 Z Scores'!$A$1:$K$309,10,FALSE)/VLOOKUP(B162,'2023 Z Scores'!$A$1:$K$309,11,FALSE),"Not Enough data"))</f>
        <v>-1.1856338073485169</v>
      </c>
      <c r="F162">
        <f>IF(VLOOKUP(A162,'Delta Z Scores'!$A$1:$N$1541,14,FALSE)&gt;2,VLOOKUP(A162,'Delta Z Scores'!$A$1:$N$1541,13,FALSE)/VLOOKUP(A162,'Delta Z Scores'!$A$1:$N$1541,14,FALSE),"Not Enough Data")</f>
        <v>-1.2215399475887465</v>
      </c>
      <c r="G162">
        <f>IF(VLOOKUP(A162,'Forecast Z Scores'!$A$1:$N$1541,14,FALSE)&gt;2,VLOOKUP(A162,'Forecast Z Scores'!$A$1:$N$1541,13,FALSE)/VLOOKUP(A162,'Forecast Z Scores'!$A$1:$N$1541,14,FALSE),"Not Enough Data")</f>
        <v>0.4631533262002876</v>
      </c>
      <c r="H162">
        <v>-0.79139009408143057</v>
      </c>
    </row>
    <row r="163" spans="1:8" x14ac:dyDescent="0.35">
      <c r="A163" t="str">
        <f t="shared" si="2"/>
        <v>18097320800_2025</v>
      </c>
      <c r="B163">
        <v>18097320800</v>
      </c>
      <c r="C163">
        <v>2025</v>
      </c>
      <c r="E163">
        <f>-(IF(VLOOKUP(B163,'2023 Z Scores'!$A$1:$K$309,11,FALSE)&gt;2,VLOOKUP(B163,'2023 Z Scores'!$A$1:$K$309,10,FALSE)/VLOOKUP(B163,'2023 Z Scores'!$A$1:$K$309,11,FALSE),"Not Enough data"))</f>
        <v>-1.1856338073485169</v>
      </c>
      <c r="F163">
        <f>IF(VLOOKUP(A163,'Delta Z Scores'!$A$1:$N$1541,14,FALSE)&gt;2,VLOOKUP(A163,'Delta Z Scores'!$A$1:$N$1541,13,FALSE)/VLOOKUP(A163,'Delta Z Scores'!$A$1:$N$1541,14,FALSE),"Not Enough Data")</f>
        <v>6.337279181823835E-2</v>
      </c>
      <c r="G163">
        <f>IF(VLOOKUP(A163,'Forecast Z Scores'!$A$1:$N$1541,14,FALSE)&gt;2,VLOOKUP(A163,'Forecast Z Scores'!$A$1:$N$1541,13,FALSE)/VLOOKUP(A163,'Forecast Z Scores'!$A$1:$N$1541,14,FALSE),"Not Enough Data")</f>
        <v>0.4794351895308821</v>
      </c>
      <c r="H163">
        <v>-0.14486325854528953</v>
      </c>
    </row>
    <row r="164" spans="1:8" x14ac:dyDescent="0.35">
      <c r="A164" t="str">
        <f t="shared" si="2"/>
        <v>18097320800_2026</v>
      </c>
      <c r="B164">
        <v>18097320800</v>
      </c>
      <c r="C164">
        <v>2026</v>
      </c>
      <c r="E164">
        <f>-(IF(VLOOKUP(B164,'2023 Z Scores'!$A$1:$K$309,11,FALSE)&gt;2,VLOOKUP(B164,'2023 Z Scores'!$A$1:$K$309,10,FALSE)/VLOOKUP(B164,'2023 Z Scores'!$A$1:$K$309,11,FALSE),"Not Enough data"))</f>
        <v>-1.1856338073485169</v>
      </c>
      <c r="F164">
        <f>IF(VLOOKUP(A164,'Delta Z Scores'!$A$1:$N$1541,14,FALSE)&gt;2,VLOOKUP(A164,'Delta Z Scores'!$A$1:$N$1541,13,FALSE)/VLOOKUP(A164,'Delta Z Scores'!$A$1:$N$1541,14,FALSE),"Not Enough Data")</f>
        <v>-0.12988217524129891</v>
      </c>
      <c r="G164">
        <f>IF(VLOOKUP(A164,'Forecast Z Scores'!$A$1:$N$1541,14,FALSE)&gt;2,VLOOKUP(A164,'Forecast Z Scores'!$A$1:$N$1541,13,FALSE)/VLOOKUP(A164,'Forecast Z Scores'!$A$1:$N$1541,14,FALSE),"Not Enough Data")</f>
        <v>0.47797266085748524</v>
      </c>
      <c r="H164">
        <v>-0.24185637424340736</v>
      </c>
    </row>
    <row r="165" spans="1:8" x14ac:dyDescent="0.35">
      <c r="A165" t="str">
        <f t="shared" si="2"/>
        <v>18097320800_2027</v>
      </c>
      <c r="B165">
        <v>18097320800</v>
      </c>
      <c r="C165">
        <v>2027</v>
      </c>
      <c r="E165">
        <f>-(IF(VLOOKUP(B165,'2023 Z Scores'!$A$1:$K$309,11,FALSE)&gt;2,VLOOKUP(B165,'2023 Z Scores'!$A$1:$K$309,10,FALSE)/VLOOKUP(B165,'2023 Z Scores'!$A$1:$K$309,11,FALSE),"Not Enough data"))</f>
        <v>-1.1856338073485169</v>
      </c>
      <c r="F165">
        <f>IF(VLOOKUP(A165,'Delta Z Scores'!$A$1:$N$1541,14,FALSE)&gt;2,VLOOKUP(A165,'Delta Z Scores'!$A$1:$N$1541,13,FALSE)/VLOOKUP(A165,'Delta Z Scores'!$A$1:$N$1541,14,FALSE),"Not Enough Data")</f>
        <v>5.6941812452425869E-2</v>
      </c>
      <c r="G165">
        <f>IF(VLOOKUP(A165,'Forecast Z Scores'!$A$1:$N$1541,14,FALSE)&gt;2,VLOOKUP(A165,'Forecast Z Scores'!$A$1:$N$1541,13,FALSE)/VLOOKUP(A165,'Forecast Z Scores'!$A$1:$N$1541,14,FALSE),"Not Enough Data")</f>
        <v>0.50827622166046282</v>
      </c>
      <c r="H165">
        <v>-0.14086849019580058</v>
      </c>
    </row>
    <row r="166" spans="1:8" x14ac:dyDescent="0.35">
      <c r="A166" t="str">
        <f t="shared" si="2"/>
        <v>18097320800_2028</v>
      </c>
      <c r="B166">
        <v>18097320800</v>
      </c>
      <c r="C166">
        <v>2028</v>
      </c>
      <c r="E166">
        <f>-(IF(VLOOKUP(B166,'2023 Z Scores'!$A$1:$K$309,11,FALSE)&gt;2,VLOOKUP(B166,'2023 Z Scores'!$A$1:$K$309,10,FALSE)/VLOOKUP(B166,'2023 Z Scores'!$A$1:$K$309,11,FALSE),"Not Enough data"))</f>
        <v>-1.1856338073485169</v>
      </c>
      <c r="F166">
        <f>IF(VLOOKUP(A166,'Delta Z Scores'!$A$1:$N$1541,14,FALSE)&gt;2,VLOOKUP(A166,'Delta Z Scores'!$A$1:$N$1541,13,FALSE)/VLOOKUP(A166,'Delta Z Scores'!$A$1:$N$1541,14,FALSE),"Not Enough Data")</f>
        <v>-4.607573438789387E-2</v>
      </c>
      <c r="G166">
        <f>IF(VLOOKUP(A166,'Forecast Z Scores'!$A$1:$N$1541,14,FALSE)&gt;2,VLOOKUP(A166,'Forecast Z Scores'!$A$1:$N$1541,13,FALSE)/VLOOKUP(A166,'Forecast Z Scores'!$A$1:$N$1541,14,FALSE),"Not Enough Data")</f>
        <v>0.5124218309966786</v>
      </c>
      <c r="H166">
        <v>-0.1913408612819065</v>
      </c>
    </row>
    <row r="167" spans="1:8" x14ac:dyDescent="0.35">
      <c r="A167" t="str">
        <f t="shared" si="2"/>
        <v>18097320901_2024</v>
      </c>
      <c r="B167">
        <v>18097320901</v>
      </c>
      <c r="C167">
        <v>2024</v>
      </c>
      <c r="E167">
        <f>-(IF(VLOOKUP(B167,'2023 Z Scores'!$A$1:$K$309,11,FALSE)&gt;2,VLOOKUP(B167,'2023 Z Scores'!$A$1:$K$309,10,FALSE)/VLOOKUP(B167,'2023 Z Scores'!$A$1:$K$309,11,FALSE),"Not Enough data"))</f>
        <v>-0.62205017636691784</v>
      </c>
      <c r="F167">
        <f>IF(VLOOKUP(A167,'Delta Z Scores'!$A$1:$N$1541,14,FALSE)&gt;2,VLOOKUP(A167,'Delta Z Scores'!$A$1:$N$1541,13,FALSE)/VLOOKUP(A167,'Delta Z Scores'!$A$1:$N$1541,14,FALSE),"Not Enough Data")</f>
        <v>-0.36618578327852236</v>
      </c>
      <c r="G167">
        <f>IF(VLOOKUP(A167,'Forecast Z Scores'!$A$1:$N$1541,14,FALSE)&gt;2,VLOOKUP(A167,'Forecast Z Scores'!$A$1:$N$1541,13,FALSE)/VLOOKUP(A167,'Forecast Z Scores'!$A$1:$N$1541,14,FALSE),"Not Enough Data")</f>
        <v>0.40675821879289614</v>
      </c>
      <c r="H167">
        <v>-0.23691588103276662</v>
      </c>
    </row>
    <row r="168" spans="1:8" x14ac:dyDescent="0.35">
      <c r="A168" t="str">
        <f t="shared" si="2"/>
        <v>18097320901_2025</v>
      </c>
      <c r="B168">
        <v>18097320901</v>
      </c>
      <c r="C168">
        <v>2025</v>
      </c>
      <c r="E168">
        <f>-(IF(VLOOKUP(B168,'2023 Z Scores'!$A$1:$K$309,11,FALSE)&gt;2,VLOOKUP(B168,'2023 Z Scores'!$A$1:$K$309,10,FALSE)/VLOOKUP(B168,'2023 Z Scores'!$A$1:$K$309,11,FALSE),"Not Enough data"))</f>
        <v>-0.62205017636691784</v>
      </c>
      <c r="F168">
        <f>IF(VLOOKUP(A168,'Delta Z Scores'!$A$1:$N$1541,14,FALSE)&gt;2,VLOOKUP(A168,'Delta Z Scores'!$A$1:$N$1541,13,FALSE)/VLOOKUP(A168,'Delta Z Scores'!$A$1:$N$1541,14,FALSE),"Not Enough Data")</f>
        <v>-2.4216450580023814E-2</v>
      </c>
      <c r="G168">
        <f>IF(VLOOKUP(A168,'Forecast Z Scores'!$A$1:$N$1541,14,FALSE)&gt;2,VLOOKUP(A168,'Forecast Z Scores'!$A$1:$N$1541,13,FALSE)/VLOOKUP(A168,'Forecast Z Scores'!$A$1:$N$1541,14,FALSE),"Not Enough Data")</f>
        <v>0.39021907423624302</v>
      </c>
      <c r="H168">
        <v>-7.0066000822680607E-2</v>
      </c>
    </row>
    <row r="169" spans="1:8" x14ac:dyDescent="0.35">
      <c r="A169" t="str">
        <f t="shared" si="2"/>
        <v>18097320901_2026</v>
      </c>
      <c r="B169">
        <v>18097320901</v>
      </c>
      <c r="C169">
        <v>2026</v>
      </c>
      <c r="E169">
        <f>-(IF(VLOOKUP(B169,'2023 Z Scores'!$A$1:$K$309,11,FALSE)&gt;2,VLOOKUP(B169,'2023 Z Scores'!$A$1:$K$309,10,FALSE)/VLOOKUP(B169,'2023 Z Scores'!$A$1:$K$309,11,FALSE),"Not Enough data"))</f>
        <v>-0.62205017636691784</v>
      </c>
      <c r="F169">
        <f>IF(VLOOKUP(A169,'Delta Z Scores'!$A$1:$N$1541,14,FALSE)&gt;2,VLOOKUP(A169,'Delta Z Scores'!$A$1:$N$1541,13,FALSE)/VLOOKUP(A169,'Delta Z Scores'!$A$1:$N$1541,14,FALSE),"Not Enough Data")</f>
        <v>-0.23923971774993394</v>
      </c>
      <c r="G169">
        <f>IF(VLOOKUP(A169,'Forecast Z Scores'!$A$1:$N$1541,14,FALSE)&gt;2,VLOOKUP(A169,'Forecast Z Scores'!$A$1:$N$1541,13,FALSE)/VLOOKUP(A169,'Forecast Z Scores'!$A$1:$N$1541,14,FALSE),"Not Enough Data")</f>
        <v>0.35527410918740054</v>
      </c>
      <c r="H169">
        <v>-0.18631387566984631</v>
      </c>
    </row>
    <row r="170" spans="1:8" x14ac:dyDescent="0.35">
      <c r="A170" t="str">
        <f t="shared" si="2"/>
        <v>18097320901_2027</v>
      </c>
      <c r="B170">
        <v>18097320901</v>
      </c>
      <c r="C170">
        <v>2027</v>
      </c>
      <c r="E170">
        <f>-(IF(VLOOKUP(B170,'2023 Z Scores'!$A$1:$K$309,11,FALSE)&gt;2,VLOOKUP(B170,'2023 Z Scores'!$A$1:$K$309,10,FALSE)/VLOOKUP(B170,'2023 Z Scores'!$A$1:$K$309,11,FALSE),"Not Enough data"))</f>
        <v>-0.62205017636691784</v>
      </c>
      <c r="F170">
        <f>IF(VLOOKUP(A170,'Delta Z Scores'!$A$1:$N$1541,14,FALSE)&gt;2,VLOOKUP(A170,'Delta Z Scores'!$A$1:$N$1541,13,FALSE)/VLOOKUP(A170,'Delta Z Scores'!$A$1:$N$1541,14,FALSE),"Not Enough Data")</f>
        <v>-5.6242893036524522E-2</v>
      </c>
      <c r="G170">
        <f>IF(VLOOKUP(A170,'Forecast Z Scores'!$A$1:$N$1541,14,FALSE)&gt;2,VLOOKUP(A170,'Forecast Z Scores'!$A$1:$N$1541,13,FALSE)/VLOOKUP(A170,'Forecast Z Scores'!$A$1:$N$1541,14,FALSE),"Not Enough Data")</f>
        <v>0.33399657732825816</v>
      </c>
      <c r="H170">
        <v>-0.10013484627792718</v>
      </c>
    </row>
    <row r="171" spans="1:8" x14ac:dyDescent="0.35">
      <c r="A171" t="str">
        <f t="shared" si="2"/>
        <v>18097320901_2028</v>
      </c>
      <c r="B171">
        <v>18097320901</v>
      </c>
      <c r="C171">
        <v>2028</v>
      </c>
      <c r="E171">
        <f>-(IF(VLOOKUP(B171,'2023 Z Scores'!$A$1:$K$309,11,FALSE)&gt;2,VLOOKUP(B171,'2023 Z Scores'!$A$1:$K$309,10,FALSE)/VLOOKUP(B171,'2023 Z Scores'!$A$1:$K$309,11,FALSE),"Not Enough data"))</f>
        <v>-0.62205017636691784</v>
      </c>
      <c r="F171">
        <f>IF(VLOOKUP(A171,'Delta Z Scores'!$A$1:$N$1541,14,FALSE)&gt;2,VLOOKUP(A171,'Delta Z Scores'!$A$1:$N$1541,13,FALSE)/VLOOKUP(A171,'Delta Z Scores'!$A$1:$N$1541,14,FALSE),"Not Enough Data")</f>
        <v>-8.5580016430843425E-2</v>
      </c>
      <c r="G171">
        <f>IF(VLOOKUP(A171,'Forecast Z Scores'!$A$1:$N$1541,14,FALSE)&gt;2,VLOOKUP(A171,'Forecast Z Scores'!$A$1:$N$1541,13,FALSE)/VLOOKUP(A171,'Forecast Z Scores'!$A$1:$N$1541,14,FALSE),"Not Enough Data")</f>
        <v>0.30297547132528285</v>
      </c>
      <c r="H171">
        <v>-0.12255868447583046</v>
      </c>
    </row>
    <row r="172" spans="1:8" x14ac:dyDescent="0.35">
      <c r="A172" t="str">
        <f t="shared" si="2"/>
        <v>18097320902_2024</v>
      </c>
      <c r="B172">
        <v>18097320902</v>
      </c>
      <c r="C172">
        <v>2024</v>
      </c>
      <c r="E172">
        <f>-(IF(VLOOKUP(B172,'2023 Z Scores'!$A$1:$K$309,11,FALSE)&gt;2,VLOOKUP(B172,'2023 Z Scores'!$A$1:$K$309,10,FALSE)/VLOOKUP(B172,'2023 Z Scores'!$A$1:$K$309,11,FALSE),"Not Enough data"))</f>
        <v>-1.7979285218604718E-3</v>
      </c>
      <c r="F172">
        <f>IF(VLOOKUP(A172,'Delta Z Scores'!$A$1:$N$1541,14,FALSE)&gt;2,VLOOKUP(A172,'Delta Z Scores'!$A$1:$N$1541,13,FALSE)/VLOOKUP(A172,'Delta Z Scores'!$A$1:$N$1541,14,FALSE),"Not Enough Data")</f>
        <v>-0.13742447486648907</v>
      </c>
      <c r="G172">
        <f>IF(VLOOKUP(A172,'Forecast Z Scores'!$A$1:$N$1541,14,FALSE)&gt;2,VLOOKUP(A172,'Forecast Z Scores'!$A$1:$N$1541,13,FALSE)/VLOOKUP(A172,'Forecast Z Scores'!$A$1:$N$1541,14,FALSE),"Not Enough Data")</f>
        <v>-9.7067497893113988E-2</v>
      </c>
      <c r="H172">
        <v>-9.3428594036988138E-2</v>
      </c>
    </row>
    <row r="173" spans="1:8" x14ac:dyDescent="0.35">
      <c r="A173" t="str">
        <f t="shared" si="2"/>
        <v>18097320902_2025</v>
      </c>
      <c r="B173">
        <v>18097320902</v>
      </c>
      <c r="C173">
        <v>2025</v>
      </c>
      <c r="E173">
        <f>-(IF(VLOOKUP(B173,'2023 Z Scores'!$A$1:$K$309,11,FALSE)&gt;2,VLOOKUP(B173,'2023 Z Scores'!$A$1:$K$309,10,FALSE)/VLOOKUP(B173,'2023 Z Scores'!$A$1:$K$309,11,FALSE),"Not Enough data"))</f>
        <v>-1.7979285218604718E-3</v>
      </c>
      <c r="F173">
        <f>IF(VLOOKUP(A173,'Delta Z Scores'!$A$1:$N$1541,14,FALSE)&gt;2,VLOOKUP(A173,'Delta Z Scores'!$A$1:$N$1541,13,FALSE)/VLOOKUP(A173,'Delta Z Scores'!$A$1:$N$1541,14,FALSE),"Not Enough Data")</f>
        <v>-5.8782996280264288E-2</v>
      </c>
      <c r="G173">
        <f>IF(VLOOKUP(A173,'Forecast Z Scores'!$A$1:$N$1541,14,FALSE)&gt;2,VLOOKUP(A173,'Forecast Z Scores'!$A$1:$N$1541,13,FALSE)/VLOOKUP(A173,'Forecast Z Scores'!$A$1:$N$1541,14,FALSE),"Not Enough Data")</f>
        <v>-9.6801846328711777E-2</v>
      </c>
      <c r="H173">
        <v>-5.4041441852775207E-2</v>
      </c>
    </row>
    <row r="174" spans="1:8" x14ac:dyDescent="0.35">
      <c r="A174" t="str">
        <f t="shared" si="2"/>
        <v>18097320902_2026</v>
      </c>
      <c r="B174">
        <v>18097320902</v>
      </c>
      <c r="C174">
        <v>2026</v>
      </c>
      <c r="E174">
        <f>-(IF(VLOOKUP(B174,'2023 Z Scores'!$A$1:$K$309,11,FALSE)&gt;2,VLOOKUP(B174,'2023 Z Scores'!$A$1:$K$309,10,FALSE)/VLOOKUP(B174,'2023 Z Scores'!$A$1:$K$309,11,FALSE),"Not Enough data"))</f>
        <v>-1.7979285218604718E-3</v>
      </c>
      <c r="F174">
        <f>IF(VLOOKUP(A174,'Delta Z Scores'!$A$1:$N$1541,14,FALSE)&gt;2,VLOOKUP(A174,'Delta Z Scores'!$A$1:$N$1541,13,FALSE)/VLOOKUP(A174,'Delta Z Scores'!$A$1:$N$1541,14,FALSE),"Not Enough Data")</f>
        <v>-0.22667997041663321</v>
      </c>
      <c r="G174">
        <f>IF(VLOOKUP(A174,'Forecast Z Scores'!$A$1:$N$1541,14,FALSE)&gt;2,VLOOKUP(A174,'Forecast Z Scores'!$A$1:$N$1541,13,FALSE)/VLOOKUP(A174,'Forecast Z Scores'!$A$1:$N$1541,14,FALSE),"Not Enough Data")</f>
        <v>-0.11485327189107876</v>
      </c>
      <c r="H174">
        <v>-0.14250278531155142</v>
      </c>
    </row>
    <row r="175" spans="1:8" x14ac:dyDescent="0.35">
      <c r="A175" t="str">
        <f t="shared" si="2"/>
        <v>18097320902_2027</v>
      </c>
      <c r="B175">
        <v>18097320902</v>
      </c>
      <c r="C175">
        <v>2027</v>
      </c>
      <c r="E175">
        <f>-(IF(VLOOKUP(B175,'2023 Z Scores'!$A$1:$K$309,11,FALSE)&gt;2,VLOOKUP(B175,'2023 Z Scores'!$A$1:$K$309,10,FALSE)/VLOOKUP(B175,'2023 Z Scores'!$A$1:$K$309,11,FALSE),"Not Enough data"))</f>
        <v>-1.7979285218604718E-3</v>
      </c>
      <c r="F175">
        <f>IF(VLOOKUP(A175,'Delta Z Scores'!$A$1:$N$1541,14,FALSE)&gt;2,VLOOKUP(A175,'Delta Z Scores'!$A$1:$N$1541,13,FALSE)/VLOOKUP(A175,'Delta Z Scores'!$A$1:$N$1541,14,FALSE),"Not Enough Data")</f>
        <v>-0.10574786088973033</v>
      </c>
      <c r="G175">
        <f>IF(VLOOKUP(A175,'Forecast Z Scores'!$A$1:$N$1541,14,FALSE)&gt;2,VLOOKUP(A175,'Forecast Z Scores'!$A$1:$N$1541,13,FALSE)/VLOOKUP(A175,'Forecast Z Scores'!$A$1:$N$1541,14,FALSE),"Not Enough Data")</f>
        <v>-0.1244271959346092</v>
      </c>
      <c r="H175">
        <v>-8.4430211558982574E-2</v>
      </c>
    </row>
    <row r="176" spans="1:8" x14ac:dyDescent="0.35">
      <c r="A176" t="str">
        <f t="shared" si="2"/>
        <v>18097320902_2028</v>
      </c>
      <c r="B176">
        <v>18097320902</v>
      </c>
      <c r="C176">
        <v>2028</v>
      </c>
      <c r="E176">
        <f>-(IF(VLOOKUP(B176,'2023 Z Scores'!$A$1:$K$309,11,FALSE)&gt;2,VLOOKUP(B176,'2023 Z Scores'!$A$1:$K$309,10,FALSE)/VLOOKUP(B176,'2023 Z Scores'!$A$1:$K$309,11,FALSE),"Not Enough data"))</f>
        <v>-1.7979285218604718E-3</v>
      </c>
      <c r="F176">
        <f>IF(VLOOKUP(A176,'Delta Z Scores'!$A$1:$N$1541,14,FALSE)&gt;2,VLOOKUP(A176,'Delta Z Scores'!$A$1:$N$1541,13,FALSE)/VLOOKUP(A176,'Delta Z Scores'!$A$1:$N$1541,14,FALSE),"Not Enough Data")</f>
        <v>-0.14419223689871499</v>
      </c>
      <c r="G176">
        <f>IF(VLOOKUP(A176,'Forecast Z Scores'!$A$1:$N$1541,14,FALSE)&gt;2,VLOOKUP(A176,'Forecast Z Scores'!$A$1:$N$1541,13,FALSE)/VLOOKUP(A176,'Forecast Z Scores'!$A$1:$N$1541,14,FALSE),"Not Enough Data")</f>
        <v>-0.13471398318328706</v>
      </c>
      <c r="H176">
        <v>-0.10622409637564437</v>
      </c>
    </row>
    <row r="177" spans="1:8" x14ac:dyDescent="0.35">
      <c r="A177" t="str">
        <f t="shared" si="2"/>
        <v>18097320903_2024</v>
      </c>
      <c r="B177">
        <v>18097320903</v>
      </c>
      <c r="C177">
        <v>2024</v>
      </c>
      <c r="E177">
        <f>-(IF(VLOOKUP(B177,'2023 Z Scores'!$A$1:$K$309,11,FALSE)&gt;2,VLOOKUP(B177,'2023 Z Scores'!$A$1:$K$309,10,FALSE)/VLOOKUP(B177,'2023 Z Scores'!$A$1:$K$309,11,FALSE),"Not Enough data"))</f>
        <v>0.18244973337603149</v>
      </c>
      <c r="F177">
        <f>IF(VLOOKUP(A177,'Delta Z Scores'!$A$1:$N$1541,14,FALSE)&gt;2,VLOOKUP(A177,'Delta Z Scores'!$A$1:$N$1541,13,FALSE)/VLOOKUP(A177,'Delta Z Scores'!$A$1:$N$1541,14,FALSE),"Not Enough Data")</f>
        <v>-1.0360871293805916</v>
      </c>
      <c r="G177">
        <f>IF(VLOOKUP(A177,'Forecast Z Scores'!$A$1:$N$1541,14,FALSE)&gt;2,VLOOKUP(A177,'Forecast Z Scores'!$A$1:$N$1541,13,FALSE)/VLOOKUP(A177,'Forecast Z Scores'!$A$1:$N$1541,14,FALSE),"Not Enough Data")</f>
        <v>-0.58993581648511062</v>
      </c>
      <c r="H177">
        <v>-0.61991508546756557</v>
      </c>
    </row>
    <row r="178" spans="1:8" x14ac:dyDescent="0.35">
      <c r="A178" t="str">
        <f t="shared" si="2"/>
        <v>18097320903_2025</v>
      </c>
      <c r="B178">
        <v>18097320903</v>
      </c>
      <c r="C178">
        <v>2025</v>
      </c>
      <c r="E178">
        <f>-(IF(VLOOKUP(B178,'2023 Z Scores'!$A$1:$K$309,11,FALSE)&gt;2,VLOOKUP(B178,'2023 Z Scores'!$A$1:$K$309,10,FALSE)/VLOOKUP(B178,'2023 Z Scores'!$A$1:$K$309,11,FALSE),"Not Enough data"))</f>
        <v>0.18244973337603149</v>
      </c>
      <c r="F178">
        <f>IF(VLOOKUP(A178,'Delta Z Scores'!$A$1:$N$1541,14,FALSE)&gt;2,VLOOKUP(A178,'Delta Z Scores'!$A$1:$N$1541,13,FALSE)/VLOOKUP(A178,'Delta Z Scores'!$A$1:$N$1541,14,FALSE),"Not Enough Data")</f>
        <v>0.3602523001944809</v>
      </c>
      <c r="G178">
        <f>IF(VLOOKUP(A178,'Forecast Z Scores'!$A$1:$N$1541,14,FALSE)&gt;2,VLOOKUP(A178,'Forecast Z Scores'!$A$1:$N$1541,13,FALSE)/VLOOKUP(A178,'Forecast Z Scores'!$A$1:$N$1541,14,FALSE),"Not Enough Data")</f>
        <v>-0.56781091920479021</v>
      </c>
      <c r="H178">
        <v>8.378585364005077E-2</v>
      </c>
    </row>
    <row r="179" spans="1:8" x14ac:dyDescent="0.35">
      <c r="A179" t="str">
        <f t="shared" si="2"/>
        <v>18097320903_2026</v>
      </c>
      <c r="B179">
        <v>18097320903</v>
      </c>
      <c r="C179">
        <v>2026</v>
      </c>
      <c r="E179">
        <f>-(IF(VLOOKUP(B179,'2023 Z Scores'!$A$1:$K$309,11,FALSE)&gt;2,VLOOKUP(B179,'2023 Z Scores'!$A$1:$K$309,10,FALSE)/VLOOKUP(B179,'2023 Z Scores'!$A$1:$K$309,11,FALSE),"Not Enough data"))</f>
        <v>0.18244973337603149</v>
      </c>
      <c r="F179">
        <f>IF(VLOOKUP(A179,'Delta Z Scores'!$A$1:$N$1541,14,FALSE)&gt;2,VLOOKUP(A179,'Delta Z Scores'!$A$1:$N$1541,13,FALSE)/VLOOKUP(A179,'Delta Z Scores'!$A$1:$N$1541,14,FALSE),"Not Enough Data")</f>
        <v>-6.3520639693824391E-2</v>
      </c>
      <c r="G179">
        <f>IF(VLOOKUP(A179,'Forecast Z Scores'!$A$1:$N$1541,14,FALSE)&gt;2,VLOOKUP(A179,'Forecast Z Scores'!$A$1:$N$1541,13,FALSE)/VLOOKUP(A179,'Forecast Z Scores'!$A$1:$N$1541,14,FALSE),"Not Enough Data")</f>
        <v>-0.53272496433039684</v>
      </c>
      <c r="H179">
        <v>-0.11932912758550353</v>
      </c>
    </row>
    <row r="180" spans="1:8" x14ac:dyDescent="0.35">
      <c r="A180" t="str">
        <f t="shared" si="2"/>
        <v>18097320903_2027</v>
      </c>
      <c r="B180">
        <v>18097320903</v>
      </c>
      <c r="C180">
        <v>2027</v>
      </c>
      <c r="E180">
        <f>-(IF(VLOOKUP(B180,'2023 Z Scores'!$A$1:$K$309,11,FALSE)&gt;2,VLOOKUP(B180,'2023 Z Scores'!$A$1:$K$309,10,FALSE)/VLOOKUP(B180,'2023 Z Scores'!$A$1:$K$309,11,FALSE),"Not Enough data"))</f>
        <v>0.18244973337603149</v>
      </c>
      <c r="F180">
        <f>IF(VLOOKUP(A180,'Delta Z Scores'!$A$1:$N$1541,14,FALSE)&gt;2,VLOOKUP(A180,'Delta Z Scores'!$A$1:$N$1541,13,FALSE)/VLOOKUP(A180,'Delta Z Scores'!$A$1:$N$1541,14,FALSE),"Not Enough Data")</f>
        <v>0.20188190280604926</v>
      </c>
      <c r="G180">
        <f>IF(VLOOKUP(A180,'Forecast Z Scores'!$A$1:$N$1541,14,FALSE)&gt;2,VLOOKUP(A180,'Forecast Z Scores'!$A$1:$N$1541,13,FALSE)/VLOOKUP(A180,'Forecast Z Scores'!$A$1:$N$1541,14,FALSE),"Not Enough Data")</f>
        <v>-0.48433473818254624</v>
      </c>
      <c r="H180">
        <v>2.5469700201395939E-2</v>
      </c>
    </row>
    <row r="181" spans="1:8" x14ac:dyDescent="0.35">
      <c r="A181" t="str">
        <f t="shared" si="2"/>
        <v>18097320903_2028</v>
      </c>
      <c r="B181">
        <v>18097320903</v>
      </c>
      <c r="C181">
        <v>2028</v>
      </c>
      <c r="E181">
        <f>-(IF(VLOOKUP(B181,'2023 Z Scores'!$A$1:$K$309,11,FALSE)&gt;2,VLOOKUP(B181,'2023 Z Scores'!$A$1:$K$309,10,FALSE)/VLOOKUP(B181,'2023 Z Scores'!$A$1:$K$309,11,FALSE),"Not Enough data"))</f>
        <v>0.18244973337603149</v>
      </c>
      <c r="F181">
        <f>IF(VLOOKUP(A181,'Delta Z Scores'!$A$1:$N$1541,14,FALSE)&gt;2,VLOOKUP(A181,'Delta Z Scores'!$A$1:$N$1541,13,FALSE)/VLOOKUP(A181,'Delta Z Scores'!$A$1:$N$1541,14,FALSE),"Not Enough Data")</f>
        <v>-3.2811524978587341E-3</v>
      </c>
      <c r="G181">
        <f>IF(VLOOKUP(A181,'Forecast Z Scores'!$A$1:$N$1541,14,FALSE)&gt;2,VLOOKUP(A181,'Forecast Z Scores'!$A$1:$N$1541,13,FALSE)/VLOOKUP(A181,'Forecast Z Scores'!$A$1:$N$1541,14,FALSE),"Not Enough Data")</f>
        <v>-0.43771126567942253</v>
      </c>
      <c r="H181">
        <v>-6.545595932477713E-2</v>
      </c>
    </row>
    <row r="182" spans="1:8" x14ac:dyDescent="0.35">
      <c r="A182" t="str">
        <f t="shared" si="2"/>
        <v>18097321001_2024</v>
      </c>
      <c r="B182">
        <v>18097321001</v>
      </c>
      <c r="C182">
        <v>2024</v>
      </c>
      <c r="E182">
        <f>-(IF(VLOOKUP(B182,'2023 Z Scores'!$A$1:$K$309,11,FALSE)&gt;2,VLOOKUP(B182,'2023 Z Scores'!$A$1:$K$309,10,FALSE)/VLOOKUP(B182,'2023 Z Scores'!$A$1:$K$309,11,FALSE),"Not Enough data"))</f>
        <v>0.68090419070396224</v>
      </c>
      <c r="F182">
        <f>IF(VLOOKUP(A182,'Delta Z Scores'!$A$1:$N$1541,14,FALSE)&gt;2,VLOOKUP(A182,'Delta Z Scores'!$A$1:$N$1541,13,FALSE)/VLOOKUP(A182,'Delta Z Scores'!$A$1:$N$1541,14,FALSE),"Not Enough Data")</f>
        <v>-0.76923177508809715</v>
      </c>
      <c r="G182">
        <f>IF(VLOOKUP(A182,'Forecast Z Scores'!$A$1:$N$1541,14,FALSE)&gt;2,VLOOKUP(A182,'Forecast Z Scores'!$A$1:$N$1541,13,FALSE)/VLOOKUP(A182,'Forecast Z Scores'!$A$1:$N$1541,14,FALSE),"Not Enough Data")</f>
        <v>-0.53108978871544199</v>
      </c>
      <c r="H182">
        <v>-0.34716228704691854</v>
      </c>
    </row>
    <row r="183" spans="1:8" x14ac:dyDescent="0.35">
      <c r="A183" t="str">
        <f t="shared" si="2"/>
        <v>18097321001_2025</v>
      </c>
      <c r="B183">
        <v>18097321001</v>
      </c>
      <c r="C183">
        <v>2025</v>
      </c>
      <c r="E183">
        <f>-(IF(VLOOKUP(B183,'2023 Z Scores'!$A$1:$K$309,11,FALSE)&gt;2,VLOOKUP(B183,'2023 Z Scores'!$A$1:$K$309,10,FALSE)/VLOOKUP(B183,'2023 Z Scores'!$A$1:$K$309,11,FALSE),"Not Enough data"))</f>
        <v>0.68090419070396224</v>
      </c>
      <c r="F183">
        <f>IF(VLOOKUP(A183,'Delta Z Scores'!$A$1:$N$1541,14,FALSE)&gt;2,VLOOKUP(A183,'Delta Z Scores'!$A$1:$N$1541,13,FALSE)/VLOOKUP(A183,'Delta Z Scores'!$A$1:$N$1541,14,FALSE),"Not Enough Data")</f>
        <v>0.18266179280524775</v>
      </c>
      <c r="G183">
        <f>IF(VLOOKUP(A183,'Forecast Z Scores'!$A$1:$N$1541,14,FALSE)&gt;2,VLOOKUP(A183,'Forecast Z Scores'!$A$1:$N$1541,13,FALSE)/VLOOKUP(A183,'Forecast Z Scores'!$A$1:$N$1541,14,FALSE),"Not Enough Data")</f>
        <v>-0.50431966234916736</v>
      </c>
      <c r="H183">
        <v>0.13547702849132259</v>
      </c>
    </row>
    <row r="184" spans="1:8" x14ac:dyDescent="0.35">
      <c r="A184" t="str">
        <f t="shared" si="2"/>
        <v>18097321001_2026</v>
      </c>
      <c r="B184">
        <v>18097321001</v>
      </c>
      <c r="C184">
        <v>2026</v>
      </c>
      <c r="E184">
        <f>-(IF(VLOOKUP(B184,'2023 Z Scores'!$A$1:$K$309,11,FALSE)&gt;2,VLOOKUP(B184,'2023 Z Scores'!$A$1:$K$309,10,FALSE)/VLOOKUP(B184,'2023 Z Scores'!$A$1:$K$309,11,FALSE),"Not Enough data"))</f>
        <v>0.68090419070396224</v>
      </c>
      <c r="F184">
        <f>IF(VLOOKUP(A184,'Delta Z Scores'!$A$1:$N$1541,14,FALSE)&gt;2,VLOOKUP(A184,'Delta Z Scores'!$A$1:$N$1541,13,FALSE)/VLOOKUP(A184,'Delta Z Scores'!$A$1:$N$1541,14,FALSE),"Not Enough Data")</f>
        <v>0.22985147552341378</v>
      </c>
      <c r="G184">
        <f>IF(VLOOKUP(A184,'Forecast Z Scores'!$A$1:$N$1541,14,FALSE)&gt;2,VLOOKUP(A184,'Forecast Z Scores'!$A$1:$N$1541,13,FALSE)/VLOOKUP(A184,'Forecast Z Scores'!$A$1:$N$1541,14,FALSE),"Not Enough Data")</f>
        <v>-0.46486304553298796</v>
      </c>
      <c r="H184">
        <v>0.16893602405445046</v>
      </c>
    </row>
    <row r="185" spans="1:8" x14ac:dyDescent="0.35">
      <c r="A185" t="str">
        <f t="shared" si="2"/>
        <v>18097321001_2027</v>
      </c>
      <c r="B185">
        <v>18097321001</v>
      </c>
      <c r="C185">
        <v>2027</v>
      </c>
      <c r="E185">
        <f>-(IF(VLOOKUP(B185,'2023 Z Scores'!$A$1:$K$309,11,FALSE)&gt;2,VLOOKUP(B185,'2023 Z Scores'!$A$1:$K$309,10,FALSE)/VLOOKUP(B185,'2023 Z Scores'!$A$1:$K$309,11,FALSE),"Not Enough data"))</f>
        <v>0.68090419070396224</v>
      </c>
      <c r="F185">
        <f>IF(VLOOKUP(A185,'Delta Z Scores'!$A$1:$N$1541,14,FALSE)&gt;2,VLOOKUP(A185,'Delta Z Scores'!$A$1:$N$1541,13,FALSE)/VLOOKUP(A185,'Delta Z Scores'!$A$1:$N$1541,14,FALSE),"Not Enough Data")</f>
        <v>0.54794494323704834</v>
      </c>
      <c r="G185">
        <f>IF(VLOOKUP(A185,'Forecast Z Scores'!$A$1:$N$1541,14,FALSE)&gt;2,VLOOKUP(A185,'Forecast Z Scores'!$A$1:$N$1541,13,FALSE)/VLOOKUP(A185,'Forecast Z Scores'!$A$1:$N$1541,14,FALSE),"Not Enough Data")</f>
        <v>-0.4134467708933372</v>
      </c>
      <c r="H185">
        <v>0.34083682657118042</v>
      </c>
    </row>
    <row r="186" spans="1:8" x14ac:dyDescent="0.35">
      <c r="A186" t="str">
        <f t="shared" si="2"/>
        <v>18097321001_2028</v>
      </c>
      <c r="B186">
        <v>18097321001</v>
      </c>
      <c r="C186">
        <v>2028</v>
      </c>
      <c r="E186">
        <f>-(IF(VLOOKUP(B186,'2023 Z Scores'!$A$1:$K$309,11,FALSE)&gt;2,VLOOKUP(B186,'2023 Z Scores'!$A$1:$K$309,10,FALSE)/VLOOKUP(B186,'2023 Z Scores'!$A$1:$K$309,11,FALSE),"Not Enough data"))</f>
        <v>0.68090419070396224</v>
      </c>
      <c r="F186">
        <f>IF(VLOOKUP(A186,'Delta Z Scores'!$A$1:$N$1541,14,FALSE)&gt;2,VLOOKUP(A186,'Delta Z Scores'!$A$1:$N$1541,13,FALSE)/VLOOKUP(A186,'Delta Z Scores'!$A$1:$N$1541,14,FALSE),"Not Enough Data")</f>
        <v>0.42262407140910307</v>
      </c>
      <c r="G186">
        <f>IF(VLOOKUP(A186,'Forecast Z Scores'!$A$1:$N$1541,14,FALSE)&gt;2,VLOOKUP(A186,'Forecast Z Scores'!$A$1:$N$1541,13,FALSE)/VLOOKUP(A186,'Forecast Z Scores'!$A$1:$N$1541,14,FALSE),"Not Enough Data")</f>
        <v>-0.37403899378627431</v>
      </c>
      <c r="H186">
        <v>0.28802833493397351</v>
      </c>
    </row>
    <row r="187" spans="1:8" x14ac:dyDescent="0.35">
      <c r="A187" t="str">
        <f t="shared" si="2"/>
        <v>18097321002_2024</v>
      </c>
      <c r="B187">
        <v>18097321002</v>
      </c>
      <c r="C187">
        <v>2024</v>
      </c>
      <c r="E187">
        <f>-(IF(VLOOKUP(B187,'2023 Z Scores'!$A$1:$K$309,11,FALSE)&gt;2,VLOOKUP(B187,'2023 Z Scores'!$A$1:$K$309,10,FALSE)/VLOOKUP(B187,'2023 Z Scores'!$A$1:$K$309,11,FALSE),"Not Enough data"))</f>
        <v>-3.8326826101787247E-2</v>
      </c>
      <c r="F187">
        <f>IF(VLOOKUP(A187,'Delta Z Scores'!$A$1:$N$1541,14,FALSE)&gt;2,VLOOKUP(A187,'Delta Z Scores'!$A$1:$N$1541,13,FALSE)/VLOOKUP(A187,'Delta Z Scores'!$A$1:$N$1541,14,FALSE),"Not Enough Data")</f>
        <v>-0.16837051374284259</v>
      </c>
      <c r="G187">
        <f>IF(VLOOKUP(A187,'Forecast Z Scores'!$A$1:$N$1541,14,FALSE)&gt;2,VLOOKUP(A187,'Forecast Z Scores'!$A$1:$N$1541,13,FALSE)/VLOOKUP(A187,'Forecast Z Scores'!$A$1:$N$1541,14,FALSE),"Not Enough Data")</f>
        <v>7.8499510058886446E-3</v>
      </c>
      <c r="H187">
        <v>-9.1804475645395942E-2</v>
      </c>
    </row>
    <row r="188" spans="1:8" x14ac:dyDescent="0.35">
      <c r="A188" t="str">
        <f t="shared" si="2"/>
        <v>18097321002_2025</v>
      </c>
      <c r="B188">
        <v>18097321002</v>
      </c>
      <c r="C188">
        <v>2025</v>
      </c>
      <c r="E188">
        <f>-(IF(VLOOKUP(B188,'2023 Z Scores'!$A$1:$K$309,11,FALSE)&gt;2,VLOOKUP(B188,'2023 Z Scores'!$A$1:$K$309,10,FALSE)/VLOOKUP(B188,'2023 Z Scores'!$A$1:$K$309,11,FALSE),"Not Enough data"))</f>
        <v>-3.8326826101787247E-2</v>
      </c>
      <c r="F188">
        <f>IF(VLOOKUP(A188,'Delta Z Scores'!$A$1:$N$1541,14,FALSE)&gt;2,VLOOKUP(A188,'Delta Z Scores'!$A$1:$N$1541,13,FALSE)/VLOOKUP(A188,'Delta Z Scores'!$A$1:$N$1541,14,FALSE),"Not Enough Data")</f>
        <v>0.18717891153692143</v>
      </c>
      <c r="G188">
        <f>IF(VLOOKUP(A188,'Forecast Z Scores'!$A$1:$N$1541,14,FALSE)&gt;2,VLOOKUP(A188,'Forecast Z Scores'!$A$1:$N$1541,13,FALSE)/VLOOKUP(A188,'Forecast Z Scores'!$A$1:$N$1541,14,FALSE),"Not Enough Data")</f>
        <v>5.9996742968290717E-2</v>
      </c>
      <c r="H188">
        <v>9.9006934985086587E-2</v>
      </c>
    </row>
    <row r="189" spans="1:8" x14ac:dyDescent="0.35">
      <c r="A189" t="str">
        <f t="shared" si="2"/>
        <v>18097321002_2026</v>
      </c>
      <c r="B189">
        <v>18097321002</v>
      </c>
      <c r="C189">
        <v>2026</v>
      </c>
      <c r="E189">
        <f>-(IF(VLOOKUP(B189,'2023 Z Scores'!$A$1:$K$309,11,FALSE)&gt;2,VLOOKUP(B189,'2023 Z Scores'!$A$1:$K$309,10,FALSE)/VLOOKUP(B189,'2023 Z Scores'!$A$1:$K$309,11,FALSE),"Not Enough data"))</f>
        <v>-3.8326826101787247E-2</v>
      </c>
      <c r="F189">
        <f>IF(VLOOKUP(A189,'Delta Z Scores'!$A$1:$N$1541,14,FALSE)&gt;2,VLOOKUP(A189,'Delta Z Scores'!$A$1:$N$1541,13,FALSE)/VLOOKUP(A189,'Delta Z Scores'!$A$1:$N$1541,14,FALSE),"Not Enough Data")</f>
        <v>-1.0836748095995181E-2</v>
      </c>
      <c r="G189">
        <f>IF(VLOOKUP(A189,'Forecast Z Scores'!$A$1:$N$1541,14,FALSE)&gt;2,VLOOKUP(A189,'Forecast Z Scores'!$A$1:$N$1541,13,FALSE)/VLOOKUP(A189,'Forecast Z Scores'!$A$1:$N$1541,14,FALSE),"Not Enough Data")</f>
        <v>9.5647649639685639E-2</v>
      </c>
      <c r="H189">
        <v>8.9118318364770095E-3</v>
      </c>
    </row>
    <row r="190" spans="1:8" x14ac:dyDescent="0.35">
      <c r="A190" t="str">
        <f t="shared" si="2"/>
        <v>18097321002_2027</v>
      </c>
      <c r="B190">
        <v>18097321002</v>
      </c>
      <c r="C190">
        <v>2027</v>
      </c>
      <c r="E190">
        <f>-(IF(VLOOKUP(B190,'2023 Z Scores'!$A$1:$K$309,11,FALSE)&gt;2,VLOOKUP(B190,'2023 Z Scores'!$A$1:$K$309,10,FALSE)/VLOOKUP(B190,'2023 Z Scores'!$A$1:$K$309,11,FALSE),"Not Enough data"))</f>
        <v>-3.8326826101787247E-2</v>
      </c>
      <c r="F190">
        <f>IF(VLOOKUP(A190,'Delta Z Scores'!$A$1:$N$1541,14,FALSE)&gt;2,VLOOKUP(A190,'Delta Z Scores'!$A$1:$N$1541,13,FALSE)/VLOOKUP(A190,'Delta Z Scores'!$A$1:$N$1541,14,FALSE),"Not Enough Data")</f>
        <v>8.2650576987484417E-2</v>
      </c>
      <c r="G190">
        <f>IF(VLOOKUP(A190,'Forecast Z Scores'!$A$1:$N$1541,14,FALSE)&gt;2,VLOOKUP(A190,'Forecast Z Scores'!$A$1:$N$1541,13,FALSE)/VLOOKUP(A190,'Forecast Z Scores'!$A$1:$N$1541,14,FALSE),"Not Enough Data")</f>
        <v>0.15275390886535745</v>
      </c>
      <c r="H190">
        <v>6.9932059184634757E-2</v>
      </c>
    </row>
    <row r="191" spans="1:8" x14ac:dyDescent="0.35">
      <c r="A191" t="str">
        <f t="shared" si="2"/>
        <v>18097321002_2028</v>
      </c>
      <c r="B191">
        <v>18097321002</v>
      </c>
      <c r="C191">
        <v>2028</v>
      </c>
      <c r="E191">
        <f>-(IF(VLOOKUP(B191,'2023 Z Scores'!$A$1:$K$309,11,FALSE)&gt;2,VLOOKUP(B191,'2023 Z Scores'!$A$1:$K$309,10,FALSE)/VLOOKUP(B191,'2023 Z Scores'!$A$1:$K$309,11,FALSE),"Not Enough data"))</f>
        <v>-3.8326826101787247E-2</v>
      </c>
      <c r="F191">
        <f>IF(VLOOKUP(A191,'Delta Z Scores'!$A$1:$N$1541,14,FALSE)&gt;2,VLOOKUP(A191,'Delta Z Scores'!$A$1:$N$1541,13,FALSE)/VLOOKUP(A191,'Delta Z Scores'!$A$1:$N$1541,14,FALSE),"Not Enough Data")</f>
        <v>-8.9147907731323556E-3</v>
      </c>
      <c r="G191">
        <f>IF(VLOOKUP(A191,'Forecast Z Scores'!$A$1:$N$1541,14,FALSE)&gt;2,VLOOKUP(A191,'Forecast Z Scores'!$A$1:$N$1541,13,FALSE)/VLOOKUP(A191,'Forecast Z Scores'!$A$1:$N$1541,14,FALSE),"Not Enough Data")</f>
        <v>0.19841967834012963</v>
      </c>
      <c r="H191">
        <v>3.5565817673019418E-2</v>
      </c>
    </row>
    <row r="192" spans="1:8" x14ac:dyDescent="0.35">
      <c r="A192" t="str">
        <f t="shared" si="2"/>
        <v>18097321100_2024</v>
      </c>
      <c r="B192">
        <v>18097321100</v>
      </c>
      <c r="C192">
        <v>2024</v>
      </c>
      <c r="E192">
        <f>-(IF(VLOOKUP(B192,'2023 Z Scores'!$A$1:$K$309,11,FALSE)&gt;2,VLOOKUP(B192,'2023 Z Scores'!$A$1:$K$309,10,FALSE)/VLOOKUP(B192,'2023 Z Scores'!$A$1:$K$309,11,FALSE),"Not Enough data"))</f>
        <v>0.19146879302310868</v>
      </c>
      <c r="F192">
        <f>IF(VLOOKUP(A192,'Delta Z Scores'!$A$1:$N$1541,14,FALSE)&gt;2,VLOOKUP(A192,'Delta Z Scores'!$A$1:$N$1541,13,FALSE)/VLOOKUP(A192,'Delta Z Scores'!$A$1:$N$1541,14,FALSE),"Not Enough Data")</f>
        <v>-0.4655026269056064</v>
      </c>
      <c r="G192">
        <f>IF(VLOOKUP(A192,'Forecast Z Scores'!$A$1:$N$1541,14,FALSE)&gt;2,VLOOKUP(A192,'Forecast Z Scores'!$A$1:$N$1541,13,FALSE)/VLOOKUP(A192,'Forecast Z Scores'!$A$1:$N$1541,14,FALSE),"Not Enough Data")</f>
        <v>-0.10859682995899878</v>
      </c>
      <c r="H192">
        <v>-0.21203332268677572</v>
      </c>
    </row>
    <row r="193" spans="1:8" x14ac:dyDescent="0.35">
      <c r="A193" t="str">
        <f t="shared" si="2"/>
        <v>18097321100_2025</v>
      </c>
      <c r="B193">
        <v>18097321100</v>
      </c>
      <c r="C193">
        <v>2025</v>
      </c>
      <c r="E193">
        <f>-(IF(VLOOKUP(B193,'2023 Z Scores'!$A$1:$K$309,11,FALSE)&gt;2,VLOOKUP(B193,'2023 Z Scores'!$A$1:$K$309,10,FALSE)/VLOOKUP(B193,'2023 Z Scores'!$A$1:$K$309,11,FALSE),"Not Enough data"))</f>
        <v>0.19146879302310868</v>
      </c>
      <c r="F193">
        <f>IF(VLOOKUP(A193,'Delta Z Scores'!$A$1:$N$1541,14,FALSE)&gt;2,VLOOKUP(A193,'Delta Z Scores'!$A$1:$N$1541,13,FALSE)/VLOOKUP(A193,'Delta Z Scores'!$A$1:$N$1541,14,FALSE),"Not Enough Data")</f>
        <v>-7.9450381353314004E-3</v>
      </c>
      <c r="G193">
        <f>IF(VLOOKUP(A193,'Forecast Z Scores'!$A$1:$N$1541,14,FALSE)&gt;2,VLOOKUP(A193,'Forecast Z Scores'!$A$1:$N$1541,13,FALSE)/VLOOKUP(A193,'Forecast Z Scores'!$A$1:$N$1541,14,FALSE),"Not Enough Data")</f>
        <v>-9.8689902260400308E-2</v>
      </c>
      <c r="H193">
        <v>1.9222203623011393E-2</v>
      </c>
    </row>
    <row r="194" spans="1:8" x14ac:dyDescent="0.35">
      <c r="A194" t="str">
        <f t="shared" si="2"/>
        <v>18097321100_2026</v>
      </c>
      <c r="B194">
        <v>18097321100</v>
      </c>
      <c r="C194">
        <v>2026</v>
      </c>
      <c r="E194">
        <f>-(IF(VLOOKUP(B194,'2023 Z Scores'!$A$1:$K$309,11,FALSE)&gt;2,VLOOKUP(B194,'2023 Z Scores'!$A$1:$K$309,10,FALSE)/VLOOKUP(B194,'2023 Z Scores'!$A$1:$K$309,11,FALSE),"Not Enough data"))</f>
        <v>0.19146879302310868</v>
      </c>
      <c r="F194">
        <f>IF(VLOOKUP(A194,'Delta Z Scores'!$A$1:$N$1541,14,FALSE)&gt;2,VLOOKUP(A194,'Delta Z Scores'!$A$1:$N$1541,13,FALSE)/VLOOKUP(A194,'Delta Z Scores'!$A$1:$N$1541,14,FALSE),"Not Enough Data")</f>
        <v>4.8460916618517369E-3</v>
      </c>
      <c r="G194">
        <f>IF(VLOOKUP(A194,'Forecast Z Scores'!$A$1:$N$1541,14,FALSE)&gt;2,VLOOKUP(A194,'Forecast Z Scores'!$A$1:$N$1541,13,FALSE)/VLOOKUP(A194,'Forecast Z Scores'!$A$1:$N$1541,14,FALSE),"Not Enough Data")</f>
        <v>-7.178260651967594E-2</v>
      </c>
      <c r="H194">
        <v>3.2344592456784053E-2</v>
      </c>
    </row>
    <row r="195" spans="1:8" x14ac:dyDescent="0.35">
      <c r="A195" t="str">
        <f t="shared" ref="A195:A258" si="3">TEXT(B195,0)&amp;"_"&amp;TEXT(C195,0)</f>
        <v>18097321100_2027</v>
      </c>
      <c r="B195">
        <v>18097321100</v>
      </c>
      <c r="C195">
        <v>2027</v>
      </c>
      <c r="E195">
        <f>-(IF(VLOOKUP(B195,'2023 Z Scores'!$A$1:$K$309,11,FALSE)&gt;2,VLOOKUP(B195,'2023 Z Scores'!$A$1:$K$309,10,FALSE)/VLOOKUP(B195,'2023 Z Scores'!$A$1:$K$309,11,FALSE),"Not Enough data"))</f>
        <v>0.19146879302310868</v>
      </c>
      <c r="F195">
        <f>IF(VLOOKUP(A195,'Delta Z Scores'!$A$1:$N$1541,14,FALSE)&gt;2,VLOOKUP(A195,'Delta Z Scores'!$A$1:$N$1541,13,FALSE)/VLOOKUP(A195,'Delta Z Scores'!$A$1:$N$1541,14,FALSE),"Not Enough Data")</f>
        <v>-2.499260081566778E-2</v>
      </c>
      <c r="G195">
        <f>IF(VLOOKUP(A195,'Forecast Z Scores'!$A$1:$N$1541,14,FALSE)&gt;2,VLOOKUP(A195,'Forecast Z Scores'!$A$1:$N$1541,13,FALSE)/VLOOKUP(A195,'Forecast Z Scores'!$A$1:$N$1541,14,FALSE),"Not Enough Data")</f>
        <v>-4.2712645123807791E-2</v>
      </c>
      <c r="H195">
        <v>2.4692736566991332E-2</v>
      </c>
    </row>
    <row r="196" spans="1:8" x14ac:dyDescent="0.35">
      <c r="A196" t="str">
        <f t="shared" si="3"/>
        <v>18097321100_2028</v>
      </c>
      <c r="B196">
        <v>18097321100</v>
      </c>
      <c r="C196">
        <v>2028</v>
      </c>
      <c r="E196">
        <f>-(IF(VLOOKUP(B196,'2023 Z Scores'!$A$1:$K$309,11,FALSE)&gt;2,VLOOKUP(B196,'2023 Z Scores'!$A$1:$K$309,10,FALSE)/VLOOKUP(B196,'2023 Z Scores'!$A$1:$K$309,11,FALSE),"Not Enough data"))</f>
        <v>0.19146879302310868</v>
      </c>
      <c r="F196">
        <f>IF(VLOOKUP(A196,'Delta Z Scores'!$A$1:$N$1541,14,FALSE)&gt;2,VLOOKUP(A196,'Delta Z Scores'!$A$1:$N$1541,13,FALSE)/VLOOKUP(A196,'Delta Z Scores'!$A$1:$N$1541,14,FALSE),"Not Enough Data")</f>
        <v>-3.8525820063858941E-2</v>
      </c>
      <c r="G196">
        <f>IF(VLOOKUP(A196,'Forecast Z Scores'!$A$1:$N$1541,14,FALSE)&gt;2,VLOOKUP(A196,'Forecast Z Scores'!$A$1:$N$1541,13,FALSE)/VLOOKUP(A196,'Forecast Z Scores'!$A$1:$N$1541,14,FALSE),"Not Enough Data")</f>
        <v>-1.0258148581895304E-2</v>
      </c>
      <c r="H196">
        <v>2.6039751078373873E-2</v>
      </c>
    </row>
    <row r="197" spans="1:8" x14ac:dyDescent="0.35">
      <c r="A197" t="str">
        <f t="shared" si="3"/>
        <v>18097321200_2024</v>
      </c>
      <c r="B197">
        <v>18097321200</v>
      </c>
      <c r="C197">
        <v>2024</v>
      </c>
      <c r="E197">
        <f>-(IF(VLOOKUP(B197,'2023 Z Scores'!$A$1:$K$309,11,FALSE)&gt;2,VLOOKUP(B197,'2023 Z Scores'!$A$1:$K$309,10,FALSE)/VLOOKUP(B197,'2023 Z Scores'!$A$1:$K$309,11,FALSE),"Not Enough data"))</f>
        <v>-1.0056420248893183</v>
      </c>
      <c r="F197">
        <f>IF(VLOOKUP(A197,'Delta Z Scores'!$A$1:$N$1541,14,FALSE)&gt;2,VLOOKUP(A197,'Delta Z Scores'!$A$1:$N$1541,13,FALSE)/VLOOKUP(A197,'Delta Z Scores'!$A$1:$N$1541,14,FALSE),"Not Enough Data")</f>
        <v>-0.30911269343015269</v>
      </c>
      <c r="G197">
        <f>IF(VLOOKUP(A197,'Forecast Z Scores'!$A$1:$N$1541,14,FALSE)&gt;2,VLOOKUP(A197,'Forecast Z Scores'!$A$1:$N$1541,13,FALSE)/VLOOKUP(A197,'Forecast Z Scores'!$A$1:$N$1541,14,FALSE),"Not Enough Data")</f>
        <v>0.9703182156658372</v>
      </c>
      <c r="H197">
        <v>-0.16338729902094662</v>
      </c>
    </row>
    <row r="198" spans="1:8" x14ac:dyDescent="0.35">
      <c r="A198" t="str">
        <f t="shared" si="3"/>
        <v>18097321200_2025</v>
      </c>
      <c r="B198">
        <v>18097321200</v>
      </c>
      <c r="C198">
        <v>2025</v>
      </c>
      <c r="E198">
        <f>-(IF(VLOOKUP(B198,'2023 Z Scores'!$A$1:$K$309,11,FALSE)&gt;2,VLOOKUP(B198,'2023 Z Scores'!$A$1:$K$309,10,FALSE)/VLOOKUP(B198,'2023 Z Scores'!$A$1:$K$309,11,FALSE),"Not Enough data"))</f>
        <v>-1.0056420248893183</v>
      </c>
      <c r="F198">
        <f>IF(VLOOKUP(A198,'Delta Z Scores'!$A$1:$N$1541,14,FALSE)&gt;2,VLOOKUP(A198,'Delta Z Scores'!$A$1:$N$1541,13,FALSE)/VLOOKUP(A198,'Delta Z Scores'!$A$1:$N$1541,14,FALSE),"Not Enough Data")</f>
        <v>-0.25329636924059529</v>
      </c>
      <c r="G198">
        <f>IF(VLOOKUP(A198,'Forecast Z Scores'!$A$1:$N$1541,14,FALSE)&gt;2,VLOOKUP(A198,'Forecast Z Scores'!$A$1:$N$1541,13,FALSE)/VLOOKUP(A198,'Forecast Z Scores'!$A$1:$N$1541,14,FALSE),"Not Enough Data")</f>
        <v>0.92581857898954245</v>
      </c>
      <c r="H198">
        <v>-0.14660404609524161</v>
      </c>
    </row>
    <row r="199" spans="1:8" x14ac:dyDescent="0.35">
      <c r="A199" t="str">
        <f t="shared" si="3"/>
        <v>18097321200_2026</v>
      </c>
      <c r="B199">
        <v>18097321200</v>
      </c>
      <c r="C199">
        <v>2026</v>
      </c>
      <c r="E199">
        <f>-(IF(VLOOKUP(B199,'2023 Z Scores'!$A$1:$K$309,11,FALSE)&gt;2,VLOOKUP(B199,'2023 Z Scores'!$A$1:$K$309,10,FALSE)/VLOOKUP(B199,'2023 Z Scores'!$A$1:$K$309,11,FALSE),"Not Enough data"))</f>
        <v>-1.0056420248893183</v>
      </c>
      <c r="F199">
        <f>IF(VLOOKUP(A199,'Delta Z Scores'!$A$1:$N$1541,14,FALSE)&gt;2,VLOOKUP(A199,'Delta Z Scores'!$A$1:$N$1541,13,FALSE)/VLOOKUP(A199,'Delta Z Scores'!$A$1:$N$1541,14,FALSE),"Not Enough Data")</f>
        <v>-0.25105572466903536</v>
      </c>
      <c r="G199">
        <f>IF(VLOOKUP(A199,'Forecast Z Scores'!$A$1:$N$1541,14,FALSE)&gt;2,VLOOKUP(A199,'Forecast Z Scores'!$A$1:$N$1541,13,FALSE)/VLOOKUP(A199,'Forecast Z Scores'!$A$1:$N$1541,14,FALSE),"Not Enough Data")</f>
        <v>0.86978093669863621</v>
      </c>
      <c r="H199">
        <v>-0.15949313438218821</v>
      </c>
    </row>
    <row r="200" spans="1:8" x14ac:dyDescent="0.35">
      <c r="A200" t="str">
        <f t="shared" si="3"/>
        <v>18097321200_2027</v>
      </c>
      <c r="B200">
        <v>18097321200</v>
      </c>
      <c r="C200">
        <v>2027</v>
      </c>
      <c r="E200">
        <f>-(IF(VLOOKUP(B200,'2023 Z Scores'!$A$1:$K$309,11,FALSE)&gt;2,VLOOKUP(B200,'2023 Z Scores'!$A$1:$K$309,10,FALSE)/VLOOKUP(B200,'2023 Z Scores'!$A$1:$K$309,11,FALSE),"Not Enough data"))</f>
        <v>-1.0056420248893183</v>
      </c>
      <c r="F200">
        <f>IF(VLOOKUP(A200,'Delta Z Scores'!$A$1:$N$1541,14,FALSE)&gt;2,VLOOKUP(A200,'Delta Z Scores'!$A$1:$N$1541,13,FALSE)/VLOOKUP(A200,'Delta Z Scores'!$A$1:$N$1541,14,FALSE),"Not Enough Data")</f>
        <v>-0.18698963984033451</v>
      </c>
      <c r="G200">
        <f>IF(VLOOKUP(A200,'Forecast Z Scores'!$A$1:$N$1541,14,FALSE)&gt;2,VLOOKUP(A200,'Forecast Z Scores'!$A$1:$N$1541,13,FALSE)/VLOOKUP(A200,'Forecast Z Scores'!$A$1:$N$1541,14,FALSE),"Not Enough Data")</f>
        <v>0.82243858683630655</v>
      </c>
      <c r="H200">
        <v>-0.13929567943342019</v>
      </c>
    </row>
    <row r="201" spans="1:8" x14ac:dyDescent="0.35">
      <c r="A201" t="str">
        <f t="shared" si="3"/>
        <v>18097321200_2028</v>
      </c>
      <c r="B201">
        <v>18097321200</v>
      </c>
      <c r="C201">
        <v>2028</v>
      </c>
      <c r="E201">
        <f>-(IF(VLOOKUP(B201,'2023 Z Scores'!$A$1:$K$309,11,FALSE)&gt;2,VLOOKUP(B201,'2023 Z Scores'!$A$1:$K$309,10,FALSE)/VLOOKUP(B201,'2023 Z Scores'!$A$1:$K$309,11,FALSE),"Not Enough data"))</f>
        <v>-1.0056420248893183</v>
      </c>
      <c r="F201">
        <f>IF(VLOOKUP(A201,'Delta Z Scores'!$A$1:$N$1541,14,FALSE)&gt;2,VLOOKUP(A201,'Delta Z Scores'!$A$1:$N$1541,13,FALSE)/VLOOKUP(A201,'Delta Z Scores'!$A$1:$N$1541,14,FALSE),"Not Enough Data")</f>
        <v>-0.18150862891361128</v>
      </c>
      <c r="G201">
        <f>IF(VLOOKUP(A201,'Forecast Z Scores'!$A$1:$N$1541,14,FALSE)&gt;2,VLOOKUP(A201,'Forecast Z Scores'!$A$1:$N$1541,13,FALSE)/VLOOKUP(A201,'Forecast Z Scores'!$A$1:$N$1541,14,FALSE),"Not Enough Data")</f>
        <v>0.76637507757688716</v>
      </c>
      <c r="H201">
        <v>-0.15057105128491344</v>
      </c>
    </row>
    <row r="202" spans="1:8" x14ac:dyDescent="0.35">
      <c r="A202" t="str">
        <f t="shared" si="3"/>
        <v>18097321300_2024</v>
      </c>
      <c r="B202">
        <v>18097321300</v>
      </c>
      <c r="C202">
        <v>2024</v>
      </c>
      <c r="E202">
        <f>-(IF(VLOOKUP(B202,'2023 Z Scores'!$A$1:$K$309,11,FALSE)&gt;2,VLOOKUP(B202,'2023 Z Scores'!$A$1:$K$309,10,FALSE)/VLOOKUP(B202,'2023 Z Scores'!$A$1:$K$309,11,FALSE),"Not Enough data"))</f>
        <v>-0.99234591167143793</v>
      </c>
      <c r="F202">
        <f>IF(VLOOKUP(A202,'Delta Z Scores'!$A$1:$N$1541,14,FALSE)&gt;2,VLOOKUP(A202,'Delta Z Scores'!$A$1:$N$1541,13,FALSE)/VLOOKUP(A202,'Delta Z Scores'!$A$1:$N$1541,14,FALSE),"Not Enough Data")</f>
        <v>-0.1555081969593593</v>
      </c>
      <c r="G202">
        <f>IF(VLOOKUP(A202,'Forecast Z Scores'!$A$1:$N$1541,14,FALSE)&gt;2,VLOOKUP(A202,'Forecast Z Scores'!$A$1:$N$1541,13,FALSE)/VLOOKUP(A202,'Forecast Z Scores'!$A$1:$N$1541,14,FALSE),"Not Enough Data")</f>
        <v>0.76831127386592235</v>
      </c>
      <c r="H202">
        <v>-0.13376275793105855</v>
      </c>
    </row>
    <row r="203" spans="1:8" x14ac:dyDescent="0.35">
      <c r="A203" t="str">
        <f t="shared" si="3"/>
        <v>18097321300_2025</v>
      </c>
      <c r="B203">
        <v>18097321300</v>
      </c>
      <c r="C203">
        <v>2025</v>
      </c>
      <c r="E203">
        <f>-(IF(VLOOKUP(B203,'2023 Z Scores'!$A$1:$K$309,11,FALSE)&gt;2,VLOOKUP(B203,'2023 Z Scores'!$A$1:$K$309,10,FALSE)/VLOOKUP(B203,'2023 Z Scores'!$A$1:$K$309,11,FALSE),"Not Enough data"))</f>
        <v>-0.99234591167143793</v>
      </c>
      <c r="F203">
        <f>IF(VLOOKUP(A203,'Delta Z Scores'!$A$1:$N$1541,14,FALSE)&gt;2,VLOOKUP(A203,'Delta Z Scores'!$A$1:$N$1541,13,FALSE)/VLOOKUP(A203,'Delta Z Scores'!$A$1:$N$1541,14,FALSE),"Not Enough Data")</f>
        <v>-0.3312042774114885</v>
      </c>
      <c r="G203">
        <f>IF(VLOOKUP(A203,'Forecast Z Scores'!$A$1:$N$1541,14,FALSE)&gt;2,VLOOKUP(A203,'Forecast Z Scores'!$A$1:$N$1541,13,FALSE)/VLOOKUP(A203,'Forecast Z Scores'!$A$1:$N$1541,14,FALSE),"Not Enough Data")</f>
        <v>0.74404302264630595</v>
      </c>
      <c r="H203">
        <v>-0.22767786096202725</v>
      </c>
    </row>
    <row r="204" spans="1:8" x14ac:dyDescent="0.35">
      <c r="A204" t="str">
        <f t="shared" si="3"/>
        <v>18097321300_2026</v>
      </c>
      <c r="B204">
        <v>18097321300</v>
      </c>
      <c r="C204">
        <v>2026</v>
      </c>
      <c r="E204">
        <f>-(IF(VLOOKUP(B204,'2023 Z Scores'!$A$1:$K$309,11,FALSE)&gt;2,VLOOKUP(B204,'2023 Z Scores'!$A$1:$K$309,10,FALSE)/VLOOKUP(B204,'2023 Z Scores'!$A$1:$K$309,11,FALSE),"Not Enough data"))</f>
        <v>-0.99234591167143793</v>
      </c>
      <c r="F204">
        <f>IF(VLOOKUP(A204,'Delta Z Scores'!$A$1:$N$1541,14,FALSE)&gt;2,VLOOKUP(A204,'Delta Z Scores'!$A$1:$N$1541,13,FALSE)/VLOOKUP(A204,'Delta Z Scores'!$A$1:$N$1541,14,FALSE),"Not Enough Data")</f>
        <v>-0.36629731609069466</v>
      </c>
      <c r="G204">
        <f>IF(VLOOKUP(A204,'Forecast Z Scores'!$A$1:$N$1541,14,FALSE)&gt;2,VLOOKUP(A204,'Forecast Z Scores'!$A$1:$N$1541,13,FALSE)/VLOOKUP(A204,'Forecast Z Scores'!$A$1:$N$1541,14,FALSE),"Not Enough Data")</f>
        <v>0.69919426810720753</v>
      </c>
      <c r="H204">
        <v>-0.25643656893640493</v>
      </c>
    </row>
    <row r="205" spans="1:8" x14ac:dyDescent="0.35">
      <c r="A205" t="str">
        <f t="shared" si="3"/>
        <v>18097321300_2027</v>
      </c>
      <c r="B205">
        <v>18097321300</v>
      </c>
      <c r="C205">
        <v>2027</v>
      </c>
      <c r="E205">
        <f>-(IF(VLOOKUP(B205,'2023 Z Scores'!$A$1:$K$309,11,FALSE)&gt;2,VLOOKUP(B205,'2023 Z Scores'!$A$1:$K$309,10,FALSE)/VLOOKUP(B205,'2023 Z Scores'!$A$1:$K$309,11,FALSE),"Not Enough data"))</f>
        <v>-0.99234591167143793</v>
      </c>
      <c r="F205">
        <f>IF(VLOOKUP(A205,'Delta Z Scores'!$A$1:$N$1541,14,FALSE)&gt;2,VLOOKUP(A205,'Delta Z Scores'!$A$1:$N$1541,13,FALSE)/VLOOKUP(A205,'Delta Z Scores'!$A$1:$N$1541,14,FALSE),"Not Enough Data")</f>
        <v>-0.31289664015019547</v>
      </c>
      <c r="G205">
        <f>IF(VLOOKUP(A205,'Forecast Z Scores'!$A$1:$N$1541,14,FALSE)&gt;2,VLOOKUP(A205,'Forecast Z Scores'!$A$1:$N$1541,13,FALSE)/VLOOKUP(A205,'Forecast Z Scores'!$A$1:$N$1541,14,FALSE),"Not Enough Data")</f>
        <v>0.66841341117428055</v>
      </c>
      <c r="H205">
        <v>-0.23743144519938708</v>
      </c>
    </row>
    <row r="206" spans="1:8" x14ac:dyDescent="0.35">
      <c r="A206" t="str">
        <f t="shared" si="3"/>
        <v>18097321300_2028</v>
      </c>
      <c r="B206">
        <v>18097321300</v>
      </c>
      <c r="C206">
        <v>2028</v>
      </c>
      <c r="E206">
        <f>-(IF(VLOOKUP(B206,'2023 Z Scores'!$A$1:$K$309,11,FALSE)&gt;2,VLOOKUP(B206,'2023 Z Scores'!$A$1:$K$309,10,FALSE)/VLOOKUP(B206,'2023 Z Scores'!$A$1:$K$309,11,FALSE),"Not Enough data"))</f>
        <v>-0.99234591167143793</v>
      </c>
      <c r="F206">
        <f>IF(VLOOKUP(A206,'Delta Z Scores'!$A$1:$N$1541,14,FALSE)&gt;2,VLOOKUP(A206,'Delta Z Scores'!$A$1:$N$1541,13,FALSE)/VLOOKUP(A206,'Delta Z Scores'!$A$1:$N$1541,14,FALSE),"Not Enough Data")</f>
        <v>-0.34767422795707753</v>
      </c>
      <c r="G206">
        <f>IF(VLOOKUP(A206,'Forecast Z Scores'!$A$1:$N$1541,14,FALSE)&gt;2,VLOOKUP(A206,'Forecast Z Scores'!$A$1:$N$1541,13,FALSE)/VLOOKUP(A206,'Forecast Z Scores'!$A$1:$N$1541,14,FALSE),"Not Enough Data")</f>
        <v>0.62749148993347537</v>
      </c>
      <c r="H206">
        <v>-0.26505071941302938</v>
      </c>
    </row>
    <row r="207" spans="1:8" x14ac:dyDescent="0.35">
      <c r="A207" t="str">
        <f t="shared" si="3"/>
        <v>18097321400_2024</v>
      </c>
      <c r="B207">
        <v>18097321400</v>
      </c>
      <c r="C207">
        <v>2024</v>
      </c>
      <c r="E207">
        <f>-(IF(VLOOKUP(B207,'2023 Z Scores'!$A$1:$K$309,11,FALSE)&gt;2,VLOOKUP(B207,'2023 Z Scores'!$A$1:$K$309,10,FALSE)/VLOOKUP(B207,'2023 Z Scores'!$A$1:$K$309,11,FALSE),"Not Enough data"))</f>
        <v>-0.65220538064386546</v>
      </c>
      <c r="F207">
        <f>IF(VLOOKUP(A207,'Delta Z Scores'!$A$1:$N$1541,14,FALSE)&gt;2,VLOOKUP(A207,'Delta Z Scores'!$A$1:$N$1541,13,FALSE)/VLOOKUP(A207,'Delta Z Scores'!$A$1:$N$1541,14,FALSE),"Not Enough Data")</f>
        <v>4.2548100575115551E-2</v>
      </c>
      <c r="G207">
        <f>IF(VLOOKUP(A207,'Forecast Z Scores'!$A$1:$N$1541,14,FALSE)&gt;2,VLOOKUP(A207,'Forecast Z Scores'!$A$1:$N$1541,13,FALSE)/VLOOKUP(A207,'Forecast Z Scores'!$A$1:$N$1541,14,FALSE),"Not Enough Data")</f>
        <v>0.69192467642795052</v>
      </c>
      <c r="H207">
        <v>3.1203874233579038E-2</v>
      </c>
    </row>
    <row r="208" spans="1:8" x14ac:dyDescent="0.35">
      <c r="A208" t="str">
        <f t="shared" si="3"/>
        <v>18097321400_2025</v>
      </c>
      <c r="B208">
        <v>18097321400</v>
      </c>
      <c r="C208">
        <v>2025</v>
      </c>
      <c r="E208">
        <f>-(IF(VLOOKUP(B208,'2023 Z Scores'!$A$1:$K$309,11,FALSE)&gt;2,VLOOKUP(B208,'2023 Z Scores'!$A$1:$K$309,10,FALSE)/VLOOKUP(B208,'2023 Z Scores'!$A$1:$K$309,11,FALSE),"Not Enough data"))</f>
        <v>-0.65220538064386546</v>
      </c>
      <c r="F208">
        <f>IF(VLOOKUP(A208,'Delta Z Scores'!$A$1:$N$1541,14,FALSE)&gt;2,VLOOKUP(A208,'Delta Z Scores'!$A$1:$N$1541,13,FALSE)/VLOOKUP(A208,'Delta Z Scores'!$A$1:$N$1541,14,FALSE),"Not Enough Data")</f>
        <v>-0.20361116906462537</v>
      </c>
      <c r="G208">
        <f>IF(VLOOKUP(A208,'Forecast Z Scores'!$A$1:$N$1541,14,FALSE)&gt;2,VLOOKUP(A208,'Forecast Z Scores'!$A$1:$N$1541,13,FALSE)/VLOOKUP(A208,'Forecast Z Scores'!$A$1:$N$1541,14,FALSE),"Not Enough Data")</f>
        <v>0.67035900041788865</v>
      </c>
      <c r="H208">
        <v>-9.7267179588806887E-2</v>
      </c>
    </row>
    <row r="209" spans="1:8" x14ac:dyDescent="0.35">
      <c r="A209" t="str">
        <f t="shared" si="3"/>
        <v>18097321400_2026</v>
      </c>
      <c r="B209">
        <v>18097321400</v>
      </c>
      <c r="C209">
        <v>2026</v>
      </c>
      <c r="E209">
        <f>-(IF(VLOOKUP(B209,'2023 Z Scores'!$A$1:$K$309,11,FALSE)&gt;2,VLOOKUP(B209,'2023 Z Scores'!$A$1:$K$309,10,FALSE)/VLOOKUP(B209,'2023 Z Scores'!$A$1:$K$309,11,FALSE),"Not Enough data"))</f>
        <v>-0.65220538064386546</v>
      </c>
      <c r="F209">
        <f>IF(VLOOKUP(A209,'Delta Z Scores'!$A$1:$N$1541,14,FALSE)&gt;2,VLOOKUP(A209,'Delta Z Scores'!$A$1:$N$1541,13,FALSE)/VLOOKUP(A209,'Delta Z Scores'!$A$1:$N$1541,14,FALSE),"Not Enough Data")</f>
        <v>-0.34209383195719256</v>
      </c>
      <c r="G209">
        <f>IF(VLOOKUP(A209,'Forecast Z Scores'!$A$1:$N$1541,14,FALSE)&gt;2,VLOOKUP(A209,'Forecast Z Scores'!$A$1:$N$1541,13,FALSE)/VLOOKUP(A209,'Forecast Z Scores'!$A$1:$N$1541,14,FALSE),"Not Enough Data")</f>
        <v>0.61177772706174938</v>
      </c>
      <c r="H209">
        <v>-0.1811538293741253</v>
      </c>
    </row>
    <row r="210" spans="1:8" x14ac:dyDescent="0.35">
      <c r="A210" t="str">
        <f t="shared" si="3"/>
        <v>18097321400_2027</v>
      </c>
      <c r="B210">
        <v>18097321400</v>
      </c>
      <c r="C210">
        <v>2027</v>
      </c>
      <c r="E210">
        <f>-(IF(VLOOKUP(B210,'2023 Z Scores'!$A$1:$K$309,11,FALSE)&gt;2,VLOOKUP(B210,'2023 Z Scores'!$A$1:$K$309,10,FALSE)/VLOOKUP(B210,'2023 Z Scores'!$A$1:$K$309,11,FALSE),"Not Enough data"))</f>
        <v>-0.65220538064386546</v>
      </c>
      <c r="F210">
        <f>IF(VLOOKUP(A210,'Delta Z Scores'!$A$1:$N$1541,14,FALSE)&gt;2,VLOOKUP(A210,'Delta Z Scores'!$A$1:$N$1541,13,FALSE)/VLOOKUP(A210,'Delta Z Scores'!$A$1:$N$1541,14,FALSE),"Not Enough Data")</f>
        <v>-0.16206027100998621</v>
      </c>
      <c r="G210">
        <f>IF(VLOOKUP(A210,'Forecast Z Scores'!$A$1:$N$1541,14,FALSE)&gt;2,VLOOKUP(A210,'Forecast Z Scores'!$A$1:$N$1541,13,FALSE)/VLOOKUP(A210,'Forecast Z Scores'!$A$1:$N$1541,14,FALSE),"Not Enough Data")</f>
        <v>0.59098902659227515</v>
      </c>
      <c r="H210">
        <v>-9.6334224017890685E-2</v>
      </c>
    </row>
    <row r="211" spans="1:8" x14ac:dyDescent="0.35">
      <c r="A211" t="str">
        <f t="shared" si="3"/>
        <v>18097321400_2028</v>
      </c>
      <c r="B211">
        <v>18097321400</v>
      </c>
      <c r="C211">
        <v>2028</v>
      </c>
      <c r="E211">
        <f>-(IF(VLOOKUP(B211,'2023 Z Scores'!$A$1:$K$309,11,FALSE)&gt;2,VLOOKUP(B211,'2023 Z Scores'!$A$1:$K$309,10,FALSE)/VLOOKUP(B211,'2023 Z Scores'!$A$1:$K$309,11,FALSE),"Not Enough data"))</f>
        <v>-0.65220538064386546</v>
      </c>
      <c r="F211">
        <f>IF(VLOOKUP(A211,'Delta Z Scores'!$A$1:$N$1541,14,FALSE)&gt;2,VLOOKUP(A211,'Delta Z Scores'!$A$1:$N$1541,13,FALSE)/VLOOKUP(A211,'Delta Z Scores'!$A$1:$N$1541,14,FALSE),"Not Enough Data")</f>
        <v>-0.10354686748263038</v>
      </c>
      <c r="G211">
        <f>IF(VLOOKUP(A211,'Forecast Z Scores'!$A$1:$N$1541,14,FALSE)&gt;2,VLOOKUP(A211,'Forecast Z Scores'!$A$1:$N$1541,13,FALSE)/VLOOKUP(A211,'Forecast Z Scores'!$A$1:$N$1541,14,FALSE),"Not Enough Data")</f>
        <v>0.58279153798998273</v>
      </c>
      <c r="H211">
        <v>-6.9126894404785866E-2</v>
      </c>
    </row>
    <row r="212" spans="1:8" x14ac:dyDescent="0.35">
      <c r="A212" t="str">
        <f t="shared" si="3"/>
        <v>18097321600_2024</v>
      </c>
      <c r="B212">
        <v>18097321600</v>
      </c>
      <c r="C212">
        <v>2024</v>
      </c>
      <c r="E212">
        <f>-(IF(VLOOKUP(B212,'2023 Z Scores'!$A$1:$K$309,11,FALSE)&gt;2,VLOOKUP(B212,'2023 Z Scores'!$A$1:$K$309,10,FALSE)/VLOOKUP(B212,'2023 Z Scores'!$A$1:$K$309,11,FALSE),"Not Enough data"))</f>
        <v>-0.31115324426892588</v>
      </c>
      <c r="F212">
        <f>IF(VLOOKUP(A212,'Delta Z Scores'!$A$1:$N$1541,14,FALSE)&gt;2,VLOOKUP(A212,'Delta Z Scores'!$A$1:$N$1541,13,FALSE)/VLOOKUP(A212,'Delta Z Scores'!$A$1:$N$1541,14,FALSE),"Not Enough Data")</f>
        <v>3.8079806629166463E-2</v>
      </c>
      <c r="G212">
        <f>IF(VLOOKUP(A212,'Forecast Z Scores'!$A$1:$N$1541,14,FALSE)&gt;2,VLOOKUP(A212,'Forecast Z Scores'!$A$1:$N$1541,13,FALSE)/VLOOKUP(A212,'Forecast Z Scores'!$A$1:$N$1541,14,FALSE),"Not Enough Data")</f>
        <v>0.27244763982874631</v>
      </c>
      <c r="H212">
        <v>9.3635022045383404E-3</v>
      </c>
    </row>
    <row r="213" spans="1:8" x14ac:dyDescent="0.35">
      <c r="A213" t="str">
        <f t="shared" si="3"/>
        <v>18097321600_2025</v>
      </c>
      <c r="B213">
        <v>18097321600</v>
      </c>
      <c r="C213">
        <v>2025</v>
      </c>
      <c r="E213">
        <f>-(IF(VLOOKUP(B213,'2023 Z Scores'!$A$1:$K$309,11,FALSE)&gt;2,VLOOKUP(B213,'2023 Z Scores'!$A$1:$K$309,10,FALSE)/VLOOKUP(B213,'2023 Z Scores'!$A$1:$K$309,11,FALSE),"Not Enough data"))</f>
        <v>-0.31115324426892588</v>
      </c>
      <c r="F213">
        <f>IF(VLOOKUP(A213,'Delta Z Scores'!$A$1:$N$1541,14,FALSE)&gt;2,VLOOKUP(A213,'Delta Z Scores'!$A$1:$N$1541,13,FALSE)/VLOOKUP(A213,'Delta Z Scores'!$A$1:$N$1541,14,FALSE),"Not Enough Data")</f>
        <v>-2.2060492865652731E-2</v>
      </c>
      <c r="G213">
        <f>IF(VLOOKUP(A213,'Forecast Z Scores'!$A$1:$N$1541,14,FALSE)&gt;2,VLOOKUP(A213,'Forecast Z Scores'!$A$1:$N$1541,13,FALSE)/VLOOKUP(A213,'Forecast Z Scores'!$A$1:$N$1541,14,FALSE),"Not Enough Data")</f>
        <v>0.27913620368096848</v>
      </c>
      <c r="H213">
        <v>-1.9034506579815716E-2</v>
      </c>
    </row>
    <row r="214" spans="1:8" x14ac:dyDescent="0.35">
      <c r="A214" t="str">
        <f t="shared" si="3"/>
        <v>18097321600_2026</v>
      </c>
      <c r="B214">
        <v>18097321600</v>
      </c>
      <c r="C214">
        <v>2026</v>
      </c>
      <c r="E214">
        <f>-(IF(VLOOKUP(B214,'2023 Z Scores'!$A$1:$K$309,11,FALSE)&gt;2,VLOOKUP(B214,'2023 Z Scores'!$A$1:$K$309,10,FALSE)/VLOOKUP(B214,'2023 Z Scores'!$A$1:$K$309,11,FALSE),"Not Enough data"))</f>
        <v>-0.31115324426892588</v>
      </c>
      <c r="F214">
        <f>IF(VLOOKUP(A214,'Delta Z Scores'!$A$1:$N$1541,14,FALSE)&gt;2,VLOOKUP(A214,'Delta Z Scores'!$A$1:$N$1541,13,FALSE)/VLOOKUP(A214,'Delta Z Scores'!$A$1:$N$1541,14,FALSE),"Not Enough Data")</f>
        <v>-3.2839266920717258E-4</v>
      </c>
      <c r="G214">
        <f>IF(VLOOKUP(A214,'Forecast Z Scores'!$A$1:$N$1541,14,FALSE)&gt;2,VLOOKUP(A214,'Forecast Z Scores'!$A$1:$N$1541,13,FALSE)/VLOOKUP(A214,'Forecast Z Scores'!$A$1:$N$1541,14,FALSE),"Not Enough Data")</f>
        <v>0.2786431855890813</v>
      </c>
      <c r="H214">
        <v>-8.2917110045647308E-3</v>
      </c>
    </row>
    <row r="215" spans="1:8" x14ac:dyDescent="0.35">
      <c r="A215" t="str">
        <f t="shared" si="3"/>
        <v>18097321600_2027</v>
      </c>
      <c r="B215">
        <v>18097321600</v>
      </c>
      <c r="C215">
        <v>2027</v>
      </c>
      <c r="E215">
        <f>-(IF(VLOOKUP(B215,'2023 Z Scores'!$A$1:$K$309,11,FALSE)&gt;2,VLOOKUP(B215,'2023 Z Scores'!$A$1:$K$309,10,FALSE)/VLOOKUP(B215,'2023 Z Scores'!$A$1:$K$309,11,FALSE),"Not Enough data"))</f>
        <v>-0.31115324426892588</v>
      </c>
      <c r="F215">
        <f>IF(VLOOKUP(A215,'Delta Z Scores'!$A$1:$N$1541,14,FALSE)&gt;2,VLOOKUP(A215,'Delta Z Scores'!$A$1:$N$1541,13,FALSE)/VLOOKUP(A215,'Delta Z Scores'!$A$1:$N$1541,14,FALSE),"Not Enough Data")</f>
        <v>-6.3446718670993468E-2</v>
      </c>
      <c r="G215">
        <f>IF(VLOOKUP(A215,'Forecast Z Scores'!$A$1:$N$1541,14,FALSE)&gt;2,VLOOKUP(A215,'Forecast Z Scores'!$A$1:$N$1541,13,FALSE)/VLOOKUP(A215,'Forecast Z Scores'!$A$1:$N$1541,14,FALSE),"Not Enough Data")</f>
        <v>0.27084250652298164</v>
      </c>
      <c r="H215">
        <v>-4.1801043771982793E-2</v>
      </c>
    </row>
    <row r="216" spans="1:8" x14ac:dyDescent="0.35">
      <c r="A216" t="str">
        <f t="shared" si="3"/>
        <v>18097321600_2028</v>
      </c>
      <c r="B216">
        <v>18097321600</v>
      </c>
      <c r="C216">
        <v>2028</v>
      </c>
      <c r="E216">
        <f>-(IF(VLOOKUP(B216,'2023 Z Scores'!$A$1:$K$309,11,FALSE)&gt;2,VLOOKUP(B216,'2023 Z Scores'!$A$1:$K$309,10,FALSE)/VLOOKUP(B216,'2023 Z Scores'!$A$1:$K$309,11,FALSE),"Not Enough data"))</f>
        <v>-0.31115324426892588</v>
      </c>
      <c r="F216">
        <f>IF(VLOOKUP(A216,'Delta Z Scores'!$A$1:$N$1541,14,FALSE)&gt;2,VLOOKUP(A216,'Delta Z Scores'!$A$1:$N$1541,13,FALSE)/VLOOKUP(A216,'Delta Z Scores'!$A$1:$N$1541,14,FALSE),"Not Enough Data")</f>
        <v>-1.9338035379055429E-2</v>
      </c>
      <c r="G216">
        <f>IF(VLOOKUP(A216,'Forecast Z Scores'!$A$1:$N$1541,14,FALSE)&gt;2,VLOOKUP(A216,'Forecast Z Scores'!$A$1:$N$1541,13,FALSE)/VLOOKUP(A216,'Forecast Z Scores'!$A$1:$N$1541,14,FALSE),"Not Enough Data")</f>
        <v>0.26220107291230832</v>
      </c>
      <c r="H216">
        <v>-2.1907060528682104E-2</v>
      </c>
    </row>
    <row r="217" spans="1:8" x14ac:dyDescent="0.35">
      <c r="A217" t="str">
        <f t="shared" si="3"/>
        <v>18097321700_2024</v>
      </c>
      <c r="B217">
        <v>18097321700</v>
      </c>
      <c r="C217">
        <v>2024</v>
      </c>
      <c r="E217">
        <f>-(IF(VLOOKUP(B217,'2023 Z Scores'!$A$1:$K$309,11,FALSE)&gt;2,VLOOKUP(B217,'2023 Z Scores'!$A$1:$K$309,10,FALSE)/VLOOKUP(B217,'2023 Z Scores'!$A$1:$K$309,11,FALSE),"Not Enough data"))</f>
        <v>-1.0942142562329782</v>
      </c>
      <c r="F217">
        <f>IF(VLOOKUP(A217,'Delta Z Scores'!$A$1:$N$1541,14,FALSE)&gt;2,VLOOKUP(A217,'Delta Z Scores'!$A$1:$N$1541,13,FALSE)/VLOOKUP(A217,'Delta Z Scores'!$A$1:$N$1541,14,FALSE),"Not Enough Data")</f>
        <v>0.35856787882203262</v>
      </c>
      <c r="G217">
        <f>IF(VLOOKUP(A217,'Forecast Z Scores'!$A$1:$N$1541,14,FALSE)&gt;2,VLOOKUP(A217,'Forecast Z Scores'!$A$1:$N$1541,13,FALSE)/VLOOKUP(A217,'Forecast Z Scores'!$A$1:$N$1541,14,FALSE),"Not Enough Data")</f>
        <v>1.1914994455010792</v>
      </c>
      <c r="H217">
        <v>0.20360523672804159</v>
      </c>
    </row>
    <row r="218" spans="1:8" x14ac:dyDescent="0.35">
      <c r="A218" t="str">
        <f t="shared" si="3"/>
        <v>18097321700_2025</v>
      </c>
      <c r="B218">
        <v>18097321700</v>
      </c>
      <c r="C218">
        <v>2025</v>
      </c>
      <c r="E218">
        <f>-(IF(VLOOKUP(B218,'2023 Z Scores'!$A$1:$K$309,11,FALSE)&gt;2,VLOOKUP(B218,'2023 Z Scores'!$A$1:$K$309,10,FALSE)/VLOOKUP(B218,'2023 Z Scores'!$A$1:$K$309,11,FALSE),"Not Enough data"))</f>
        <v>-1.0942142562329782</v>
      </c>
      <c r="F218">
        <f>IF(VLOOKUP(A218,'Delta Z Scores'!$A$1:$N$1541,14,FALSE)&gt;2,VLOOKUP(A218,'Delta Z Scores'!$A$1:$N$1541,13,FALSE)/VLOOKUP(A218,'Delta Z Scores'!$A$1:$N$1541,14,FALSE),"Not Enough Data")</f>
        <v>0.97617070945492768</v>
      </c>
      <c r="G218">
        <f>IF(VLOOKUP(A218,'Forecast Z Scores'!$A$1:$N$1541,14,FALSE)&gt;2,VLOOKUP(A218,'Forecast Z Scores'!$A$1:$N$1541,13,FALSE)/VLOOKUP(A218,'Forecast Z Scores'!$A$1:$N$1541,14,FALSE),"Not Enough Data")</f>
        <v>1.3502436461615486</v>
      </c>
      <c r="H218">
        <v>0.55209270220960649</v>
      </c>
    </row>
    <row r="219" spans="1:8" x14ac:dyDescent="0.35">
      <c r="A219" t="str">
        <f t="shared" si="3"/>
        <v>18097321700_2026</v>
      </c>
      <c r="B219">
        <v>18097321700</v>
      </c>
      <c r="C219">
        <v>2026</v>
      </c>
      <c r="E219">
        <f>-(IF(VLOOKUP(B219,'2023 Z Scores'!$A$1:$K$309,11,FALSE)&gt;2,VLOOKUP(B219,'2023 Z Scores'!$A$1:$K$309,10,FALSE)/VLOOKUP(B219,'2023 Z Scores'!$A$1:$K$309,11,FALSE),"Not Enough data"))</f>
        <v>-1.0942142562329782</v>
      </c>
      <c r="F219">
        <f>IF(VLOOKUP(A219,'Delta Z Scores'!$A$1:$N$1541,14,FALSE)&gt;2,VLOOKUP(A219,'Delta Z Scores'!$A$1:$N$1541,13,FALSE)/VLOOKUP(A219,'Delta Z Scores'!$A$1:$N$1541,14,FALSE),"Not Enough Data")</f>
        <v>0.80903043899772742</v>
      </c>
      <c r="G219">
        <f>IF(VLOOKUP(A219,'Forecast Z Scores'!$A$1:$N$1541,14,FALSE)&gt;2,VLOOKUP(A219,'Forecast Z Scores'!$A$1:$N$1541,13,FALSE)/VLOOKUP(A219,'Forecast Z Scores'!$A$1:$N$1541,14,FALSE),"Not Enough Data")</f>
        <v>1.4586989433030924</v>
      </c>
      <c r="H219">
        <v>0.49563639126639231</v>
      </c>
    </row>
    <row r="220" spans="1:8" x14ac:dyDescent="0.35">
      <c r="A220" t="str">
        <f t="shared" si="3"/>
        <v>18097321700_2027</v>
      </c>
      <c r="B220">
        <v>18097321700</v>
      </c>
      <c r="C220">
        <v>2027</v>
      </c>
      <c r="E220">
        <f>-(IF(VLOOKUP(B220,'2023 Z Scores'!$A$1:$K$309,11,FALSE)&gt;2,VLOOKUP(B220,'2023 Z Scores'!$A$1:$K$309,10,FALSE)/VLOOKUP(B220,'2023 Z Scores'!$A$1:$K$309,11,FALSE),"Not Enough data"))</f>
        <v>-1.0942142562329782</v>
      </c>
      <c r="F220">
        <f>IF(VLOOKUP(A220,'Delta Z Scores'!$A$1:$N$1541,14,FALSE)&gt;2,VLOOKUP(A220,'Delta Z Scores'!$A$1:$N$1541,13,FALSE)/VLOOKUP(A220,'Delta Z Scores'!$A$1:$N$1541,14,FALSE),"Not Enough Data")</f>
        <v>0.85872769224055934</v>
      </c>
      <c r="G220">
        <f>IF(VLOOKUP(A220,'Forecast Z Scores'!$A$1:$N$1541,14,FALSE)&gt;2,VLOOKUP(A220,'Forecast Z Scores'!$A$1:$N$1541,13,FALSE)/VLOOKUP(A220,'Forecast Z Scores'!$A$1:$N$1541,14,FALSE),"Not Enough Data")</f>
        <v>1.5594717165816419</v>
      </c>
      <c r="H220">
        <v>0.54567821120744564</v>
      </c>
    </row>
    <row r="221" spans="1:8" x14ac:dyDescent="0.35">
      <c r="A221" t="str">
        <f t="shared" si="3"/>
        <v>18097321700_2028</v>
      </c>
      <c r="B221">
        <v>18097321700</v>
      </c>
      <c r="C221">
        <v>2028</v>
      </c>
      <c r="E221">
        <f>-(IF(VLOOKUP(B221,'2023 Z Scores'!$A$1:$K$309,11,FALSE)&gt;2,VLOOKUP(B221,'2023 Z Scores'!$A$1:$K$309,10,FALSE)/VLOOKUP(B221,'2023 Z Scores'!$A$1:$K$309,11,FALSE),"Not Enough data"))</f>
        <v>-1.0942142562329782</v>
      </c>
      <c r="F221">
        <f>IF(VLOOKUP(A221,'Delta Z Scores'!$A$1:$N$1541,14,FALSE)&gt;2,VLOOKUP(A221,'Delta Z Scores'!$A$1:$N$1541,13,FALSE)/VLOOKUP(A221,'Delta Z Scores'!$A$1:$N$1541,14,FALSE),"Not Enough Data")</f>
        <v>0.75708959254951869</v>
      </c>
      <c r="G221">
        <f>IF(VLOOKUP(A221,'Forecast Z Scores'!$A$1:$N$1541,14,FALSE)&gt;2,VLOOKUP(A221,'Forecast Z Scores'!$A$1:$N$1541,13,FALSE)/VLOOKUP(A221,'Forecast Z Scores'!$A$1:$N$1541,14,FALSE),"Not Enough Data")</f>
        <v>1.6193751169562316</v>
      </c>
      <c r="H221">
        <v>0.50983501145557275</v>
      </c>
    </row>
    <row r="222" spans="1:8" x14ac:dyDescent="0.35">
      <c r="A222" t="str">
        <f t="shared" si="3"/>
        <v>18097321800_2024</v>
      </c>
      <c r="B222">
        <v>18097321800</v>
      </c>
      <c r="C222">
        <v>2024</v>
      </c>
      <c r="E222">
        <f>-(IF(VLOOKUP(B222,'2023 Z Scores'!$A$1:$K$309,11,FALSE)&gt;2,VLOOKUP(B222,'2023 Z Scores'!$A$1:$K$309,10,FALSE)/VLOOKUP(B222,'2023 Z Scores'!$A$1:$K$309,11,FALSE),"Not Enough data"))</f>
        <v>-1.1374601659691643</v>
      </c>
      <c r="F222">
        <f>IF(VLOOKUP(A222,'Delta Z Scores'!$A$1:$N$1541,14,FALSE)&gt;2,VLOOKUP(A222,'Delta Z Scores'!$A$1:$N$1541,13,FALSE)/VLOOKUP(A222,'Delta Z Scores'!$A$1:$N$1541,14,FALSE),"Not Enough Data")</f>
        <v>-0.25863011366757555</v>
      </c>
      <c r="G222">
        <f>IF(VLOOKUP(A222,'Forecast Z Scores'!$A$1:$N$1541,14,FALSE)&gt;2,VLOOKUP(A222,'Forecast Z Scores'!$A$1:$N$1541,13,FALSE)/VLOOKUP(A222,'Forecast Z Scores'!$A$1:$N$1541,14,FALSE),"Not Enough Data")</f>
        <v>0.88725073422139178</v>
      </c>
      <c r="H222">
        <v>-0.19186741477073091</v>
      </c>
    </row>
    <row r="223" spans="1:8" x14ac:dyDescent="0.35">
      <c r="A223" t="str">
        <f t="shared" si="3"/>
        <v>18097321800_2025</v>
      </c>
      <c r="B223">
        <v>18097321800</v>
      </c>
      <c r="C223">
        <v>2025</v>
      </c>
      <c r="E223">
        <f>-(IF(VLOOKUP(B223,'2023 Z Scores'!$A$1:$K$309,11,FALSE)&gt;2,VLOOKUP(B223,'2023 Z Scores'!$A$1:$K$309,10,FALSE)/VLOOKUP(B223,'2023 Z Scores'!$A$1:$K$309,11,FALSE),"Not Enough data"))</f>
        <v>-1.1374601659691643</v>
      </c>
      <c r="F223">
        <f>IF(VLOOKUP(A223,'Delta Z Scores'!$A$1:$N$1541,14,FALSE)&gt;2,VLOOKUP(A223,'Delta Z Scores'!$A$1:$N$1541,13,FALSE)/VLOOKUP(A223,'Delta Z Scores'!$A$1:$N$1541,14,FALSE),"Not Enough Data")</f>
        <v>0.39976372869549637</v>
      </c>
      <c r="G223">
        <f>IF(VLOOKUP(A223,'Forecast Z Scores'!$A$1:$N$1541,14,FALSE)&gt;2,VLOOKUP(A223,'Forecast Z Scores'!$A$1:$N$1541,13,FALSE)/VLOOKUP(A223,'Forecast Z Scores'!$A$1:$N$1541,14,FALSE),"Not Enough Data")</f>
        <v>0.937059304096447</v>
      </c>
      <c r="H223">
        <v>0.14978164887956885</v>
      </c>
    </row>
    <row r="224" spans="1:8" x14ac:dyDescent="0.35">
      <c r="A224" t="str">
        <f t="shared" si="3"/>
        <v>18097321800_2026</v>
      </c>
      <c r="B224">
        <v>18097321800</v>
      </c>
      <c r="C224">
        <v>2026</v>
      </c>
      <c r="E224">
        <f>-(IF(VLOOKUP(B224,'2023 Z Scores'!$A$1:$K$309,11,FALSE)&gt;2,VLOOKUP(B224,'2023 Z Scores'!$A$1:$K$309,10,FALSE)/VLOOKUP(B224,'2023 Z Scores'!$A$1:$K$309,11,FALSE),"Not Enough data"))</f>
        <v>-1.1374601659691643</v>
      </c>
      <c r="F224">
        <f>IF(VLOOKUP(A224,'Delta Z Scores'!$A$1:$N$1541,14,FALSE)&gt;2,VLOOKUP(A224,'Delta Z Scores'!$A$1:$N$1541,13,FALSE)/VLOOKUP(A224,'Delta Z Scores'!$A$1:$N$1541,14,FALSE),"Not Enough Data")</f>
        <v>4.0108096420517714E-2</v>
      </c>
      <c r="G224">
        <f>IF(VLOOKUP(A224,'Forecast Z Scores'!$A$1:$N$1541,14,FALSE)&gt;2,VLOOKUP(A224,'Forecast Z Scores'!$A$1:$N$1541,13,FALSE)/VLOOKUP(A224,'Forecast Z Scores'!$A$1:$N$1541,14,FALSE),"Not Enough Data")</f>
        <v>0.93128427320576335</v>
      </c>
      <c r="H224">
        <v>-3.1489924980591388E-2</v>
      </c>
    </row>
    <row r="225" spans="1:8" x14ac:dyDescent="0.35">
      <c r="A225" t="str">
        <f t="shared" si="3"/>
        <v>18097321800_2027</v>
      </c>
      <c r="B225">
        <v>18097321800</v>
      </c>
      <c r="C225">
        <v>2027</v>
      </c>
      <c r="E225">
        <f>-(IF(VLOOKUP(B225,'2023 Z Scores'!$A$1:$K$309,11,FALSE)&gt;2,VLOOKUP(B225,'2023 Z Scores'!$A$1:$K$309,10,FALSE)/VLOOKUP(B225,'2023 Z Scores'!$A$1:$K$309,11,FALSE),"Not Enough data"))</f>
        <v>-1.1374601659691643</v>
      </c>
      <c r="F225">
        <f>IF(VLOOKUP(A225,'Delta Z Scores'!$A$1:$N$1541,14,FALSE)&gt;2,VLOOKUP(A225,'Delta Z Scores'!$A$1:$N$1541,13,FALSE)/VLOOKUP(A225,'Delta Z Scores'!$A$1:$N$1541,14,FALSE),"Not Enough Data")</f>
        <v>0.28576289693465656</v>
      </c>
      <c r="G225">
        <f>IF(VLOOKUP(A225,'Forecast Z Scores'!$A$1:$N$1541,14,FALSE)&gt;2,VLOOKUP(A225,'Forecast Z Scores'!$A$1:$N$1541,13,FALSE)/VLOOKUP(A225,'Forecast Z Scores'!$A$1:$N$1541,14,FALSE),"Not Enough Data")</f>
        <v>0.95145305898371291</v>
      </c>
      <c r="H225">
        <v>9.6379671720965454E-2</v>
      </c>
    </row>
    <row r="226" spans="1:8" x14ac:dyDescent="0.35">
      <c r="A226" t="str">
        <f t="shared" si="3"/>
        <v>18097321800_2028</v>
      </c>
      <c r="B226">
        <v>18097321800</v>
      </c>
      <c r="C226">
        <v>2028</v>
      </c>
      <c r="E226">
        <f>-(IF(VLOOKUP(B226,'2023 Z Scores'!$A$1:$K$309,11,FALSE)&gt;2,VLOOKUP(B226,'2023 Z Scores'!$A$1:$K$309,10,FALSE)/VLOOKUP(B226,'2023 Z Scores'!$A$1:$K$309,11,FALSE),"Not Enough data"))</f>
        <v>-1.1374601659691643</v>
      </c>
      <c r="F226">
        <f>IF(VLOOKUP(A226,'Delta Z Scores'!$A$1:$N$1541,14,FALSE)&gt;2,VLOOKUP(A226,'Delta Z Scores'!$A$1:$N$1541,13,FALSE)/VLOOKUP(A226,'Delta Z Scores'!$A$1:$N$1541,14,FALSE),"Not Enough Data")</f>
        <v>0.16547273536633367</v>
      </c>
      <c r="G226">
        <f>IF(VLOOKUP(A226,'Forecast Z Scores'!$A$1:$N$1541,14,FALSE)&gt;2,VLOOKUP(A226,'Forecast Z Scores'!$A$1:$N$1541,13,FALSE)/VLOOKUP(A226,'Forecast Z Scores'!$A$1:$N$1541,14,FALSE),"Not Enough Data")</f>
        <v>0.93368921867220922</v>
      </c>
      <c r="H226">
        <v>3.1793630858928057E-2</v>
      </c>
    </row>
    <row r="227" spans="1:8" x14ac:dyDescent="0.35">
      <c r="A227" t="str">
        <f t="shared" si="3"/>
        <v>18097321900_2024</v>
      </c>
      <c r="B227">
        <v>18097321900</v>
      </c>
      <c r="C227">
        <v>2024</v>
      </c>
      <c r="E227">
        <f>-(IF(VLOOKUP(B227,'2023 Z Scores'!$A$1:$K$309,11,FALSE)&gt;2,VLOOKUP(B227,'2023 Z Scores'!$A$1:$K$309,10,FALSE)/VLOOKUP(B227,'2023 Z Scores'!$A$1:$K$309,11,FALSE),"Not Enough data"))</f>
        <v>-1.0002407552899475</v>
      </c>
      <c r="F227">
        <f>IF(VLOOKUP(A227,'Delta Z Scores'!$A$1:$N$1541,14,FALSE)&gt;2,VLOOKUP(A227,'Delta Z Scores'!$A$1:$N$1541,13,FALSE)/VLOOKUP(A227,'Delta Z Scores'!$A$1:$N$1541,14,FALSE),"Not Enough Data")</f>
        <v>-0.31039058796638075</v>
      </c>
      <c r="G227">
        <f>IF(VLOOKUP(A227,'Forecast Z Scores'!$A$1:$N$1541,14,FALSE)&gt;2,VLOOKUP(A227,'Forecast Z Scores'!$A$1:$N$1541,13,FALSE)/VLOOKUP(A227,'Forecast Z Scores'!$A$1:$N$1541,14,FALSE),"Not Enough Data")</f>
        <v>0.78430521261542774</v>
      </c>
      <c r="H227">
        <v>-0.20917917965182031</v>
      </c>
    </row>
    <row r="228" spans="1:8" x14ac:dyDescent="0.35">
      <c r="A228" t="str">
        <f t="shared" si="3"/>
        <v>18097321900_2025</v>
      </c>
      <c r="B228">
        <v>18097321900</v>
      </c>
      <c r="C228">
        <v>2025</v>
      </c>
      <c r="E228">
        <f>-(IF(VLOOKUP(B228,'2023 Z Scores'!$A$1:$K$309,11,FALSE)&gt;2,VLOOKUP(B228,'2023 Z Scores'!$A$1:$K$309,10,FALSE)/VLOOKUP(B228,'2023 Z Scores'!$A$1:$K$309,11,FALSE),"Not Enough data"))</f>
        <v>-1.0002407552899475</v>
      </c>
      <c r="F228">
        <f>IF(VLOOKUP(A228,'Delta Z Scores'!$A$1:$N$1541,14,FALSE)&gt;2,VLOOKUP(A228,'Delta Z Scores'!$A$1:$N$1541,13,FALSE)/VLOOKUP(A228,'Delta Z Scores'!$A$1:$N$1541,14,FALSE),"Not Enough Data")</f>
        <v>0.29904613475484643</v>
      </c>
      <c r="G228">
        <f>IF(VLOOKUP(A228,'Forecast Z Scores'!$A$1:$N$1541,14,FALSE)&gt;2,VLOOKUP(A228,'Forecast Z Scores'!$A$1:$N$1541,13,FALSE)/VLOOKUP(A228,'Forecast Z Scores'!$A$1:$N$1541,14,FALSE),"Not Enough Data")</f>
        <v>0.78555834198567165</v>
      </c>
      <c r="H228">
        <v>9.5852464051354225E-2</v>
      </c>
    </row>
    <row r="229" spans="1:8" x14ac:dyDescent="0.35">
      <c r="A229" t="str">
        <f t="shared" si="3"/>
        <v>18097321900_2026</v>
      </c>
      <c r="B229">
        <v>18097321900</v>
      </c>
      <c r="C229">
        <v>2026</v>
      </c>
      <c r="E229">
        <f>-(IF(VLOOKUP(B229,'2023 Z Scores'!$A$1:$K$309,11,FALSE)&gt;2,VLOOKUP(B229,'2023 Z Scores'!$A$1:$K$309,10,FALSE)/VLOOKUP(B229,'2023 Z Scores'!$A$1:$K$309,11,FALSE),"Not Enough data"))</f>
        <v>-1.0002407552899475</v>
      </c>
      <c r="F229">
        <f>IF(VLOOKUP(A229,'Delta Z Scores'!$A$1:$N$1541,14,FALSE)&gt;2,VLOOKUP(A229,'Delta Z Scores'!$A$1:$N$1541,13,FALSE)/VLOOKUP(A229,'Delta Z Scores'!$A$1:$N$1541,14,FALSE),"Not Enough Data")</f>
        <v>0.17176145297181467</v>
      </c>
      <c r="G229">
        <f>IF(VLOOKUP(A229,'Forecast Z Scores'!$A$1:$N$1541,14,FALSE)&gt;2,VLOOKUP(A229,'Forecast Z Scores'!$A$1:$N$1541,13,FALSE)/VLOOKUP(A229,'Forecast Z Scores'!$A$1:$N$1541,14,FALSE),"Not Enough Data")</f>
        <v>0.74942738877969317</v>
      </c>
      <c r="H229">
        <v>2.3177384858343753E-2</v>
      </c>
    </row>
    <row r="230" spans="1:8" x14ac:dyDescent="0.35">
      <c r="A230" t="str">
        <f t="shared" si="3"/>
        <v>18097321900_2027</v>
      </c>
      <c r="B230">
        <v>18097321900</v>
      </c>
      <c r="C230">
        <v>2027</v>
      </c>
      <c r="E230">
        <f>-(IF(VLOOKUP(B230,'2023 Z Scores'!$A$1:$K$309,11,FALSE)&gt;2,VLOOKUP(B230,'2023 Z Scores'!$A$1:$K$309,10,FALSE)/VLOOKUP(B230,'2023 Z Scores'!$A$1:$K$309,11,FALSE),"Not Enough data"))</f>
        <v>-1.0002407552899475</v>
      </c>
      <c r="F230">
        <f>IF(VLOOKUP(A230,'Delta Z Scores'!$A$1:$N$1541,14,FALSE)&gt;2,VLOOKUP(A230,'Delta Z Scores'!$A$1:$N$1541,13,FALSE)/VLOOKUP(A230,'Delta Z Scores'!$A$1:$N$1541,14,FALSE),"Not Enough Data")</f>
        <v>0.39150114615632359</v>
      </c>
      <c r="G230">
        <f>IF(VLOOKUP(A230,'Forecast Z Scores'!$A$1:$N$1541,14,FALSE)&gt;2,VLOOKUP(A230,'Forecast Z Scores'!$A$1:$N$1541,13,FALSE)/VLOOKUP(A230,'Forecast Z Scores'!$A$1:$N$1541,14,FALSE),"Not Enough Data")</f>
        <v>0.72926973359653502</v>
      </c>
      <c r="H230">
        <v>0.12800781765480868</v>
      </c>
    </row>
    <row r="231" spans="1:8" x14ac:dyDescent="0.35">
      <c r="A231" t="str">
        <f t="shared" si="3"/>
        <v>18097321900_2028</v>
      </c>
      <c r="B231">
        <v>18097321900</v>
      </c>
      <c r="C231">
        <v>2028</v>
      </c>
      <c r="E231">
        <f>-(IF(VLOOKUP(B231,'2023 Z Scores'!$A$1:$K$309,11,FALSE)&gt;2,VLOOKUP(B231,'2023 Z Scores'!$A$1:$K$309,10,FALSE)/VLOOKUP(B231,'2023 Z Scores'!$A$1:$K$309,11,FALSE),"Not Enough data"))</f>
        <v>-1.0002407552899475</v>
      </c>
      <c r="F231">
        <f>IF(VLOOKUP(A231,'Delta Z Scores'!$A$1:$N$1541,14,FALSE)&gt;2,VLOOKUP(A231,'Delta Z Scores'!$A$1:$N$1541,13,FALSE)/VLOOKUP(A231,'Delta Z Scores'!$A$1:$N$1541,14,FALSE),"Not Enough Data")</f>
        <v>0.40562971500933254</v>
      </c>
      <c r="G231">
        <f>IF(VLOOKUP(A231,'Forecast Z Scores'!$A$1:$N$1541,14,FALSE)&gt;2,VLOOKUP(A231,'Forecast Z Scores'!$A$1:$N$1541,13,FALSE)/VLOOKUP(A231,'Forecast Z Scores'!$A$1:$N$1541,14,FALSE),"Not Enough Data")</f>
        <v>0.6899675850689434</v>
      </c>
      <c r="H231">
        <v>0.12524656494941527</v>
      </c>
    </row>
    <row r="232" spans="1:8" x14ac:dyDescent="0.35">
      <c r="A232" t="str">
        <f t="shared" si="3"/>
        <v>18097322000_2024</v>
      </c>
      <c r="B232">
        <v>18097322000</v>
      </c>
      <c r="C232">
        <v>2024</v>
      </c>
      <c r="E232">
        <f>-(IF(VLOOKUP(B232,'2023 Z Scores'!$A$1:$K$309,11,FALSE)&gt;2,VLOOKUP(B232,'2023 Z Scores'!$A$1:$K$309,10,FALSE)/VLOOKUP(B232,'2023 Z Scores'!$A$1:$K$309,11,FALSE),"Not Enough data"))</f>
        <v>0.30261337935518123</v>
      </c>
      <c r="F232">
        <f>IF(VLOOKUP(A232,'Delta Z Scores'!$A$1:$N$1541,14,FALSE)&gt;2,VLOOKUP(A232,'Delta Z Scores'!$A$1:$N$1541,13,FALSE)/VLOOKUP(A232,'Delta Z Scores'!$A$1:$N$1541,14,FALSE),"Not Enough Data")</f>
        <v>-0.22132641176756165</v>
      </c>
      <c r="G232">
        <f>IF(VLOOKUP(A232,'Forecast Z Scores'!$A$1:$N$1541,14,FALSE)&gt;2,VLOOKUP(A232,'Forecast Z Scores'!$A$1:$N$1541,13,FALSE)/VLOOKUP(A232,'Forecast Z Scores'!$A$1:$N$1541,14,FALSE),"Not Enough Data")</f>
        <v>-0.11573090721215309</v>
      </c>
      <c r="H232">
        <v>-6.3942587848023799E-2</v>
      </c>
    </row>
    <row r="233" spans="1:8" x14ac:dyDescent="0.35">
      <c r="A233" t="str">
        <f t="shared" si="3"/>
        <v>18097322000_2025</v>
      </c>
      <c r="B233">
        <v>18097322000</v>
      </c>
      <c r="C233">
        <v>2025</v>
      </c>
      <c r="E233">
        <f>-(IF(VLOOKUP(B233,'2023 Z Scores'!$A$1:$K$309,11,FALSE)&gt;2,VLOOKUP(B233,'2023 Z Scores'!$A$1:$K$309,10,FALSE)/VLOOKUP(B233,'2023 Z Scores'!$A$1:$K$309,11,FALSE),"Not Enough data"))</f>
        <v>0.30261337935518123</v>
      </c>
      <c r="F233">
        <f>IF(VLOOKUP(A233,'Delta Z Scores'!$A$1:$N$1541,14,FALSE)&gt;2,VLOOKUP(A233,'Delta Z Scores'!$A$1:$N$1541,13,FALSE)/VLOOKUP(A233,'Delta Z Scores'!$A$1:$N$1541,14,FALSE),"Not Enough Data")</f>
        <v>6.0882528689743323E-2</v>
      </c>
      <c r="G233">
        <f>IF(VLOOKUP(A233,'Forecast Z Scores'!$A$1:$N$1541,14,FALSE)&gt;2,VLOOKUP(A233,'Forecast Z Scores'!$A$1:$N$1541,13,FALSE)/VLOOKUP(A233,'Forecast Z Scores'!$A$1:$N$1541,14,FALSE),"Not Enough Data")</f>
        <v>-0.11352129514416334</v>
      </c>
      <c r="H233">
        <v>7.7714285397626134E-2</v>
      </c>
    </row>
    <row r="234" spans="1:8" x14ac:dyDescent="0.35">
      <c r="A234" t="str">
        <f t="shared" si="3"/>
        <v>18097322000_2026</v>
      </c>
      <c r="B234">
        <v>18097322000</v>
      </c>
      <c r="C234">
        <v>2026</v>
      </c>
      <c r="E234">
        <f>-(IF(VLOOKUP(B234,'2023 Z Scores'!$A$1:$K$309,11,FALSE)&gt;2,VLOOKUP(B234,'2023 Z Scores'!$A$1:$K$309,10,FALSE)/VLOOKUP(B234,'2023 Z Scores'!$A$1:$K$309,11,FALSE),"Not Enough data"))</f>
        <v>0.30261337935518123</v>
      </c>
      <c r="F234">
        <f>IF(VLOOKUP(A234,'Delta Z Scores'!$A$1:$N$1541,14,FALSE)&gt;2,VLOOKUP(A234,'Delta Z Scores'!$A$1:$N$1541,13,FALSE)/VLOOKUP(A234,'Delta Z Scores'!$A$1:$N$1541,14,FALSE),"Not Enough Data")</f>
        <v>3.9731693969738607E-2</v>
      </c>
      <c r="G234">
        <f>IF(VLOOKUP(A234,'Forecast Z Scores'!$A$1:$N$1541,14,FALSE)&gt;2,VLOOKUP(A234,'Forecast Z Scores'!$A$1:$N$1541,13,FALSE)/VLOOKUP(A234,'Forecast Z Scores'!$A$1:$N$1541,14,FALSE),"Not Enough Data")</f>
        <v>-0.11697936081256138</v>
      </c>
      <c r="H234">
        <v>6.6274351620524266E-2</v>
      </c>
    </row>
    <row r="235" spans="1:8" x14ac:dyDescent="0.35">
      <c r="A235" t="str">
        <f t="shared" si="3"/>
        <v>18097322000_2027</v>
      </c>
      <c r="B235">
        <v>18097322000</v>
      </c>
      <c r="C235">
        <v>2027</v>
      </c>
      <c r="E235">
        <f>-(IF(VLOOKUP(B235,'2023 Z Scores'!$A$1:$K$309,11,FALSE)&gt;2,VLOOKUP(B235,'2023 Z Scores'!$A$1:$K$309,10,FALSE)/VLOOKUP(B235,'2023 Z Scores'!$A$1:$K$309,11,FALSE),"Not Enough data"))</f>
        <v>0.30261337935518123</v>
      </c>
      <c r="F235">
        <f>IF(VLOOKUP(A235,'Delta Z Scores'!$A$1:$N$1541,14,FALSE)&gt;2,VLOOKUP(A235,'Delta Z Scores'!$A$1:$N$1541,13,FALSE)/VLOOKUP(A235,'Delta Z Scores'!$A$1:$N$1541,14,FALSE),"Not Enough Data")</f>
        <v>-6.1096717135086735E-2</v>
      </c>
      <c r="G235">
        <f>IF(VLOOKUP(A235,'Forecast Z Scores'!$A$1:$N$1541,14,FALSE)&gt;2,VLOOKUP(A235,'Forecast Z Scores'!$A$1:$N$1541,13,FALSE)/VLOOKUP(A235,'Forecast Z Scores'!$A$1:$N$1541,14,FALSE),"Not Enough Data")</f>
        <v>-0.13460517476806258</v>
      </c>
      <c r="H235">
        <v>1.1453692579236299E-2</v>
      </c>
    </row>
    <row r="236" spans="1:8" x14ac:dyDescent="0.35">
      <c r="A236" t="str">
        <f t="shared" si="3"/>
        <v>18097322000_2028</v>
      </c>
      <c r="B236">
        <v>18097322000</v>
      </c>
      <c r="C236">
        <v>2028</v>
      </c>
      <c r="E236">
        <f>-(IF(VLOOKUP(B236,'2023 Z Scores'!$A$1:$K$309,11,FALSE)&gt;2,VLOOKUP(B236,'2023 Z Scores'!$A$1:$K$309,10,FALSE)/VLOOKUP(B236,'2023 Z Scores'!$A$1:$K$309,11,FALSE),"Not Enough data"))</f>
        <v>0.30261337935518123</v>
      </c>
      <c r="F236">
        <f>IF(VLOOKUP(A236,'Delta Z Scores'!$A$1:$N$1541,14,FALSE)&gt;2,VLOOKUP(A236,'Delta Z Scores'!$A$1:$N$1541,13,FALSE)/VLOOKUP(A236,'Delta Z Scores'!$A$1:$N$1541,14,FALSE),"Not Enough Data")</f>
        <v>-0.16113654990958218</v>
      </c>
      <c r="G236">
        <f>IF(VLOOKUP(A236,'Forecast Z Scores'!$A$1:$N$1541,14,FALSE)&gt;2,VLOOKUP(A236,'Forecast Z Scores'!$A$1:$N$1541,13,FALSE)/VLOOKUP(A236,'Forecast Z Scores'!$A$1:$N$1541,14,FALSE),"Not Enough Data")</f>
        <v>-0.15500932838151865</v>
      </c>
      <c r="H236">
        <v>-4.3667262211375443E-2</v>
      </c>
    </row>
    <row r="237" spans="1:8" x14ac:dyDescent="0.35">
      <c r="A237" t="str">
        <f t="shared" si="3"/>
        <v>18097322100_2024</v>
      </c>
      <c r="B237">
        <v>18097322100</v>
      </c>
      <c r="C237">
        <v>2024</v>
      </c>
      <c r="E237">
        <f>-(IF(VLOOKUP(B237,'2023 Z Scores'!$A$1:$K$309,11,FALSE)&gt;2,VLOOKUP(B237,'2023 Z Scores'!$A$1:$K$309,10,FALSE)/VLOOKUP(B237,'2023 Z Scores'!$A$1:$K$309,11,FALSE),"Not Enough data"))</f>
        <v>-0.26235746309971258</v>
      </c>
      <c r="F237">
        <f>IF(VLOOKUP(A237,'Delta Z Scores'!$A$1:$N$1541,14,FALSE)&gt;2,VLOOKUP(A237,'Delta Z Scores'!$A$1:$N$1541,13,FALSE)/VLOOKUP(A237,'Delta Z Scores'!$A$1:$N$1541,14,FALSE),"Not Enough Data")</f>
        <v>-5.2370616180658275E-2</v>
      </c>
      <c r="G237">
        <f>IF(VLOOKUP(A237,'Forecast Z Scores'!$A$1:$N$1541,14,FALSE)&gt;2,VLOOKUP(A237,'Forecast Z Scores'!$A$1:$N$1541,13,FALSE)/VLOOKUP(A237,'Forecast Z Scores'!$A$1:$N$1541,14,FALSE),"Not Enough Data")</f>
        <v>0.2699365605760542</v>
      </c>
      <c r="H237">
        <v>-2.4290533721243734E-2</v>
      </c>
    </row>
    <row r="238" spans="1:8" x14ac:dyDescent="0.35">
      <c r="A238" t="str">
        <f t="shared" si="3"/>
        <v>18097322100_2025</v>
      </c>
      <c r="B238">
        <v>18097322100</v>
      </c>
      <c r="C238">
        <v>2025</v>
      </c>
      <c r="E238">
        <f>-(IF(VLOOKUP(B238,'2023 Z Scores'!$A$1:$K$309,11,FALSE)&gt;2,VLOOKUP(B238,'2023 Z Scores'!$A$1:$K$309,10,FALSE)/VLOOKUP(B238,'2023 Z Scores'!$A$1:$K$309,11,FALSE),"Not Enough data"))</f>
        <v>-0.26235746309971258</v>
      </c>
      <c r="F238">
        <f>IF(VLOOKUP(A238,'Delta Z Scores'!$A$1:$N$1541,14,FALSE)&gt;2,VLOOKUP(A238,'Delta Z Scores'!$A$1:$N$1541,13,FALSE)/VLOOKUP(A238,'Delta Z Scores'!$A$1:$N$1541,14,FALSE),"Not Enough Data")</f>
        <v>5.5843690495880352E-2</v>
      </c>
      <c r="G238">
        <f>IF(VLOOKUP(A238,'Forecast Z Scores'!$A$1:$N$1541,14,FALSE)&gt;2,VLOOKUP(A238,'Forecast Z Scores'!$A$1:$N$1541,13,FALSE)/VLOOKUP(A238,'Forecast Z Scores'!$A$1:$N$1541,14,FALSE),"Not Enough Data")</f>
        <v>0.31151975238402713</v>
      </c>
      <c r="H238">
        <v>4.0212417569018818E-2</v>
      </c>
    </row>
    <row r="239" spans="1:8" x14ac:dyDescent="0.35">
      <c r="A239" t="str">
        <f t="shared" si="3"/>
        <v>18097322100_2026</v>
      </c>
      <c r="B239">
        <v>18097322100</v>
      </c>
      <c r="C239">
        <v>2026</v>
      </c>
      <c r="E239">
        <f>-(IF(VLOOKUP(B239,'2023 Z Scores'!$A$1:$K$309,11,FALSE)&gt;2,VLOOKUP(B239,'2023 Z Scores'!$A$1:$K$309,10,FALSE)/VLOOKUP(B239,'2023 Z Scores'!$A$1:$K$309,11,FALSE),"Not Enough data"))</f>
        <v>-0.26235746309971258</v>
      </c>
      <c r="F239">
        <f>IF(VLOOKUP(A239,'Delta Z Scores'!$A$1:$N$1541,14,FALSE)&gt;2,VLOOKUP(A239,'Delta Z Scores'!$A$1:$N$1541,13,FALSE)/VLOOKUP(A239,'Delta Z Scores'!$A$1:$N$1541,14,FALSE),"Not Enough Data")</f>
        <v>-0.14045539837434154</v>
      </c>
      <c r="G239">
        <f>IF(VLOOKUP(A239,'Forecast Z Scores'!$A$1:$N$1541,14,FALSE)&gt;2,VLOOKUP(A239,'Forecast Z Scores'!$A$1:$N$1541,13,FALSE)/VLOOKUP(A239,'Forecast Z Scores'!$A$1:$N$1541,14,FALSE),"Not Enough Data")</f>
        <v>0.3364935227294078</v>
      </c>
      <c r="H239">
        <v>-5.1693684279746965E-2</v>
      </c>
    </row>
    <row r="240" spans="1:8" x14ac:dyDescent="0.35">
      <c r="A240" t="str">
        <f t="shared" si="3"/>
        <v>18097322100_2027</v>
      </c>
      <c r="B240">
        <v>18097322100</v>
      </c>
      <c r="C240">
        <v>2027</v>
      </c>
      <c r="E240">
        <f>-(IF(VLOOKUP(B240,'2023 Z Scores'!$A$1:$K$309,11,FALSE)&gt;2,VLOOKUP(B240,'2023 Z Scores'!$A$1:$K$309,10,FALSE)/VLOOKUP(B240,'2023 Z Scores'!$A$1:$K$309,11,FALSE),"Not Enough data"))</f>
        <v>-0.26235746309971258</v>
      </c>
      <c r="F240">
        <f>IF(VLOOKUP(A240,'Delta Z Scores'!$A$1:$N$1541,14,FALSE)&gt;2,VLOOKUP(A240,'Delta Z Scores'!$A$1:$N$1541,13,FALSE)/VLOOKUP(A240,'Delta Z Scores'!$A$1:$N$1541,14,FALSE),"Not Enough Data")</f>
        <v>-2.5363351960793271E-2</v>
      </c>
      <c r="G240">
        <f>IF(VLOOKUP(A240,'Forecast Z Scores'!$A$1:$N$1541,14,FALSE)&gt;2,VLOOKUP(A240,'Forecast Z Scores'!$A$1:$N$1541,13,FALSE)/VLOOKUP(A240,'Forecast Z Scores'!$A$1:$N$1541,14,FALSE),"Not Enough Data")</f>
        <v>0.37413888451488408</v>
      </c>
      <c r="H240">
        <v>1.5263679373396247E-2</v>
      </c>
    </row>
    <row r="241" spans="1:8" x14ac:dyDescent="0.35">
      <c r="A241" t="str">
        <f t="shared" si="3"/>
        <v>18097322100_2028</v>
      </c>
      <c r="B241">
        <v>18097322100</v>
      </c>
      <c r="C241">
        <v>2028</v>
      </c>
      <c r="E241">
        <f>-(IF(VLOOKUP(B241,'2023 Z Scores'!$A$1:$K$309,11,FALSE)&gt;2,VLOOKUP(B241,'2023 Z Scores'!$A$1:$K$309,10,FALSE)/VLOOKUP(B241,'2023 Z Scores'!$A$1:$K$309,11,FALSE),"Not Enough data"))</f>
        <v>-0.26235746309971258</v>
      </c>
      <c r="F241">
        <f>IF(VLOOKUP(A241,'Delta Z Scores'!$A$1:$N$1541,14,FALSE)&gt;2,VLOOKUP(A241,'Delta Z Scores'!$A$1:$N$1541,13,FALSE)/VLOOKUP(A241,'Delta Z Scores'!$A$1:$N$1541,14,FALSE),"Not Enough Data")</f>
        <v>-0.13601122967355173</v>
      </c>
      <c r="G241">
        <f>IF(VLOOKUP(A241,'Forecast Z Scores'!$A$1:$N$1541,14,FALSE)&gt;2,VLOOKUP(A241,'Forecast Z Scores'!$A$1:$N$1541,13,FALSE)/VLOOKUP(A241,'Forecast Z Scores'!$A$1:$N$1541,14,FALSE),"Not Enough Data")</f>
        <v>0.40550954133514405</v>
      </c>
      <c r="H241">
        <v>-3.2217595277917996E-2</v>
      </c>
    </row>
    <row r="242" spans="1:8" x14ac:dyDescent="0.35">
      <c r="A242" t="str">
        <f t="shared" si="3"/>
        <v>18097322200_2024</v>
      </c>
      <c r="B242">
        <v>18097322200</v>
      </c>
      <c r="C242">
        <v>2024</v>
      </c>
      <c r="E242">
        <f>-(IF(VLOOKUP(B242,'2023 Z Scores'!$A$1:$K$309,11,FALSE)&gt;2,VLOOKUP(B242,'2023 Z Scores'!$A$1:$K$309,10,FALSE)/VLOOKUP(B242,'2023 Z Scores'!$A$1:$K$309,11,FALSE),"Not Enough data"))</f>
        <v>-0.58851324938387217</v>
      </c>
      <c r="F242">
        <f>IF(VLOOKUP(A242,'Delta Z Scores'!$A$1:$N$1541,14,FALSE)&gt;2,VLOOKUP(A242,'Delta Z Scores'!$A$1:$N$1541,13,FALSE)/VLOOKUP(A242,'Delta Z Scores'!$A$1:$N$1541,14,FALSE),"Not Enough Data")</f>
        <v>-8.8923895515983009E-2</v>
      </c>
      <c r="G242">
        <f>IF(VLOOKUP(A242,'Forecast Z Scores'!$A$1:$N$1541,14,FALSE)&gt;2,VLOOKUP(A242,'Forecast Z Scores'!$A$1:$N$1541,13,FALSE)/VLOOKUP(A242,'Forecast Z Scores'!$A$1:$N$1541,14,FALSE),"Not Enough Data")</f>
        <v>0.36032102294893936</v>
      </c>
      <c r="H242">
        <v>-0.10151000436672471</v>
      </c>
    </row>
    <row r="243" spans="1:8" x14ac:dyDescent="0.35">
      <c r="A243" t="str">
        <f t="shared" si="3"/>
        <v>18097322200_2025</v>
      </c>
      <c r="B243">
        <v>18097322200</v>
      </c>
      <c r="C243">
        <v>2025</v>
      </c>
      <c r="E243">
        <f>-(IF(VLOOKUP(B243,'2023 Z Scores'!$A$1:$K$309,11,FALSE)&gt;2,VLOOKUP(B243,'2023 Z Scores'!$A$1:$K$309,10,FALSE)/VLOOKUP(B243,'2023 Z Scores'!$A$1:$K$309,11,FALSE),"Not Enough data"))</f>
        <v>-0.58851324938387217</v>
      </c>
      <c r="F243">
        <f>IF(VLOOKUP(A243,'Delta Z Scores'!$A$1:$N$1541,14,FALSE)&gt;2,VLOOKUP(A243,'Delta Z Scores'!$A$1:$N$1541,13,FALSE)/VLOOKUP(A243,'Delta Z Scores'!$A$1:$N$1541,14,FALSE),"Not Enough Data")</f>
        <v>0.1111118624347267</v>
      </c>
      <c r="G243">
        <f>IF(VLOOKUP(A243,'Forecast Z Scores'!$A$1:$N$1541,14,FALSE)&gt;2,VLOOKUP(A243,'Forecast Z Scores'!$A$1:$N$1541,13,FALSE)/VLOOKUP(A243,'Forecast Z Scores'!$A$1:$N$1541,14,FALSE),"Not Enough Data")</f>
        <v>0.39259936722419608</v>
      </c>
      <c r="H243">
        <v>6.5774606774443301E-3</v>
      </c>
    </row>
    <row r="244" spans="1:8" x14ac:dyDescent="0.35">
      <c r="A244" t="str">
        <f t="shared" si="3"/>
        <v>18097322200_2026</v>
      </c>
      <c r="B244">
        <v>18097322200</v>
      </c>
      <c r="C244">
        <v>2026</v>
      </c>
      <c r="E244">
        <f>-(IF(VLOOKUP(B244,'2023 Z Scores'!$A$1:$K$309,11,FALSE)&gt;2,VLOOKUP(B244,'2023 Z Scores'!$A$1:$K$309,10,FALSE)/VLOOKUP(B244,'2023 Z Scores'!$A$1:$K$309,11,FALSE),"Not Enough data"))</f>
        <v>-0.58851324938387217</v>
      </c>
      <c r="F244">
        <f>IF(VLOOKUP(A244,'Delta Z Scores'!$A$1:$N$1541,14,FALSE)&gt;2,VLOOKUP(A244,'Delta Z Scores'!$A$1:$N$1541,13,FALSE)/VLOOKUP(A244,'Delta Z Scores'!$A$1:$N$1541,14,FALSE),"Not Enough Data")</f>
        <v>-6.0158718175556229E-2</v>
      </c>
      <c r="G244">
        <f>IF(VLOOKUP(A244,'Forecast Z Scores'!$A$1:$N$1541,14,FALSE)&gt;2,VLOOKUP(A244,'Forecast Z Scores'!$A$1:$N$1541,13,FALSE)/VLOOKUP(A244,'Forecast Z Scores'!$A$1:$N$1541,14,FALSE),"Not Enough Data")</f>
        <v>0.4166116559561191</v>
      </c>
      <c r="H244">
        <v>-7.3054757444716387E-2</v>
      </c>
    </row>
    <row r="245" spans="1:8" x14ac:dyDescent="0.35">
      <c r="A245" t="str">
        <f t="shared" si="3"/>
        <v>18097322200_2027</v>
      </c>
      <c r="B245">
        <v>18097322200</v>
      </c>
      <c r="C245">
        <v>2027</v>
      </c>
      <c r="E245">
        <f>-(IF(VLOOKUP(B245,'2023 Z Scores'!$A$1:$K$309,11,FALSE)&gt;2,VLOOKUP(B245,'2023 Z Scores'!$A$1:$K$309,10,FALSE)/VLOOKUP(B245,'2023 Z Scores'!$A$1:$K$309,11,FALSE),"Not Enough data"))</f>
        <v>-0.58851324938387217</v>
      </c>
      <c r="F245">
        <f>IF(VLOOKUP(A245,'Delta Z Scores'!$A$1:$N$1541,14,FALSE)&gt;2,VLOOKUP(A245,'Delta Z Scores'!$A$1:$N$1541,13,FALSE)/VLOOKUP(A245,'Delta Z Scores'!$A$1:$N$1541,14,FALSE),"Not Enough Data")</f>
        <v>7.6563505788093095E-2</v>
      </c>
      <c r="G245">
        <f>IF(VLOOKUP(A245,'Forecast Z Scores'!$A$1:$N$1541,14,FALSE)&gt;2,VLOOKUP(A245,'Forecast Z Scores'!$A$1:$N$1541,13,FALSE)/VLOOKUP(A245,'Forecast Z Scores'!$A$1:$N$1541,14,FALSE),"Not Enough Data")</f>
        <v>0.45261205263084542</v>
      </c>
      <c r="H245">
        <v>4.3064537057898589E-3</v>
      </c>
    </row>
    <row r="246" spans="1:8" x14ac:dyDescent="0.35">
      <c r="A246" t="str">
        <f t="shared" si="3"/>
        <v>18097322200_2028</v>
      </c>
      <c r="B246">
        <v>18097322200</v>
      </c>
      <c r="C246">
        <v>2028</v>
      </c>
      <c r="E246">
        <f>-(IF(VLOOKUP(B246,'2023 Z Scores'!$A$1:$K$309,11,FALSE)&gt;2,VLOOKUP(B246,'2023 Z Scores'!$A$1:$K$309,10,FALSE)/VLOOKUP(B246,'2023 Z Scores'!$A$1:$K$309,11,FALSE),"Not Enough data"))</f>
        <v>-0.58851324938387217</v>
      </c>
      <c r="F246">
        <f>IF(VLOOKUP(A246,'Delta Z Scores'!$A$1:$N$1541,14,FALSE)&gt;2,VLOOKUP(A246,'Delta Z Scores'!$A$1:$N$1541,13,FALSE)/VLOOKUP(A246,'Delta Z Scores'!$A$1:$N$1541,14,FALSE),"Not Enough Data")</f>
        <v>-3.573650755743811E-2</v>
      </c>
      <c r="G246">
        <f>IF(VLOOKUP(A246,'Forecast Z Scores'!$A$1:$N$1541,14,FALSE)&gt;2,VLOOKUP(A246,'Forecast Z Scores'!$A$1:$N$1541,13,FALSE)/VLOOKUP(A246,'Forecast Z Scores'!$A$1:$N$1541,14,FALSE),"Not Enough Data")</f>
        <v>0.48035407261659241</v>
      </c>
      <c r="H246">
        <v>-4.4908047970538989E-2</v>
      </c>
    </row>
    <row r="247" spans="1:8" x14ac:dyDescent="0.35">
      <c r="A247" t="str">
        <f t="shared" si="3"/>
        <v>18097322300_2024</v>
      </c>
      <c r="B247">
        <v>18097322300</v>
      </c>
      <c r="C247">
        <v>2024</v>
      </c>
      <c r="E247">
        <f>-(IF(VLOOKUP(B247,'2023 Z Scores'!$A$1:$K$309,11,FALSE)&gt;2,VLOOKUP(B247,'2023 Z Scores'!$A$1:$K$309,10,FALSE)/VLOOKUP(B247,'2023 Z Scores'!$A$1:$K$309,11,FALSE),"Not Enough data"))</f>
        <v>-0.46452620488372792</v>
      </c>
      <c r="F247">
        <f>IF(VLOOKUP(A247,'Delta Z Scores'!$A$1:$N$1541,14,FALSE)&gt;2,VLOOKUP(A247,'Delta Z Scores'!$A$1:$N$1541,13,FALSE)/VLOOKUP(A247,'Delta Z Scores'!$A$1:$N$1541,14,FALSE),"Not Enough Data")</f>
        <v>-0.14191241180386366</v>
      </c>
      <c r="G247">
        <f>IF(VLOOKUP(A247,'Forecast Z Scores'!$A$1:$N$1541,14,FALSE)&gt;2,VLOOKUP(A247,'Forecast Z Scores'!$A$1:$N$1541,13,FALSE)/VLOOKUP(A247,'Forecast Z Scores'!$A$1:$N$1541,14,FALSE),"Not Enough Data")</f>
        <v>0.48929947524783995</v>
      </c>
      <c r="H247">
        <v>-6.4762888310903821E-2</v>
      </c>
    </row>
    <row r="248" spans="1:8" x14ac:dyDescent="0.35">
      <c r="A248" t="str">
        <f t="shared" si="3"/>
        <v>18097322300_2025</v>
      </c>
      <c r="B248">
        <v>18097322300</v>
      </c>
      <c r="C248">
        <v>2025</v>
      </c>
      <c r="E248">
        <f>-(IF(VLOOKUP(B248,'2023 Z Scores'!$A$1:$K$309,11,FALSE)&gt;2,VLOOKUP(B248,'2023 Z Scores'!$A$1:$K$309,10,FALSE)/VLOOKUP(B248,'2023 Z Scores'!$A$1:$K$309,11,FALSE),"Not Enough data"))</f>
        <v>-0.46452620488372792</v>
      </c>
      <c r="F248">
        <f>IF(VLOOKUP(A248,'Delta Z Scores'!$A$1:$N$1541,14,FALSE)&gt;2,VLOOKUP(A248,'Delta Z Scores'!$A$1:$N$1541,13,FALSE)/VLOOKUP(A248,'Delta Z Scores'!$A$1:$N$1541,14,FALSE),"Not Enough Data")</f>
        <v>-0.48009657505535241</v>
      </c>
      <c r="G248">
        <f>IF(VLOOKUP(A248,'Forecast Z Scores'!$A$1:$N$1541,14,FALSE)&gt;2,VLOOKUP(A248,'Forecast Z Scores'!$A$1:$N$1541,13,FALSE)/VLOOKUP(A248,'Forecast Z Scores'!$A$1:$N$1541,14,FALSE),"Not Enough Data")</f>
        <v>0.43211701738115255</v>
      </c>
      <c r="H248">
        <v>-0.24815058440332005</v>
      </c>
    </row>
    <row r="249" spans="1:8" x14ac:dyDescent="0.35">
      <c r="A249" t="str">
        <f t="shared" si="3"/>
        <v>18097322300_2026</v>
      </c>
      <c r="B249">
        <v>18097322300</v>
      </c>
      <c r="C249">
        <v>2026</v>
      </c>
      <c r="E249">
        <f>-(IF(VLOOKUP(B249,'2023 Z Scores'!$A$1:$K$309,11,FALSE)&gt;2,VLOOKUP(B249,'2023 Z Scores'!$A$1:$K$309,10,FALSE)/VLOOKUP(B249,'2023 Z Scores'!$A$1:$K$309,11,FALSE),"Not Enough data"))</f>
        <v>-0.46452620488372792</v>
      </c>
      <c r="F249">
        <f>IF(VLOOKUP(A249,'Delta Z Scores'!$A$1:$N$1541,14,FALSE)&gt;2,VLOOKUP(A249,'Delta Z Scores'!$A$1:$N$1541,13,FALSE)/VLOOKUP(A249,'Delta Z Scores'!$A$1:$N$1541,14,FALSE),"Not Enough Data")</f>
        <v>-0.25263940841404814</v>
      </c>
      <c r="G249">
        <f>IF(VLOOKUP(A249,'Forecast Z Scores'!$A$1:$N$1541,14,FALSE)&gt;2,VLOOKUP(A249,'Forecast Z Scores'!$A$1:$N$1541,13,FALSE)/VLOOKUP(A249,'Forecast Z Scores'!$A$1:$N$1541,14,FALSE),"Not Enough Data")</f>
        <v>0.4347947895063084</v>
      </c>
      <c r="H249">
        <v>-0.13375255805137895</v>
      </c>
    </row>
    <row r="250" spans="1:8" x14ac:dyDescent="0.35">
      <c r="A250" t="str">
        <f t="shared" si="3"/>
        <v>18097322300_2027</v>
      </c>
      <c r="B250">
        <v>18097322300</v>
      </c>
      <c r="C250">
        <v>2027</v>
      </c>
      <c r="E250">
        <f>-(IF(VLOOKUP(B250,'2023 Z Scores'!$A$1:$K$309,11,FALSE)&gt;2,VLOOKUP(B250,'2023 Z Scores'!$A$1:$K$309,10,FALSE)/VLOOKUP(B250,'2023 Z Scores'!$A$1:$K$309,11,FALSE),"Not Enough data"))</f>
        <v>-0.46452620488372792</v>
      </c>
      <c r="F250">
        <f>IF(VLOOKUP(A250,'Delta Z Scores'!$A$1:$N$1541,14,FALSE)&gt;2,VLOOKUP(A250,'Delta Z Scores'!$A$1:$N$1541,13,FALSE)/VLOOKUP(A250,'Delta Z Scores'!$A$1:$N$1541,14,FALSE),"Not Enough Data")</f>
        <v>-0.13838723989536725</v>
      </c>
      <c r="G250">
        <f>IF(VLOOKUP(A250,'Forecast Z Scores'!$A$1:$N$1541,14,FALSE)&gt;2,VLOOKUP(A250,'Forecast Z Scores'!$A$1:$N$1541,13,FALSE)/VLOOKUP(A250,'Forecast Z Scores'!$A$1:$N$1541,14,FALSE),"Not Enough Data")</f>
        <v>0.45178692949381738</v>
      </c>
      <c r="H250">
        <v>-7.237843879516126E-2</v>
      </c>
    </row>
    <row r="251" spans="1:8" x14ac:dyDescent="0.35">
      <c r="A251" t="str">
        <f t="shared" si="3"/>
        <v>18097322300_2028</v>
      </c>
      <c r="B251">
        <v>18097322300</v>
      </c>
      <c r="C251">
        <v>2028</v>
      </c>
      <c r="E251">
        <f>-(IF(VLOOKUP(B251,'2023 Z Scores'!$A$1:$K$309,11,FALSE)&gt;2,VLOOKUP(B251,'2023 Z Scores'!$A$1:$K$309,10,FALSE)/VLOOKUP(B251,'2023 Z Scores'!$A$1:$K$309,11,FALSE),"Not Enough data"))</f>
        <v>-0.46452620488372792</v>
      </c>
      <c r="F251">
        <f>IF(VLOOKUP(A251,'Delta Z Scores'!$A$1:$N$1541,14,FALSE)&gt;2,VLOOKUP(A251,'Delta Z Scores'!$A$1:$N$1541,13,FALSE)/VLOOKUP(A251,'Delta Z Scores'!$A$1:$N$1541,14,FALSE),"Not Enough Data")</f>
        <v>-0.40670196958173088</v>
      </c>
      <c r="G251">
        <f>IF(VLOOKUP(A251,'Forecast Z Scores'!$A$1:$N$1541,14,FALSE)&gt;2,VLOOKUP(A251,'Forecast Z Scores'!$A$1:$N$1541,13,FALSE)/VLOOKUP(A251,'Forecast Z Scores'!$A$1:$N$1541,14,FALSE),"Not Enough Data")</f>
        <v>0.40346261493883995</v>
      </c>
      <c r="H251">
        <v>-0.21861688227708742</v>
      </c>
    </row>
    <row r="252" spans="1:8" x14ac:dyDescent="0.35">
      <c r="A252" t="str">
        <f t="shared" si="3"/>
        <v>18097322400_2024</v>
      </c>
      <c r="B252">
        <v>18097322400</v>
      </c>
      <c r="C252">
        <v>2024</v>
      </c>
      <c r="E252">
        <f>-(IF(VLOOKUP(B252,'2023 Z Scores'!$A$1:$K$309,11,FALSE)&gt;2,VLOOKUP(B252,'2023 Z Scores'!$A$1:$K$309,10,FALSE)/VLOOKUP(B252,'2023 Z Scores'!$A$1:$K$309,11,FALSE),"Not Enough data"))</f>
        <v>-0.33200756370970386</v>
      </c>
      <c r="F252">
        <f>IF(VLOOKUP(A252,'Delta Z Scores'!$A$1:$N$1541,14,FALSE)&gt;2,VLOOKUP(A252,'Delta Z Scores'!$A$1:$N$1541,13,FALSE)/VLOOKUP(A252,'Delta Z Scores'!$A$1:$N$1541,14,FALSE),"Not Enough Data")</f>
        <v>1.4226510839244566E-2</v>
      </c>
      <c r="G252">
        <f>IF(VLOOKUP(A252,'Forecast Z Scores'!$A$1:$N$1541,14,FALSE)&gt;2,VLOOKUP(A252,'Forecast Z Scores'!$A$1:$N$1541,13,FALSE)/VLOOKUP(A252,'Forecast Z Scores'!$A$1:$N$1541,14,FALSE),"Not Enough Data")</f>
        <v>0.34869227492039701</v>
      </c>
      <c r="H252">
        <v>1.1284433222295567E-2</v>
      </c>
    </row>
    <row r="253" spans="1:8" x14ac:dyDescent="0.35">
      <c r="A253" t="str">
        <f t="shared" si="3"/>
        <v>18097322400_2025</v>
      </c>
      <c r="B253">
        <v>18097322400</v>
      </c>
      <c r="C253">
        <v>2025</v>
      </c>
      <c r="E253">
        <f>-(IF(VLOOKUP(B253,'2023 Z Scores'!$A$1:$K$309,11,FALSE)&gt;2,VLOOKUP(B253,'2023 Z Scores'!$A$1:$K$309,10,FALSE)/VLOOKUP(B253,'2023 Z Scores'!$A$1:$K$309,11,FALSE),"Not Enough data"))</f>
        <v>-0.33200756370970386</v>
      </c>
      <c r="F253">
        <f>IF(VLOOKUP(A253,'Delta Z Scores'!$A$1:$N$1541,14,FALSE)&gt;2,VLOOKUP(A253,'Delta Z Scores'!$A$1:$N$1541,13,FALSE)/VLOOKUP(A253,'Delta Z Scores'!$A$1:$N$1541,14,FALSE),"Not Enough Data")</f>
        <v>0.28893646199288375</v>
      </c>
      <c r="G253">
        <f>IF(VLOOKUP(A253,'Forecast Z Scores'!$A$1:$N$1541,14,FALSE)&gt;2,VLOOKUP(A253,'Forecast Z Scores'!$A$1:$N$1541,13,FALSE)/VLOOKUP(A253,'Forecast Z Scores'!$A$1:$N$1541,14,FALSE),"Not Enough Data")</f>
        <v>0.39548616122539887</v>
      </c>
      <c r="H253">
        <v>0.16033788037536564</v>
      </c>
    </row>
    <row r="254" spans="1:8" x14ac:dyDescent="0.35">
      <c r="A254" t="str">
        <f t="shared" si="3"/>
        <v>18097322400_2026</v>
      </c>
      <c r="B254">
        <v>18097322400</v>
      </c>
      <c r="C254">
        <v>2026</v>
      </c>
      <c r="E254">
        <f>-(IF(VLOOKUP(B254,'2023 Z Scores'!$A$1:$K$309,11,FALSE)&gt;2,VLOOKUP(B254,'2023 Z Scores'!$A$1:$K$309,10,FALSE)/VLOOKUP(B254,'2023 Z Scores'!$A$1:$K$309,11,FALSE),"Not Enough data"))</f>
        <v>-0.33200756370970386</v>
      </c>
      <c r="F254">
        <f>IF(VLOOKUP(A254,'Delta Z Scores'!$A$1:$N$1541,14,FALSE)&gt;2,VLOOKUP(A254,'Delta Z Scores'!$A$1:$N$1541,13,FALSE)/VLOOKUP(A254,'Delta Z Scores'!$A$1:$N$1541,14,FALSE),"Not Enough Data")</f>
        <v>5.9163530411513551E-2</v>
      </c>
      <c r="G254">
        <f>IF(VLOOKUP(A254,'Forecast Z Scores'!$A$1:$N$1541,14,FALSE)&gt;2,VLOOKUP(A254,'Forecast Z Scores'!$A$1:$N$1541,13,FALSE)/VLOOKUP(A254,'Forecast Z Scores'!$A$1:$N$1541,14,FALSE),"Not Enough Data")</f>
        <v>0.41172200522740426</v>
      </c>
      <c r="H254">
        <v>4.9510375585181871E-2</v>
      </c>
    </row>
    <row r="255" spans="1:8" x14ac:dyDescent="0.35">
      <c r="A255" t="str">
        <f t="shared" si="3"/>
        <v>18097322400_2027</v>
      </c>
      <c r="B255">
        <v>18097322400</v>
      </c>
      <c r="C255">
        <v>2027</v>
      </c>
      <c r="E255">
        <f>-(IF(VLOOKUP(B255,'2023 Z Scores'!$A$1:$K$309,11,FALSE)&gt;2,VLOOKUP(B255,'2023 Z Scores'!$A$1:$K$309,10,FALSE)/VLOOKUP(B255,'2023 Z Scores'!$A$1:$K$309,11,FALSE),"Not Enough data"))</f>
        <v>-0.33200756370970386</v>
      </c>
      <c r="F255">
        <f>IF(VLOOKUP(A255,'Delta Z Scores'!$A$1:$N$1541,14,FALSE)&gt;2,VLOOKUP(A255,'Delta Z Scores'!$A$1:$N$1541,13,FALSE)/VLOOKUP(A255,'Delta Z Scores'!$A$1:$N$1541,14,FALSE),"Not Enough Data")</f>
        <v>0.18794081867584173</v>
      </c>
      <c r="G255">
        <f>IF(VLOOKUP(A255,'Forecast Z Scores'!$A$1:$N$1541,14,FALSE)&gt;2,VLOOKUP(A255,'Forecast Z Scores'!$A$1:$N$1541,13,FALSE)/VLOOKUP(A255,'Forecast Z Scores'!$A$1:$N$1541,14,FALSE),"Not Enough Data")</f>
        <v>0.43961102041235267</v>
      </c>
      <c r="H255">
        <v>0.12087127351358307</v>
      </c>
    </row>
    <row r="256" spans="1:8" x14ac:dyDescent="0.35">
      <c r="A256" t="str">
        <f t="shared" si="3"/>
        <v>18097322400_2028</v>
      </c>
      <c r="B256">
        <v>18097322400</v>
      </c>
      <c r="C256">
        <v>2028</v>
      </c>
      <c r="E256">
        <f>-(IF(VLOOKUP(B256,'2023 Z Scores'!$A$1:$K$309,11,FALSE)&gt;2,VLOOKUP(B256,'2023 Z Scores'!$A$1:$K$309,10,FALSE)/VLOOKUP(B256,'2023 Z Scores'!$A$1:$K$309,11,FALSE),"Not Enough data"))</f>
        <v>-0.33200756370970386</v>
      </c>
      <c r="F256">
        <f>IF(VLOOKUP(A256,'Delta Z Scores'!$A$1:$N$1541,14,FALSE)&gt;2,VLOOKUP(A256,'Delta Z Scores'!$A$1:$N$1541,13,FALSE)/VLOOKUP(A256,'Delta Z Scores'!$A$1:$N$1541,14,FALSE),"Not Enough Data")</f>
        <v>6.5367874962697359E-2</v>
      </c>
      <c r="G256">
        <f>IF(VLOOKUP(A256,'Forecast Z Scores'!$A$1:$N$1541,14,FALSE)&gt;2,VLOOKUP(A256,'Forecast Z Scores'!$A$1:$N$1541,13,FALSE)/VLOOKUP(A256,'Forecast Z Scores'!$A$1:$N$1541,14,FALSE),"Not Enough Data")</f>
        <v>0.46111162272053274</v>
      </c>
      <c r="H256">
        <v>6.4959952234055901E-2</v>
      </c>
    </row>
    <row r="257" spans="1:8" x14ac:dyDescent="0.35">
      <c r="A257" t="str">
        <f t="shared" si="3"/>
        <v>18097322500_2024</v>
      </c>
      <c r="B257">
        <v>18097322500</v>
      </c>
      <c r="C257">
        <v>2024</v>
      </c>
      <c r="E257">
        <f>-(IF(VLOOKUP(B257,'2023 Z Scores'!$A$1:$K$309,11,FALSE)&gt;2,VLOOKUP(B257,'2023 Z Scores'!$A$1:$K$309,10,FALSE)/VLOOKUP(B257,'2023 Z Scores'!$A$1:$K$309,11,FALSE),"Not Enough data"))</f>
        <v>0.29407241317494487</v>
      </c>
      <c r="F257">
        <f>IF(VLOOKUP(A257,'Delta Z Scores'!$A$1:$N$1541,14,FALSE)&gt;2,VLOOKUP(A257,'Delta Z Scores'!$A$1:$N$1541,13,FALSE)/VLOOKUP(A257,'Delta Z Scores'!$A$1:$N$1541,14,FALSE),"Not Enough Data")</f>
        <v>8.912969212483203E-2</v>
      </c>
      <c r="G257">
        <f>IF(VLOOKUP(A257,'Forecast Z Scores'!$A$1:$N$1541,14,FALSE)&gt;2,VLOOKUP(A257,'Forecast Z Scores'!$A$1:$N$1541,13,FALSE)/VLOOKUP(A257,'Forecast Z Scores'!$A$1:$N$1541,14,FALSE),"Not Enough Data")</f>
        <v>-0.10949552465005752</v>
      </c>
      <c r="H257">
        <v>9.070906819363786E-2</v>
      </c>
    </row>
    <row r="258" spans="1:8" x14ac:dyDescent="0.35">
      <c r="A258" t="str">
        <f t="shared" si="3"/>
        <v>18097322500_2025</v>
      </c>
      <c r="B258">
        <v>18097322500</v>
      </c>
      <c r="C258">
        <v>2025</v>
      </c>
      <c r="E258">
        <f>-(IF(VLOOKUP(B258,'2023 Z Scores'!$A$1:$K$309,11,FALSE)&gt;2,VLOOKUP(B258,'2023 Z Scores'!$A$1:$K$309,10,FALSE)/VLOOKUP(B258,'2023 Z Scores'!$A$1:$K$309,11,FALSE),"Not Enough data"))</f>
        <v>0.29407241317494487</v>
      </c>
      <c r="F258">
        <f>IF(VLOOKUP(A258,'Delta Z Scores'!$A$1:$N$1541,14,FALSE)&gt;2,VLOOKUP(A258,'Delta Z Scores'!$A$1:$N$1541,13,FALSE)/VLOOKUP(A258,'Delta Z Scores'!$A$1:$N$1541,14,FALSE),"Not Enough Data")</f>
        <v>6.0330156453513195E-2</v>
      </c>
      <c r="G258">
        <f>IF(VLOOKUP(A258,'Forecast Z Scores'!$A$1:$N$1541,14,FALSE)&gt;2,VLOOKUP(A258,'Forecast Z Scores'!$A$1:$N$1541,13,FALSE)/VLOOKUP(A258,'Forecast Z Scores'!$A$1:$N$1541,14,FALSE),"Not Enough Data")</f>
        <v>-9.3985190990510961E-2</v>
      </c>
      <c r="H258">
        <v>8.0186883772865078E-2</v>
      </c>
    </row>
    <row r="259" spans="1:8" x14ac:dyDescent="0.35">
      <c r="A259" t="str">
        <f t="shared" ref="A259:A322" si="4">TEXT(B259,0)&amp;"_"&amp;TEXT(C259,0)</f>
        <v>18097322500_2026</v>
      </c>
      <c r="B259">
        <v>18097322500</v>
      </c>
      <c r="C259">
        <v>2026</v>
      </c>
      <c r="E259">
        <f>-(IF(VLOOKUP(B259,'2023 Z Scores'!$A$1:$K$309,11,FALSE)&gt;2,VLOOKUP(B259,'2023 Z Scores'!$A$1:$K$309,10,FALSE)/VLOOKUP(B259,'2023 Z Scores'!$A$1:$K$309,11,FALSE),"Not Enough data"))</f>
        <v>0.29407241317494487</v>
      </c>
      <c r="F259">
        <f>IF(VLOOKUP(A259,'Delta Z Scores'!$A$1:$N$1541,14,FALSE)&gt;2,VLOOKUP(A259,'Delta Z Scores'!$A$1:$N$1541,13,FALSE)/VLOOKUP(A259,'Delta Z Scores'!$A$1:$N$1541,14,FALSE),"Not Enough Data")</f>
        <v>-0.15406183583267569</v>
      </c>
      <c r="G259">
        <f>IF(VLOOKUP(A259,'Forecast Z Scores'!$A$1:$N$1541,14,FALSE)&gt;2,VLOOKUP(A259,'Forecast Z Scores'!$A$1:$N$1541,13,FALSE)/VLOOKUP(A259,'Forecast Z Scores'!$A$1:$N$1541,14,FALSE),"Not Enough Data")</f>
        <v>-8.5066109839026849E-2</v>
      </c>
      <c r="H259">
        <v>-2.4779342082358338E-2</v>
      </c>
    </row>
    <row r="260" spans="1:8" x14ac:dyDescent="0.35">
      <c r="A260" t="str">
        <f t="shared" si="4"/>
        <v>18097322500_2027</v>
      </c>
      <c r="B260">
        <v>18097322500</v>
      </c>
      <c r="C260">
        <v>2027</v>
      </c>
      <c r="E260">
        <f>-(IF(VLOOKUP(B260,'2023 Z Scores'!$A$1:$K$309,11,FALSE)&gt;2,VLOOKUP(B260,'2023 Z Scores'!$A$1:$K$309,10,FALSE)/VLOOKUP(B260,'2023 Z Scores'!$A$1:$K$309,11,FALSE),"Not Enough data"))</f>
        <v>0.29407241317494487</v>
      </c>
      <c r="F260">
        <f>IF(VLOOKUP(A260,'Delta Z Scores'!$A$1:$N$1541,14,FALSE)&gt;2,VLOOKUP(A260,'Delta Z Scores'!$A$1:$N$1541,13,FALSE)/VLOOKUP(A260,'Delta Z Scores'!$A$1:$N$1541,14,FALSE),"Not Enough Data")</f>
        <v>-4.1071870576712133E-2</v>
      </c>
      <c r="G260">
        <f>IF(VLOOKUP(A260,'Forecast Z Scores'!$A$1:$N$1541,14,FALSE)&gt;2,VLOOKUP(A260,'Forecast Z Scores'!$A$1:$N$1541,13,FALSE)/VLOOKUP(A260,'Forecast Z Scores'!$A$1:$N$1541,14,FALSE),"Not Enough Data")</f>
        <v>-7.2465813361085277E-2</v>
      </c>
      <c r="H260">
        <v>3.4865714665108835E-2</v>
      </c>
    </row>
    <row r="261" spans="1:8" x14ac:dyDescent="0.35">
      <c r="A261" t="str">
        <f t="shared" si="4"/>
        <v>18097322500_2028</v>
      </c>
      <c r="B261">
        <v>18097322500</v>
      </c>
      <c r="C261">
        <v>2028</v>
      </c>
      <c r="E261">
        <f>-(IF(VLOOKUP(B261,'2023 Z Scores'!$A$1:$K$309,11,FALSE)&gt;2,VLOOKUP(B261,'2023 Z Scores'!$A$1:$K$309,10,FALSE)/VLOOKUP(B261,'2023 Z Scores'!$A$1:$K$309,11,FALSE),"Not Enough data"))</f>
        <v>0.29407241317494487</v>
      </c>
      <c r="F261">
        <f>IF(VLOOKUP(A261,'Delta Z Scores'!$A$1:$N$1541,14,FALSE)&gt;2,VLOOKUP(A261,'Delta Z Scores'!$A$1:$N$1541,13,FALSE)/VLOOKUP(A261,'Delta Z Scores'!$A$1:$N$1541,14,FALSE),"Not Enough Data")</f>
        <v>-0.15122964101619502</v>
      </c>
      <c r="G261">
        <f>IF(VLOOKUP(A261,'Forecast Z Scores'!$A$1:$N$1541,14,FALSE)&gt;2,VLOOKUP(A261,'Forecast Z Scores'!$A$1:$N$1541,13,FALSE)/VLOOKUP(A261,'Forecast Z Scores'!$A$1:$N$1541,14,FALSE),"Not Enough Data")</f>
        <v>-5.1714156536194884E-2</v>
      </c>
      <c r="H261">
        <v>-1.502525634841001E-2</v>
      </c>
    </row>
    <row r="262" spans="1:8" x14ac:dyDescent="0.35">
      <c r="A262" t="str">
        <f t="shared" si="4"/>
        <v>18097322601_2024</v>
      </c>
      <c r="B262">
        <v>18097322601</v>
      </c>
      <c r="C262">
        <v>2024</v>
      </c>
      <c r="E262">
        <f>-(IF(VLOOKUP(B262,'2023 Z Scores'!$A$1:$K$309,11,FALSE)&gt;2,VLOOKUP(B262,'2023 Z Scores'!$A$1:$K$309,10,FALSE)/VLOOKUP(B262,'2023 Z Scores'!$A$1:$K$309,11,FALSE),"Not Enough data"))</f>
        <v>0.75031615477753832</v>
      </c>
      <c r="F262">
        <f>IF(VLOOKUP(A262,'Delta Z Scores'!$A$1:$N$1541,14,FALSE)&gt;2,VLOOKUP(A262,'Delta Z Scores'!$A$1:$N$1541,13,FALSE)/VLOOKUP(A262,'Delta Z Scores'!$A$1:$N$1541,14,FALSE),"Not Enough Data")</f>
        <v>0.19232869085180718</v>
      </c>
      <c r="G262">
        <f>IF(VLOOKUP(A262,'Forecast Z Scores'!$A$1:$N$1541,14,FALSE)&gt;2,VLOOKUP(A262,'Forecast Z Scores'!$A$1:$N$1541,13,FALSE)/VLOOKUP(A262,'Forecast Z Scores'!$A$1:$N$1541,14,FALSE),"Not Enough Data")</f>
        <v>-0.35537166792095481</v>
      </c>
      <c r="H262">
        <v>0.19490046714004947</v>
      </c>
    </row>
    <row r="263" spans="1:8" x14ac:dyDescent="0.35">
      <c r="A263" t="str">
        <f t="shared" si="4"/>
        <v>18097322601_2025</v>
      </c>
      <c r="B263">
        <v>18097322601</v>
      </c>
      <c r="C263">
        <v>2025</v>
      </c>
      <c r="E263">
        <f>-(IF(VLOOKUP(B263,'2023 Z Scores'!$A$1:$K$309,11,FALSE)&gt;2,VLOOKUP(B263,'2023 Z Scores'!$A$1:$K$309,10,FALSE)/VLOOKUP(B263,'2023 Z Scores'!$A$1:$K$309,11,FALSE),"Not Enough data"))</f>
        <v>0.75031615477753832</v>
      </c>
      <c r="F263">
        <f>IF(VLOOKUP(A263,'Delta Z Scores'!$A$1:$N$1541,14,FALSE)&gt;2,VLOOKUP(A263,'Delta Z Scores'!$A$1:$N$1541,13,FALSE)/VLOOKUP(A263,'Delta Z Scores'!$A$1:$N$1541,14,FALSE),"Not Enough Data")</f>
        <v>0.86525772580366311</v>
      </c>
      <c r="G263">
        <f>IF(VLOOKUP(A263,'Forecast Z Scores'!$A$1:$N$1541,14,FALSE)&gt;2,VLOOKUP(A263,'Forecast Z Scores'!$A$1:$N$1541,13,FALSE)/VLOOKUP(A263,'Forecast Z Scores'!$A$1:$N$1541,14,FALSE),"Not Enough Data")</f>
        <v>-0.30051736515721256</v>
      </c>
      <c r="H263">
        <v>0.54507856030691304</v>
      </c>
    </row>
    <row r="264" spans="1:8" x14ac:dyDescent="0.35">
      <c r="A264" t="str">
        <f t="shared" si="4"/>
        <v>18097322601_2026</v>
      </c>
      <c r="B264">
        <v>18097322601</v>
      </c>
      <c r="C264">
        <v>2026</v>
      </c>
      <c r="E264">
        <f>-(IF(VLOOKUP(B264,'2023 Z Scores'!$A$1:$K$309,11,FALSE)&gt;2,VLOOKUP(B264,'2023 Z Scores'!$A$1:$K$309,10,FALSE)/VLOOKUP(B264,'2023 Z Scores'!$A$1:$K$309,11,FALSE),"Not Enough data"))</f>
        <v>0.75031615477753832</v>
      </c>
      <c r="F264">
        <f>IF(VLOOKUP(A264,'Delta Z Scores'!$A$1:$N$1541,14,FALSE)&gt;2,VLOOKUP(A264,'Delta Z Scores'!$A$1:$N$1541,13,FALSE)/VLOOKUP(A264,'Delta Z Scores'!$A$1:$N$1541,14,FALSE),"Not Enough Data")</f>
        <v>-0.27131633942718758</v>
      </c>
      <c r="G264">
        <f>IF(VLOOKUP(A264,'Forecast Z Scores'!$A$1:$N$1541,14,FALSE)&gt;2,VLOOKUP(A264,'Forecast Z Scores'!$A$1:$N$1541,13,FALSE)/VLOOKUP(A264,'Forecast Z Scores'!$A$1:$N$1541,14,FALSE),"Not Enough Data")</f>
        <v>-0.37283921242107604</v>
      </c>
      <c r="H264">
        <v>-4.1288934124478205E-2</v>
      </c>
    </row>
    <row r="265" spans="1:8" x14ac:dyDescent="0.35">
      <c r="A265" t="str">
        <f t="shared" si="4"/>
        <v>18097322601_2027</v>
      </c>
      <c r="B265">
        <v>18097322601</v>
      </c>
      <c r="C265">
        <v>2027</v>
      </c>
      <c r="E265">
        <f>-(IF(VLOOKUP(B265,'2023 Z Scores'!$A$1:$K$309,11,FALSE)&gt;2,VLOOKUP(B265,'2023 Z Scores'!$A$1:$K$309,10,FALSE)/VLOOKUP(B265,'2023 Z Scores'!$A$1:$K$309,11,FALSE),"Not Enough data"))</f>
        <v>0.75031615477753832</v>
      </c>
      <c r="F265">
        <f>IF(VLOOKUP(A265,'Delta Z Scores'!$A$1:$N$1541,14,FALSE)&gt;2,VLOOKUP(A265,'Delta Z Scores'!$A$1:$N$1541,13,FALSE)/VLOOKUP(A265,'Delta Z Scores'!$A$1:$N$1541,14,FALSE),"Not Enough Data")</f>
        <v>0.45749158213627356</v>
      </c>
      <c r="G265">
        <f>IF(VLOOKUP(A265,'Forecast Z Scores'!$A$1:$N$1541,14,FALSE)&gt;2,VLOOKUP(A265,'Forecast Z Scores'!$A$1:$N$1541,13,FALSE)/VLOOKUP(A265,'Forecast Z Scores'!$A$1:$N$1541,14,FALSE),"Not Enough Data")</f>
        <v>-0.33693730255918153</v>
      </c>
      <c r="H265">
        <v>0.332090504122726</v>
      </c>
    </row>
    <row r="266" spans="1:8" x14ac:dyDescent="0.35">
      <c r="A266" t="str">
        <f t="shared" si="4"/>
        <v>18097322601_2028</v>
      </c>
      <c r="B266">
        <v>18097322601</v>
      </c>
      <c r="C266">
        <v>2028</v>
      </c>
      <c r="E266">
        <f>-(IF(VLOOKUP(B266,'2023 Z Scores'!$A$1:$K$309,11,FALSE)&gt;2,VLOOKUP(B266,'2023 Z Scores'!$A$1:$K$309,10,FALSE)/VLOOKUP(B266,'2023 Z Scores'!$A$1:$K$309,11,FALSE),"Not Enough data"))</f>
        <v>0.75031615477753832</v>
      </c>
      <c r="F266">
        <f>IF(VLOOKUP(A266,'Delta Z Scores'!$A$1:$N$1541,14,FALSE)&gt;2,VLOOKUP(A266,'Delta Z Scores'!$A$1:$N$1541,13,FALSE)/VLOOKUP(A266,'Delta Z Scores'!$A$1:$N$1541,14,FALSE),"Not Enough Data")</f>
        <v>-0.27607999731265415</v>
      </c>
      <c r="G266">
        <f>IF(VLOOKUP(A266,'Forecast Z Scores'!$A$1:$N$1541,14,FALSE)&gt;2,VLOOKUP(A266,'Forecast Z Scores'!$A$1:$N$1541,13,FALSE)/VLOOKUP(A266,'Forecast Z Scores'!$A$1:$N$1541,14,FALSE),"Not Enough Data")</f>
        <v>-0.37679048421709743</v>
      </c>
      <c r="H266">
        <v>-4.4658581016216836E-2</v>
      </c>
    </row>
    <row r="267" spans="1:8" x14ac:dyDescent="0.35">
      <c r="A267" t="str">
        <f t="shared" si="4"/>
        <v>18097322602_2024</v>
      </c>
      <c r="B267">
        <v>18097322602</v>
      </c>
      <c r="C267">
        <v>2024</v>
      </c>
      <c r="E267">
        <f>-(IF(VLOOKUP(B267,'2023 Z Scores'!$A$1:$K$309,11,FALSE)&gt;2,VLOOKUP(B267,'2023 Z Scores'!$A$1:$K$309,10,FALSE)/VLOOKUP(B267,'2023 Z Scores'!$A$1:$K$309,11,FALSE),"Not Enough data"))</f>
        <v>2.8858191150845831E-2</v>
      </c>
      <c r="F267">
        <f>IF(VLOOKUP(A267,'Delta Z Scores'!$A$1:$N$1541,14,FALSE)&gt;2,VLOOKUP(A267,'Delta Z Scores'!$A$1:$N$1541,13,FALSE)/VLOOKUP(A267,'Delta Z Scores'!$A$1:$N$1541,14,FALSE),"Not Enough Data")</f>
        <v>1.6151839681925417E-2</v>
      </c>
      <c r="G267">
        <f>IF(VLOOKUP(A267,'Forecast Z Scores'!$A$1:$N$1541,14,FALSE)&gt;2,VLOOKUP(A267,'Forecast Z Scores'!$A$1:$N$1541,13,FALSE)/VLOOKUP(A267,'Forecast Z Scores'!$A$1:$N$1541,14,FALSE),"Not Enough Data")</f>
        <v>-0.10886625875265908</v>
      </c>
      <c r="H267">
        <v>-1.1926097059490607E-2</v>
      </c>
    </row>
    <row r="268" spans="1:8" x14ac:dyDescent="0.35">
      <c r="A268" t="str">
        <f t="shared" si="4"/>
        <v>18097322602_2025</v>
      </c>
      <c r="B268">
        <v>18097322602</v>
      </c>
      <c r="C268">
        <v>2025</v>
      </c>
      <c r="E268">
        <f>-(IF(VLOOKUP(B268,'2023 Z Scores'!$A$1:$K$309,11,FALSE)&gt;2,VLOOKUP(B268,'2023 Z Scores'!$A$1:$K$309,10,FALSE)/VLOOKUP(B268,'2023 Z Scores'!$A$1:$K$309,11,FALSE),"Not Enough data"))</f>
        <v>2.8858191150845831E-2</v>
      </c>
      <c r="F268">
        <f>IF(VLOOKUP(A268,'Delta Z Scores'!$A$1:$N$1541,14,FALSE)&gt;2,VLOOKUP(A268,'Delta Z Scores'!$A$1:$N$1541,13,FALSE)/VLOOKUP(A268,'Delta Z Scores'!$A$1:$N$1541,14,FALSE),"Not Enough Data")</f>
        <v>0.20509216805080224</v>
      </c>
      <c r="G268">
        <f>IF(VLOOKUP(A268,'Forecast Z Scores'!$A$1:$N$1541,14,FALSE)&gt;2,VLOOKUP(A268,'Forecast Z Scores'!$A$1:$N$1541,13,FALSE)/VLOOKUP(A268,'Forecast Z Scores'!$A$1:$N$1541,14,FALSE),"Not Enough Data")</f>
        <v>-9.2075478806418795E-2</v>
      </c>
      <c r="H268">
        <v>8.6741762111507872E-2</v>
      </c>
    </row>
    <row r="269" spans="1:8" x14ac:dyDescent="0.35">
      <c r="A269" t="str">
        <f t="shared" si="4"/>
        <v>18097322602_2026</v>
      </c>
      <c r="B269">
        <v>18097322602</v>
      </c>
      <c r="C269">
        <v>2026</v>
      </c>
      <c r="E269">
        <f>-(IF(VLOOKUP(B269,'2023 Z Scores'!$A$1:$K$309,11,FALSE)&gt;2,VLOOKUP(B269,'2023 Z Scores'!$A$1:$K$309,10,FALSE)/VLOOKUP(B269,'2023 Z Scores'!$A$1:$K$309,11,FALSE),"Not Enough data"))</f>
        <v>2.8858191150845831E-2</v>
      </c>
      <c r="F269">
        <f>IF(VLOOKUP(A269,'Delta Z Scores'!$A$1:$N$1541,14,FALSE)&gt;2,VLOOKUP(A269,'Delta Z Scores'!$A$1:$N$1541,13,FALSE)/VLOOKUP(A269,'Delta Z Scores'!$A$1:$N$1541,14,FALSE),"Not Enough Data")</f>
        <v>-0.15641874250942092</v>
      </c>
      <c r="G269">
        <f>IF(VLOOKUP(A269,'Forecast Z Scores'!$A$1:$N$1541,14,FALSE)&gt;2,VLOOKUP(A269,'Forecast Z Scores'!$A$1:$N$1541,13,FALSE)/VLOOKUP(A269,'Forecast Z Scores'!$A$1:$N$1541,14,FALSE),"Not Enough Data")</f>
        <v>-8.8317679579227759E-2</v>
      </c>
      <c r="H269">
        <v>-9.3074243361805947E-2</v>
      </c>
    </row>
    <row r="270" spans="1:8" x14ac:dyDescent="0.35">
      <c r="A270" t="str">
        <f t="shared" si="4"/>
        <v>18097322602_2027</v>
      </c>
      <c r="B270">
        <v>18097322602</v>
      </c>
      <c r="C270">
        <v>2027</v>
      </c>
      <c r="E270">
        <f>-(IF(VLOOKUP(B270,'2023 Z Scores'!$A$1:$K$309,11,FALSE)&gt;2,VLOOKUP(B270,'2023 Z Scores'!$A$1:$K$309,10,FALSE)/VLOOKUP(B270,'2023 Z Scores'!$A$1:$K$309,11,FALSE),"Not Enough data"))</f>
        <v>2.8858191150845831E-2</v>
      </c>
      <c r="F270">
        <f>IF(VLOOKUP(A270,'Delta Z Scores'!$A$1:$N$1541,14,FALSE)&gt;2,VLOOKUP(A270,'Delta Z Scores'!$A$1:$N$1541,13,FALSE)/VLOOKUP(A270,'Delta Z Scores'!$A$1:$N$1541,14,FALSE),"Not Enough Data")</f>
        <v>4.1133107213948882E-2</v>
      </c>
      <c r="G270">
        <f>IF(VLOOKUP(A270,'Forecast Z Scores'!$A$1:$N$1541,14,FALSE)&gt;2,VLOOKUP(A270,'Forecast Z Scores'!$A$1:$N$1541,13,FALSE)/VLOOKUP(A270,'Forecast Z Scores'!$A$1:$N$1541,14,FALSE),"Not Enough Data")</f>
        <v>-7.8026093995719831E-2</v>
      </c>
      <c r="H270">
        <v>8.2745778957559399E-3</v>
      </c>
    </row>
    <row r="271" spans="1:8" x14ac:dyDescent="0.35">
      <c r="A271" t="str">
        <f t="shared" si="4"/>
        <v>18097322602_2028</v>
      </c>
      <c r="B271">
        <v>18097322602</v>
      </c>
      <c r="C271">
        <v>2028</v>
      </c>
      <c r="E271">
        <f>-(IF(VLOOKUP(B271,'2023 Z Scores'!$A$1:$K$309,11,FALSE)&gt;2,VLOOKUP(B271,'2023 Z Scores'!$A$1:$K$309,10,FALSE)/VLOOKUP(B271,'2023 Z Scores'!$A$1:$K$309,11,FALSE),"Not Enough data"))</f>
        <v>2.8858191150845831E-2</v>
      </c>
      <c r="F271">
        <f>IF(VLOOKUP(A271,'Delta Z Scores'!$A$1:$N$1541,14,FALSE)&gt;2,VLOOKUP(A271,'Delta Z Scores'!$A$1:$N$1541,13,FALSE)/VLOOKUP(A271,'Delta Z Scores'!$A$1:$N$1541,14,FALSE),"Not Enough Data")</f>
        <v>-9.4762209436722949E-2</v>
      </c>
      <c r="G271">
        <f>IF(VLOOKUP(A271,'Forecast Z Scores'!$A$1:$N$1541,14,FALSE)&gt;2,VLOOKUP(A271,'Forecast Z Scores'!$A$1:$N$1541,13,FALSE)/VLOOKUP(A271,'Forecast Z Scores'!$A$1:$N$1541,14,FALSE),"Not Enough Data")</f>
        <v>-6.3611532465084233E-2</v>
      </c>
      <c r="H271">
        <v>-5.6069440046921069E-2</v>
      </c>
    </row>
    <row r="272" spans="1:8" x14ac:dyDescent="0.35">
      <c r="A272" t="str">
        <f t="shared" si="4"/>
        <v>18097322700_2024</v>
      </c>
      <c r="B272">
        <v>18097322700</v>
      </c>
      <c r="C272">
        <v>2024</v>
      </c>
      <c r="E272">
        <f>-(IF(VLOOKUP(B272,'2023 Z Scores'!$A$1:$K$309,11,FALSE)&gt;2,VLOOKUP(B272,'2023 Z Scores'!$A$1:$K$309,10,FALSE)/VLOOKUP(B272,'2023 Z Scores'!$A$1:$K$309,11,FALSE),"Not Enough data"))</f>
        <v>0.66992282465440334</v>
      </c>
      <c r="F272">
        <f>IF(VLOOKUP(A272,'Delta Z Scores'!$A$1:$N$1541,14,FALSE)&gt;2,VLOOKUP(A272,'Delta Z Scores'!$A$1:$N$1541,13,FALSE)/VLOOKUP(A272,'Delta Z Scores'!$A$1:$N$1541,14,FALSE),"Not Enough Data")</f>
        <v>5.12120584219483E-2</v>
      </c>
      <c r="G272">
        <f>IF(VLOOKUP(A272,'Forecast Z Scores'!$A$1:$N$1541,14,FALSE)&gt;2,VLOOKUP(A272,'Forecast Z Scores'!$A$1:$N$1541,13,FALSE)/VLOOKUP(A272,'Forecast Z Scores'!$A$1:$N$1541,14,FALSE),"Not Enough Data")</f>
        <v>-0.64576518873085464</v>
      </c>
      <c r="H272">
        <v>3.164543819186133E-2</v>
      </c>
    </row>
    <row r="273" spans="1:8" x14ac:dyDescent="0.35">
      <c r="A273" t="str">
        <f t="shared" si="4"/>
        <v>18097322700_2025</v>
      </c>
      <c r="B273">
        <v>18097322700</v>
      </c>
      <c r="C273">
        <v>2025</v>
      </c>
      <c r="E273">
        <f>-(IF(VLOOKUP(B273,'2023 Z Scores'!$A$1:$K$309,11,FALSE)&gt;2,VLOOKUP(B273,'2023 Z Scores'!$A$1:$K$309,10,FALSE)/VLOOKUP(B273,'2023 Z Scores'!$A$1:$K$309,11,FALSE),"Not Enough data"))</f>
        <v>0.66992282465440334</v>
      </c>
      <c r="F273">
        <f>IF(VLOOKUP(A273,'Delta Z Scores'!$A$1:$N$1541,14,FALSE)&gt;2,VLOOKUP(A273,'Delta Z Scores'!$A$1:$N$1541,13,FALSE)/VLOOKUP(A273,'Delta Z Scores'!$A$1:$N$1541,14,FALSE),"Not Enough Data")</f>
        <v>-0.38538611141654688</v>
      </c>
      <c r="G273">
        <f>IF(VLOOKUP(A273,'Forecast Z Scores'!$A$1:$N$1541,14,FALSE)&gt;2,VLOOKUP(A273,'Forecast Z Scores'!$A$1:$N$1541,13,FALSE)/VLOOKUP(A273,'Forecast Z Scores'!$A$1:$N$1541,14,FALSE),"Not Enough Data")</f>
        <v>-0.65982594898557434</v>
      </c>
      <c r="H273">
        <v>-0.19016883679106616</v>
      </c>
    </row>
    <row r="274" spans="1:8" x14ac:dyDescent="0.35">
      <c r="A274" t="str">
        <f t="shared" si="4"/>
        <v>18097322700_2026</v>
      </c>
      <c r="B274">
        <v>18097322700</v>
      </c>
      <c r="C274">
        <v>2026</v>
      </c>
      <c r="E274">
        <f>-(IF(VLOOKUP(B274,'2023 Z Scores'!$A$1:$K$309,11,FALSE)&gt;2,VLOOKUP(B274,'2023 Z Scores'!$A$1:$K$309,10,FALSE)/VLOOKUP(B274,'2023 Z Scores'!$A$1:$K$309,11,FALSE),"Not Enough data"))</f>
        <v>0.66992282465440334</v>
      </c>
      <c r="F274">
        <f>IF(VLOOKUP(A274,'Delta Z Scores'!$A$1:$N$1541,14,FALSE)&gt;2,VLOOKUP(A274,'Delta Z Scores'!$A$1:$N$1541,13,FALSE)/VLOOKUP(A274,'Delta Z Scores'!$A$1:$N$1541,14,FALSE),"Not Enough Data")</f>
        <v>0.108892620128493</v>
      </c>
      <c r="G274">
        <f>IF(VLOOKUP(A274,'Forecast Z Scores'!$A$1:$N$1541,14,FALSE)&gt;2,VLOOKUP(A274,'Forecast Z Scores'!$A$1:$N$1541,13,FALSE)/VLOOKUP(A274,'Forecast Z Scores'!$A$1:$N$1541,14,FALSE),"Not Enough Data")</f>
        <v>-0.61912467424024364</v>
      </c>
      <c r="H274">
        <v>6.7145847667786418E-2</v>
      </c>
    </row>
    <row r="275" spans="1:8" x14ac:dyDescent="0.35">
      <c r="A275" t="str">
        <f t="shared" si="4"/>
        <v>18097322700_2027</v>
      </c>
      <c r="B275">
        <v>18097322700</v>
      </c>
      <c r="C275">
        <v>2027</v>
      </c>
      <c r="E275">
        <f>-(IF(VLOOKUP(B275,'2023 Z Scores'!$A$1:$K$309,11,FALSE)&gt;2,VLOOKUP(B275,'2023 Z Scores'!$A$1:$K$309,10,FALSE)/VLOOKUP(B275,'2023 Z Scores'!$A$1:$K$309,11,FALSE),"Not Enough data"))</f>
        <v>0.66992282465440334</v>
      </c>
      <c r="F275">
        <f>IF(VLOOKUP(A275,'Delta Z Scores'!$A$1:$N$1541,14,FALSE)&gt;2,VLOOKUP(A275,'Delta Z Scores'!$A$1:$N$1541,13,FALSE)/VLOOKUP(A275,'Delta Z Scores'!$A$1:$N$1541,14,FALSE),"Not Enough Data")</f>
        <v>0.25028859641399426</v>
      </c>
      <c r="G275">
        <f>IF(VLOOKUP(A275,'Forecast Z Scores'!$A$1:$N$1541,14,FALSE)&gt;2,VLOOKUP(A275,'Forecast Z Scores'!$A$1:$N$1541,13,FALSE)/VLOOKUP(A275,'Forecast Z Scores'!$A$1:$N$1541,14,FALSE),"Not Enough Data")</f>
        <v>-0.56515428108689914</v>
      </c>
      <c r="H275">
        <v>0.15133643409887318</v>
      </c>
    </row>
    <row r="276" spans="1:8" x14ac:dyDescent="0.35">
      <c r="A276" t="str">
        <f t="shared" si="4"/>
        <v>18097322700_2028</v>
      </c>
      <c r="B276">
        <v>18097322700</v>
      </c>
      <c r="C276">
        <v>2028</v>
      </c>
      <c r="E276">
        <f>-(IF(VLOOKUP(B276,'2023 Z Scores'!$A$1:$K$309,11,FALSE)&gt;2,VLOOKUP(B276,'2023 Z Scores'!$A$1:$K$309,10,FALSE)/VLOOKUP(B276,'2023 Z Scores'!$A$1:$K$309,11,FALSE),"Not Enough data"))</f>
        <v>0.66992282465440334</v>
      </c>
      <c r="F276">
        <f>IF(VLOOKUP(A276,'Delta Z Scores'!$A$1:$N$1541,14,FALSE)&gt;2,VLOOKUP(A276,'Delta Z Scores'!$A$1:$N$1541,13,FALSE)/VLOOKUP(A276,'Delta Z Scores'!$A$1:$N$1541,14,FALSE),"Not Enough Data")</f>
        <v>-0.37946825424549169</v>
      </c>
      <c r="G276">
        <f>IF(VLOOKUP(A276,'Forecast Z Scores'!$A$1:$N$1541,14,FALSE)&gt;2,VLOOKUP(A276,'Forecast Z Scores'!$A$1:$N$1541,13,FALSE)/VLOOKUP(A276,'Forecast Z Scores'!$A$1:$N$1541,14,FALSE),"Not Enough Data")</f>
        <v>-0.55532227671675649</v>
      </c>
      <c r="H276">
        <v>-0.16108399013833413</v>
      </c>
    </row>
    <row r="277" spans="1:8" x14ac:dyDescent="0.35">
      <c r="A277" t="str">
        <f t="shared" si="4"/>
        <v>18097330103_2024</v>
      </c>
      <c r="B277">
        <v>18097330103</v>
      </c>
      <c r="C277">
        <v>2024</v>
      </c>
      <c r="E277">
        <f>-(IF(VLOOKUP(B277,'2023 Z Scores'!$A$1:$K$309,11,FALSE)&gt;2,VLOOKUP(B277,'2023 Z Scores'!$A$1:$K$309,10,FALSE)/VLOOKUP(B277,'2023 Z Scores'!$A$1:$K$309,11,FALSE),"Not Enough data"))</f>
        <v>-0.33431491832187454</v>
      </c>
      <c r="F277">
        <f>IF(VLOOKUP(A277,'Delta Z Scores'!$A$1:$N$1541,14,FALSE)&gt;2,VLOOKUP(A277,'Delta Z Scores'!$A$1:$N$1541,13,FALSE)/VLOOKUP(A277,'Delta Z Scores'!$A$1:$N$1541,14,FALSE),"Not Enough Data")</f>
        <v>-0.31947571605427255</v>
      </c>
      <c r="G277">
        <f>IF(VLOOKUP(A277,'Forecast Z Scores'!$A$1:$N$1541,14,FALSE)&gt;2,VLOOKUP(A277,'Forecast Z Scores'!$A$1:$N$1541,13,FALSE)/VLOOKUP(A277,'Forecast Z Scores'!$A$1:$N$1541,14,FALSE),"Not Enough Data")</f>
        <v>4.7433061081693352E-2</v>
      </c>
      <c r="H277">
        <v>-0.23145832233718158</v>
      </c>
    </row>
    <row r="278" spans="1:8" x14ac:dyDescent="0.35">
      <c r="A278" t="str">
        <f t="shared" si="4"/>
        <v>18097330103_2025</v>
      </c>
      <c r="B278">
        <v>18097330103</v>
      </c>
      <c r="C278">
        <v>2025</v>
      </c>
      <c r="E278">
        <f>-(IF(VLOOKUP(B278,'2023 Z Scores'!$A$1:$K$309,11,FALSE)&gt;2,VLOOKUP(B278,'2023 Z Scores'!$A$1:$K$309,10,FALSE)/VLOOKUP(B278,'2023 Z Scores'!$A$1:$K$309,11,FALSE),"Not Enough data"))</f>
        <v>-0.33431491832187454</v>
      </c>
      <c r="F278">
        <f>IF(VLOOKUP(A278,'Delta Z Scores'!$A$1:$N$1541,14,FALSE)&gt;2,VLOOKUP(A278,'Delta Z Scores'!$A$1:$N$1541,13,FALSE)/VLOOKUP(A278,'Delta Z Scores'!$A$1:$N$1541,14,FALSE),"Not Enough Data")</f>
        <v>-0.1297889036734575</v>
      </c>
      <c r="G278">
        <f>IF(VLOOKUP(A278,'Forecast Z Scores'!$A$1:$N$1541,14,FALSE)&gt;2,VLOOKUP(A278,'Forecast Z Scores'!$A$1:$N$1541,13,FALSE)/VLOOKUP(A278,'Forecast Z Scores'!$A$1:$N$1541,14,FALSE),"Not Enough Data")</f>
        <v>3.1249541341890136E-2</v>
      </c>
      <c r="H278">
        <v>-0.14066079608172485</v>
      </c>
    </row>
    <row r="279" spans="1:8" x14ac:dyDescent="0.35">
      <c r="A279" t="str">
        <f t="shared" si="4"/>
        <v>18097330103_2026</v>
      </c>
      <c r="B279">
        <v>18097330103</v>
      </c>
      <c r="C279">
        <v>2026</v>
      </c>
      <c r="E279">
        <f>-(IF(VLOOKUP(B279,'2023 Z Scores'!$A$1:$K$309,11,FALSE)&gt;2,VLOOKUP(B279,'2023 Z Scores'!$A$1:$K$309,10,FALSE)/VLOOKUP(B279,'2023 Z Scores'!$A$1:$K$309,11,FALSE),"Not Enough data"))</f>
        <v>-0.33431491832187454</v>
      </c>
      <c r="F279">
        <f>IF(VLOOKUP(A279,'Delta Z Scores'!$A$1:$N$1541,14,FALSE)&gt;2,VLOOKUP(A279,'Delta Z Scores'!$A$1:$N$1541,13,FALSE)/VLOOKUP(A279,'Delta Z Scores'!$A$1:$N$1541,14,FALSE),"Not Enough Data")</f>
        <v>-0.33264973862237224</v>
      </c>
      <c r="G279">
        <f>IF(VLOOKUP(A279,'Forecast Z Scores'!$A$1:$N$1541,14,FALSE)&gt;2,VLOOKUP(A279,'Forecast Z Scores'!$A$1:$N$1541,13,FALSE)/VLOOKUP(A279,'Forecast Z Scores'!$A$1:$N$1541,14,FALSE),"Not Enough Data")</f>
        <v>1.5858289521600694E-2</v>
      </c>
      <c r="H279">
        <v>-0.24593902651125457</v>
      </c>
    </row>
    <row r="280" spans="1:8" x14ac:dyDescent="0.35">
      <c r="A280" t="str">
        <f t="shared" si="4"/>
        <v>18097330103_2027</v>
      </c>
      <c r="B280">
        <v>18097330103</v>
      </c>
      <c r="C280">
        <v>2027</v>
      </c>
      <c r="E280">
        <f>-(IF(VLOOKUP(B280,'2023 Z Scores'!$A$1:$K$309,11,FALSE)&gt;2,VLOOKUP(B280,'2023 Z Scores'!$A$1:$K$309,10,FALSE)/VLOOKUP(B280,'2023 Z Scores'!$A$1:$K$309,11,FALSE),"Not Enough data"))</f>
        <v>-0.33431491832187454</v>
      </c>
      <c r="F280">
        <f>IF(VLOOKUP(A280,'Delta Z Scores'!$A$1:$N$1541,14,FALSE)&gt;2,VLOOKUP(A280,'Delta Z Scores'!$A$1:$N$1541,13,FALSE)/VLOOKUP(A280,'Delta Z Scores'!$A$1:$N$1541,14,FALSE),"Not Enough Data")</f>
        <v>-0.16504838595048912</v>
      </c>
      <c r="G280">
        <f>IF(VLOOKUP(A280,'Forecast Z Scores'!$A$1:$N$1541,14,FALSE)&gt;2,VLOOKUP(A280,'Forecast Z Scores'!$A$1:$N$1541,13,FALSE)/VLOOKUP(A280,'Forecast Z Scores'!$A$1:$N$1541,14,FALSE),"Not Enough Data")</f>
        <v>4.7082462559063787E-3</v>
      </c>
      <c r="H280">
        <v>-0.16492586099173662</v>
      </c>
    </row>
    <row r="281" spans="1:8" x14ac:dyDescent="0.35">
      <c r="A281" t="str">
        <f t="shared" si="4"/>
        <v>18097330103_2028</v>
      </c>
      <c r="B281">
        <v>18097330103</v>
      </c>
      <c r="C281">
        <v>2028</v>
      </c>
      <c r="E281">
        <f>-(IF(VLOOKUP(B281,'2023 Z Scores'!$A$1:$K$309,11,FALSE)&gt;2,VLOOKUP(B281,'2023 Z Scores'!$A$1:$K$309,10,FALSE)/VLOOKUP(B281,'2023 Z Scores'!$A$1:$K$309,11,FALSE),"Not Enough data"))</f>
        <v>-0.33431491832187454</v>
      </c>
      <c r="F281">
        <f>IF(VLOOKUP(A281,'Delta Z Scores'!$A$1:$N$1541,14,FALSE)&gt;2,VLOOKUP(A281,'Delta Z Scores'!$A$1:$N$1541,13,FALSE)/VLOOKUP(A281,'Delta Z Scores'!$A$1:$N$1541,14,FALSE),"Not Enough Data")</f>
        <v>-0.20764676646181779</v>
      </c>
      <c r="G281">
        <f>IF(VLOOKUP(A281,'Forecast Z Scores'!$A$1:$N$1541,14,FALSE)&gt;2,VLOOKUP(A281,'Forecast Z Scores'!$A$1:$N$1541,13,FALSE)/VLOOKUP(A281,'Forecast Z Scores'!$A$1:$N$1541,14,FALSE),"Not Enough Data")</f>
        <v>-5.0709009114631538E-3</v>
      </c>
      <c r="H281">
        <v>-0.18866983803924331</v>
      </c>
    </row>
    <row r="282" spans="1:8" x14ac:dyDescent="0.35">
      <c r="A282" t="str">
        <f t="shared" si="4"/>
        <v>18097330105_2024</v>
      </c>
      <c r="B282">
        <v>18097330105</v>
      </c>
      <c r="C282">
        <v>2024</v>
      </c>
      <c r="E282">
        <f>-(IF(VLOOKUP(B282,'2023 Z Scores'!$A$1:$K$309,11,FALSE)&gt;2,VLOOKUP(B282,'2023 Z Scores'!$A$1:$K$309,10,FALSE)/VLOOKUP(B282,'2023 Z Scores'!$A$1:$K$309,11,FALSE),"Not Enough data"))</f>
        <v>-0.19541810249121214</v>
      </c>
      <c r="F282">
        <f>IF(VLOOKUP(A282,'Delta Z Scores'!$A$1:$N$1541,14,FALSE)&gt;2,VLOOKUP(A282,'Delta Z Scores'!$A$1:$N$1541,13,FALSE)/VLOOKUP(A282,'Delta Z Scores'!$A$1:$N$1541,14,FALSE),"Not Enough Data")</f>
        <v>-0.17344718899218539</v>
      </c>
      <c r="G282">
        <f>IF(VLOOKUP(A282,'Forecast Z Scores'!$A$1:$N$1541,14,FALSE)&gt;2,VLOOKUP(A282,'Forecast Z Scores'!$A$1:$N$1541,13,FALSE)/VLOOKUP(A282,'Forecast Z Scores'!$A$1:$N$1541,14,FALSE),"Not Enough Data")</f>
        <v>8.8314896931323508E-2</v>
      </c>
      <c r="H282">
        <v>-0.11349939588606486</v>
      </c>
    </row>
    <row r="283" spans="1:8" x14ac:dyDescent="0.35">
      <c r="A283" t="str">
        <f t="shared" si="4"/>
        <v>18097330105_2025</v>
      </c>
      <c r="B283">
        <v>18097330105</v>
      </c>
      <c r="C283">
        <v>2025</v>
      </c>
      <c r="E283">
        <f>-(IF(VLOOKUP(B283,'2023 Z Scores'!$A$1:$K$309,11,FALSE)&gt;2,VLOOKUP(B283,'2023 Z Scores'!$A$1:$K$309,10,FALSE)/VLOOKUP(B283,'2023 Z Scores'!$A$1:$K$309,11,FALSE),"Not Enough data"))</f>
        <v>-0.19541810249121214</v>
      </c>
      <c r="F283">
        <f>IF(VLOOKUP(A283,'Delta Z Scores'!$A$1:$N$1541,14,FALSE)&gt;2,VLOOKUP(A283,'Delta Z Scores'!$A$1:$N$1541,13,FALSE)/VLOOKUP(A283,'Delta Z Scores'!$A$1:$N$1541,14,FALSE),"Not Enough Data")</f>
        <v>-0.21437315476051583</v>
      </c>
      <c r="G283">
        <f>IF(VLOOKUP(A283,'Forecast Z Scores'!$A$1:$N$1541,14,FALSE)&gt;2,VLOOKUP(A283,'Forecast Z Scores'!$A$1:$N$1541,13,FALSE)/VLOOKUP(A283,'Forecast Z Scores'!$A$1:$N$1541,14,FALSE),"Not Enough Data")</f>
        <v>6.2953906606840818E-2</v>
      </c>
      <c r="H283">
        <v>-0.14030262635135074</v>
      </c>
    </row>
    <row r="284" spans="1:8" x14ac:dyDescent="0.35">
      <c r="A284" t="str">
        <f t="shared" si="4"/>
        <v>18097330105_2026</v>
      </c>
      <c r="B284">
        <v>18097330105</v>
      </c>
      <c r="C284">
        <v>2026</v>
      </c>
      <c r="E284">
        <f>-(IF(VLOOKUP(B284,'2023 Z Scores'!$A$1:$K$309,11,FALSE)&gt;2,VLOOKUP(B284,'2023 Z Scores'!$A$1:$K$309,10,FALSE)/VLOOKUP(B284,'2023 Z Scores'!$A$1:$K$309,11,FALSE),"Not Enough data"))</f>
        <v>-0.19541810249121214</v>
      </c>
      <c r="F284">
        <f>IF(VLOOKUP(A284,'Delta Z Scores'!$A$1:$N$1541,14,FALSE)&gt;2,VLOOKUP(A284,'Delta Z Scores'!$A$1:$N$1541,13,FALSE)/VLOOKUP(A284,'Delta Z Scores'!$A$1:$N$1541,14,FALSE),"Not Enough Data")</f>
        <v>-0.43280264234965421</v>
      </c>
      <c r="G284">
        <f>IF(VLOOKUP(A284,'Forecast Z Scores'!$A$1:$N$1541,14,FALSE)&gt;2,VLOOKUP(A284,'Forecast Z Scores'!$A$1:$N$1541,13,FALSE)/VLOOKUP(A284,'Forecast Z Scores'!$A$1:$N$1541,14,FALSE),"Not Enough Data")</f>
        <v>2.2742084058662102E-2</v>
      </c>
      <c r="H284">
        <v>-0.25957032578296463</v>
      </c>
    </row>
    <row r="285" spans="1:8" x14ac:dyDescent="0.35">
      <c r="A285" t="str">
        <f t="shared" si="4"/>
        <v>18097330105_2027</v>
      </c>
      <c r="B285">
        <v>18097330105</v>
      </c>
      <c r="C285">
        <v>2027</v>
      </c>
      <c r="E285">
        <f>-(IF(VLOOKUP(B285,'2023 Z Scores'!$A$1:$K$309,11,FALSE)&gt;2,VLOOKUP(B285,'2023 Z Scores'!$A$1:$K$309,10,FALSE)/VLOOKUP(B285,'2023 Z Scores'!$A$1:$K$309,11,FALSE),"Not Enough data"))</f>
        <v>-0.19541810249121214</v>
      </c>
      <c r="F285">
        <f>IF(VLOOKUP(A285,'Delta Z Scores'!$A$1:$N$1541,14,FALSE)&gt;2,VLOOKUP(A285,'Delta Z Scores'!$A$1:$N$1541,13,FALSE)/VLOOKUP(A285,'Delta Z Scores'!$A$1:$N$1541,14,FALSE),"Not Enough Data")</f>
        <v>-0.26665372023088935</v>
      </c>
      <c r="G285">
        <f>IF(VLOOKUP(A285,'Forecast Z Scores'!$A$1:$N$1541,14,FALSE)&gt;2,VLOOKUP(A285,'Forecast Z Scores'!$A$1:$N$1541,13,FALSE)/VLOOKUP(A285,'Forecast Z Scores'!$A$1:$N$1541,14,FALSE),"Not Enough Data")</f>
        <v>-2.193425608907118E-3</v>
      </c>
      <c r="H285">
        <v>-0.18272974214047449</v>
      </c>
    </row>
    <row r="286" spans="1:8" x14ac:dyDescent="0.35">
      <c r="A286" t="str">
        <f t="shared" si="4"/>
        <v>18097330105_2028</v>
      </c>
      <c r="B286">
        <v>18097330105</v>
      </c>
      <c r="C286">
        <v>2028</v>
      </c>
      <c r="E286">
        <f>-(IF(VLOOKUP(B286,'2023 Z Scores'!$A$1:$K$309,11,FALSE)&gt;2,VLOOKUP(B286,'2023 Z Scores'!$A$1:$K$309,10,FALSE)/VLOOKUP(B286,'2023 Z Scores'!$A$1:$K$309,11,FALSE),"Not Enough data"))</f>
        <v>-0.19541810249121214</v>
      </c>
      <c r="F286">
        <f>IF(VLOOKUP(A286,'Delta Z Scores'!$A$1:$N$1541,14,FALSE)&gt;2,VLOOKUP(A286,'Delta Z Scores'!$A$1:$N$1541,13,FALSE)/VLOOKUP(A286,'Delta Z Scores'!$A$1:$N$1541,14,FALSE),"Not Enough Data")</f>
        <v>-0.30675381843384369</v>
      </c>
      <c r="G286">
        <f>IF(VLOOKUP(A286,'Forecast Z Scores'!$A$1:$N$1541,14,FALSE)&gt;2,VLOOKUP(A286,'Forecast Z Scores'!$A$1:$N$1541,13,FALSE)/VLOOKUP(A286,'Forecast Z Scores'!$A$1:$N$1541,14,FALSE),"Not Enough Data")</f>
        <v>-2.4125051462781544E-2</v>
      </c>
      <c r="H286">
        <v>-0.20826269770542027</v>
      </c>
    </row>
    <row r="287" spans="1:8" x14ac:dyDescent="0.35">
      <c r="A287" t="str">
        <f t="shared" si="4"/>
        <v>18097330106_2024</v>
      </c>
      <c r="B287">
        <v>18097330106</v>
      </c>
      <c r="C287">
        <v>2024</v>
      </c>
      <c r="E287">
        <f>-(IF(VLOOKUP(B287,'2023 Z Scores'!$A$1:$K$309,11,FALSE)&gt;2,VLOOKUP(B287,'2023 Z Scores'!$A$1:$K$309,10,FALSE)/VLOOKUP(B287,'2023 Z Scores'!$A$1:$K$309,11,FALSE),"Not Enough data"))</f>
        <v>3.3072361766652562E-2</v>
      </c>
      <c r="F287">
        <f>IF(VLOOKUP(A287,'Delta Z Scores'!$A$1:$N$1541,14,FALSE)&gt;2,VLOOKUP(A287,'Delta Z Scores'!$A$1:$N$1541,13,FALSE)/VLOOKUP(A287,'Delta Z Scores'!$A$1:$N$1541,14,FALSE),"Not Enough Data")</f>
        <v>-0.15053478222027522</v>
      </c>
      <c r="G287">
        <f>IF(VLOOKUP(A287,'Forecast Z Scores'!$A$1:$N$1541,14,FALSE)&gt;2,VLOOKUP(A287,'Forecast Z Scores'!$A$1:$N$1541,13,FALSE)/VLOOKUP(A287,'Forecast Z Scores'!$A$1:$N$1541,14,FALSE),"Not Enough Data")</f>
        <v>1.8668162585651293E-2</v>
      </c>
      <c r="H287">
        <v>-6.2332260022061645E-2</v>
      </c>
    </row>
    <row r="288" spans="1:8" x14ac:dyDescent="0.35">
      <c r="A288" t="str">
        <f t="shared" si="4"/>
        <v>18097330106_2025</v>
      </c>
      <c r="B288">
        <v>18097330106</v>
      </c>
      <c r="C288">
        <v>2025</v>
      </c>
      <c r="E288">
        <f>-(IF(VLOOKUP(B288,'2023 Z Scores'!$A$1:$K$309,11,FALSE)&gt;2,VLOOKUP(B288,'2023 Z Scores'!$A$1:$K$309,10,FALSE)/VLOOKUP(B288,'2023 Z Scores'!$A$1:$K$309,11,FALSE),"Not Enough data"))</f>
        <v>3.3072361766652562E-2</v>
      </c>
      <c r="F288">
        <f>IF(VLOOKUP(A288,'Delta Z Scores'!$A$1:$N$1541,14,FALSE)&gt;2,VLOOKUP(A288,'Delta Z Scores'!$A$1:$N$1541,13,FALSE)/VLOOKUP(A288,'Delta Z Scores'!$A$1:$N$1541,14,FALSE),"Not Enough Data")</f>
        <v>-0.32269203048225759</v>
      </c>
      <c r="G288">
        <f>IF(VLOOKUP(A288,'Forecast Z Scores'!$A$1:$N$1541,14,FALSE)&gt;2,VLOOKUP(A288,'Forecast Z Scores'!$A$1:$N$1541,13,FALSE)/VLOOKUP(A288,'Forecast Z Scores'!$A$1:$N$1541,14,FALSE),"Not Enough Data")</f>
        <v>-1.2239452544914351E-2</v>
      </c>
      <c r="H288">
        <v>-0.15613778793569424</v>
      </c>
    </row>
    <row r="289" spans="1:8" x14ac:dyDescent="0.35">
      <c r="A289" t="str">
        <f t="shared" si="4"/>
        <v>18097330106_2026</v>
      </c>
      <c r="B289">
        <v>18097330106</v>
      </c>
      <c r="C289">
        <v>2026</v>
      </c>
      <c r="E289">
        <f>-(IF(VLOOKUP(B289,'2023 Z Scores'!$A$1:$K$309,11,FALSE)&gt;2,VLOOKUP(B289,'2023 Z Scores'!$A$1:$K$309,10,FALSE)/VLOOKUP(B289,'2023 Z Scores'!$A$1:$K$309,11,FALSE),"Not Enough data"))</f>
        <v>3.3072361766652562E-2</v>
      </c>
      <c r="F289">
        <f>IF(VLOOKUP(A289,'Delta Z Scores'!$A$1:$N$1541,14,FALSE)&gt;2,VLOOKUP(A289,'Delta Z Scores'!$A$1:$N$1541,13,FALSE)/VLOOKUP(A289,'Delta Z Scores'!$A$1:$N$1541,14,FALSE),"Not Enough Data")</f>
        <v>-0.53670872159059402</v>
      </c>
      <c r="G289">
        <f>IF(VLOOKUP(A289,'Forecast Z Scores'!$A$1:$N$1541,14,FALSE)&gt;2,VLOOKUP(A289,'Forecast Z Scores'!$A$1:$N$1541,13,FALSE)/VLOOKUP(A289,'Forecast Z Scores'!$A$1:$N$1541,14,FALSE),"Not Enough Data")</f>
        <v>-5.9362278241314605E-2</v>
      </c>
      <c r="H289">
        <v>-0.2749268399139625</v>
      </c>
    </row>
    <row r="290" spans="1:8" x14ac:dyDescent="0.35">
      <c r="A290" t="str">
        <f t="shared" si="4"/>
        <v>18097330106_2027</v>
      </c>
      <c r="B290">
        <v>18097330106</v>
      </c>
      <c r="C290">
        <v>2027</v>
      </c>
      <c r="E290">
        <f>-(IF(VLOOKUP(B290,'2023 Z Scores'!$A$1:$K$309,11,FALSE)&gt;2,VLOOKUP(B290,'2023 Z Scores'!$A$1:$K$309,10,FALSE)/VLOOKUP(B290,'2023 Z Scores'!$A$1:$K$309,11,FALSE),"Not Enough data"))</f>
        <v>3.3072361766652562E-2</v>
      </c>
      <c r="F290">
        <f>IF(VLOOKUP(A290,'Delta Z Scores'!$A$1:$N$1541,14,FALSE)&gt;2,VLOOKUP(A290,'Delta Z Scores'!$A$1:$N$1541,13,FALSE)/VLOOKUP(A290,'Delta Z Scores'!$A$1:$N$1541,14,FALSE),"Not Enough Data")</f>
        <v>-0.32257085398607199</v>
      </c>
      <c r="G290">
        <f>IF(VLOOKUP(A290,'Forecast Z Scores'!$A$1:$N$1541,14,FALSE)&gt;2,VLOOKUP(A290,'Forecast Z Scores'!$A$1:$N$1541,13,FALSE)/VLOOKUP(A290,'Forecast Z Scores'!$A$1:$N$1541,14,FALSE),"Not Enough Data")</f>
        <v>-9.2806074650309725E-2</v>
      </c>
      <c r="H290">
        <v>-0.17621885521395031</v>
      </c>
    </row>
    <row r="291" spans="1:8" x14ac:dyDescent="0.35">
      <c r="A291" t="str">
        <f t="shared" si="4"/>
        <v>18097330106_2028</v>
      </c>
      <c r="B291">
        <v>18097330106</v>
      </c>
      <c r="C291">
        <v>2028</v>
      </c>
      <c r="E291">
        <f>-(IF(VLOOKUP(B291,'2023 Z Scores'!$A$1:$K$309,11,FALSE)&gt;2,VLOOKUP(B291,'2023 Z Scores'!$A$1:$K$309,10,FALSE)/VLOOKUP(B291,'2023 Z Scores'!$A$1:$K$309,11,FALSE),"Not Enough data"))</f>
        <v>3.3072361766652562E-2</v>
      </c>
      <c r="F291">
        <f>IF(VLOOKUP(A291,'Delta Z Scores'!$A$1:$N$1541,14,FALSE)&gt;2,VLOOKUP(A291,'Delta Z Scores'!$A$1:$N$1541,13,FALSE)/VLOOKUP(A291,'Delta Z Scores'!$A$1:$N$1541,14,FALSE),"Not Enough Data")</f>
        <v>-0.38584372531970568</v>
      </c>
      <c r="G291">
        <f>IF(VLOOKUP(A291,'Forecast Z Scores'!$A$1:$N$1541,14,FALSE)&gt;2,VLOOKUP(A291,'Forecast Z Scores'!$A$1:$N$1541,13,FALSE)/VLOOKUP(A291,'Forecast Z Scores'!$A$1:$N$1541,14,FALSE),"Not Enough Data")</f>
        <v>-0.12416053923230172</v>
      </c>
      <c r="H291">
        <v>-0.21569390702626515</v>
      </c>
    </row>
    <row r="292" spans="1:8" x14ac:dyDescent="0.35">
      <c r="A292" t="str">
        <f t="shared" si="4"/>
        <v>18097330107_2024</v>
      </c>
      <c r="B292">
        <v>18097330107</v>
      </c>
      <c r="C292">
        <v>2024</v>
      </c>
      <c r="E292">
        <f>-(IF(VLOOKUP(B292,'2023 Z Scores'!$A$1:$K$309,11,FALSE)&gt;2,VLOOKUP(B292,'2023 Z Scores'!$A$1:$K$309,10,FALSE)/VLOOKUP(B292,'2023 Z Scores'!$A$1:$K$309,11,FALSE),"Not Enough data"))</f>
        <v>-0.57033865679143458</v>
      </c>
      <c r="F292">
        <f>IF(VLOOKUP(A292,'Delta Z Scores'!$A$1:$N$1541,14,FALSE)&gt;2,VLOOKUP(A292,'Delta Z Scores'!$A$1:$N$1541,13,FALSE)/VLOOKUP(A292,'Delta Z Scores'!$A$1:$N$1541,14,FALSE),"Not Enough Data")</f>
        <v>-0.16310964791223867</v>
      </c>
      <c r="G292">
        <f>IF(VLOOKUP(A292,'Forecast Z Scores'!$A$1:$N$1541,14,FALSE)&gt;2,VLOOKUP(A292,'Forecast Z Scores'!$A$1:$N$1541,13,FALSE)/VLOOKUP(A292,'Forecast Z Scores'!$A$1:$N$1541,14,FALSE),"Not Enough Data")</f>
        <v>1.113946875173971</v>
      </c>
      <c r="H292">
        <v>5.4347230639514743E-2</v>
      </c>
    </row>
    <row r="293" spans="1:8" x14ac:dyDescent="0.35">
      <c r="A293" t="str">
        <f t="shared" si="4"/>
        <v>18097330107_2025</v>
      </c>
      <c r="B293">
        <v>18097330107</v>
      </c>
      <c r="C293">
        <v>2025</v>
      </c>
      <c r="E293">
        <f>-(IF(VLOOKUP(B293,'2023 Z Scores'!$A$1:$K$309,11,FALSE)&gt;2,VLOOKUP(B293,'2023 Z Scores'!$A$1:$K$309,10,FALSE)/VLOOKUP(B293,'2023 Z Scores'!$A$1:$K$309,11,FALSE),"Not Enough data"))</f>
        <v>-0.57033865679143458</v>
      </c>
      <c r="F293">
        <f>IF(VLOOKUP(A293,'Delta Z Scores'!$A$1:$N$1541,14,FALSE)&gt;2,VLOOKUP(A293,'Delta Z Scores'!$A$1:$N$1541,13,FALSE)/VLOOKUP(A293,'Delta Z Scores'!$A$1:$N$1541,14,FALSE),"Not Enough Data")</f>
        <v>8.2254939266487529E-3</v>
      </c>
      <c r="G293">
        <f>IF(VLOOKUP(A293,'Forecast Z Scores'!$A$1:$N$1541,14,FALSE)&gt;2,VLOOKUP(A293,'Forecast Z Scores'!$A$1:$N$1541,13,FALSE)/VLOOKUP(A293,'Forecast Z Scores'!$A$1:$N$1541,14,FALSE),"Not Enough Data")</f>
        <v>1.118861618412764</v>
      </c>
      <c r="H293">
        <v>0.14124348736865672</v>
      </c>
    </row>
    <row r="294" spans="1:8" x14ac:dyDescent="0.35">
      <c r="A294" t="str">
        <f t="shared" si="4"/>
        <v>18097330107_2026</v>
      </c>
      <c r="B294">
        <v>18097330107</v>
      </c>
      <c r="C294">
        <v>2026</v>
      </c>
      <c r="E294">
        <f>-(IF(VLOOKUP(B294,'2023 Z Scores'!$A$1:$K$309,11,FALSE)&gt;2,VLOOKUP(B294,'2023 Z Scores'!$A$1:$K$309,10,FALSE)/VLOOKUP(B294,'2023 Z Scores'!$A$1:$K$309,11,FALSE),"Not Enough data"))</f>
        <v>-0.57033865679143458</v>
      </c>
      <c r="F294">
        <f>IF(VLOOKUP(A294,'Delta Z Scores'!$A$1:$N$1541,14,FALSE)&gt;2,VLOOKUP(A294,'Delta Z Scores'!$A$1:$N$1541,13,FALSE)/VLOOKUP(A294,'Delta Z Scores'!$A$1:$N$1541,14,FALSE),"Not Enough Data")</f>
        <v>-0.2716143331705152</v>
      </c>
      <c r="G294">
        <f>IF(VLOOKUP(A294,'Forecast Z Scores'!$A$1:$N$1541,14,FALSE)&gt;2,VLOOKUP(A294,'Forecast Z Scores'!$A$1:$N$1541,13,FALSE)/VLOOKUP(A294,'Forecast Z Scores'!$A$1:$N$1541,14,FALSE),"Not Enough Data")</f>
        <v>1.0824339852146023</v>
      </c>
      <c r="H294">
        <v>-7.7833344794656645E-3</v>
      </c>
    </row>
    <row r="295" spans="1:8" x14ac:dyDescent="0.35">
      <c r="A295" t="str">
        <f t="shared" si="4"/>
        <v>18097330107_2027</v>
      </c>
      <c r="B295">
        <v>18097330107</v>
      </c>
      <c r="C295">
        <v>2027</v>
      </c>
      <c r="E295">
        <f>-(IF(VLOOKUP(B295,'2023 Z Scores'!$A$1:$K$309,11,FALSE)&gt;2,VLOOKUP(B295,'2023 Z Scores'!$A$1:$K$309,10,FALSE)/VLOOKUP(B295,'2023 Z Scores'!$A$1:$K$309,11,FALSE),"Not Enough data"))</f>
        <v>-0.57033865679143458</v>
      </c>
      <c r="F295">
        <f>IF(VLOOKUP(A295,'Delta Z Scores'!$A$1:$N$1541,14,FALSE)&gt;2,VLOOKUP(A295,'Delta Z Scores'!$A$1:$N$1541,13,FALSE)/VLOOKUP(A295,'Delta Z Scores'!$A$1:$N$1541,14,FALSE),"Not Enough Data")</f>
        <v>-0.108248578752228</v>
      </c>
      <c r="G295">
        <f>IF(VLOOKUP(A295,'Forecast Z Scores'!$A$1:$N$1541,14,FALSE)&gt;2,VLOOKUP(A295,'Forecast Z Scores'!$A$1:$N$1541,13,FALSE)/VLOOKUP(A295,'Forecast Z Scores'!$A$1:$N$1541,14,FALSE),"Not Enough Data")</f>
        <v>1.0598500893625702</v>
      </c>
      <c r="H295">
        <v>6.8253568766669909E-2</v>
      </c>
    </row>
    <row r="296" spans="1:8" x14ac:dyDescent="0.35">
      <c r="A296" t="str">
        <f t="shared" si="4"/>
        <v>18097330107_2028</v>
      </c>
      <c r="B296">
        <v>18097330107</v>
      </c>
      <c r="C296">
        <v>2028</v>
      </c>
      <c r="E296">
        <f>-(IF(VLOOKUP(B296,'2023 Z Scores'!$A$1:$K$309,11,FALSE)&gt;2,VLOOKUP(B296,'2023 Z Scores'!$A$1:$K$309,10,FALSE)/VLOOKUP(B296,'2023 Z Scores'!$A$1:$K$309,11,FALSE),"Not Enough data"))</f>
        <v>-0.57033865679143458</v>
      </c>
      <c r="F296">
        <f>IF(VLOOKUP(A296,'Delta Z Scores'!$A$1:$N$1541,14,FALSE)&gt;2,VLOOKUP(A296,'Delta Z Scores'!$A$1:$N$1541,13,FALSE)/VLOOKUP(A296,'Delta Z Scores'!$A$1:$N$1541,14,FALSE),"Not Enough Data")</f>
        <v>-0.19692461657250399</v>
      </c>
      <c r="G296">
        <f>IF(VLOOKUP(A296,'Forecast Z Scores'!$A$1:$N$1541,14,FALSE)&gt;2,VLOOKUP(A296,'Forecast Z Scores'!$A$1:$N$1541,13,FALSE)/VLOOKUP(A296,'Forecast Z Scores'!$A$1:$N$1541,14,FALSE),"Not Enough Data")</f>
        <v>1.0204395404528728</v>
      </c>
      <c r="H296">
        <v>1.4062912629107555E-2</v>
      </c>
    </row>
    <row r="297" spans="1:8" x14ac:dyDescent="0.35">
      <c r="A297" t="str">
        <f t="shared" si="4"/>
        <v>18097330108_2024</v>
      </c>
      <c r="B297">
        <v>18097330108</v>
      </c>
      <c r="C297">
        <v>2024</v>
      </c>
      <c r="E297">
        <f>-(IF(VLOOKUP(B297,'2023 Z Scores'!$A$1:$K$309,11,FALSE)&gt;2,VLOOKUP(B297,'2023 Z Scores'!$A$1:$K$309,10,FALSE)/VLOOKUP(B297,'2023 Z Scores'!$A$1:$K$309,11,FALSE),"Not Enough data"))</f>
        <v>-0.846127641560938</v>
      </c>
      <c r="F297">
        <f>IF(VLOOKUP(A297,'Delta Z Scores'!$A$1:$N$1541,14,FALSE)&gt;2,VLOOKUP(A297,'Delta Z Scores'!$A$1:$N$1541,13,FALSE)/VLOOKUP(A297,'Delta Z Scores'!$A$1:$N$1541,14,FALSE),"Not Enough Data")</f>
        <v>-0.19816430882085764</v>
      </c>
      <c r="G297">
        <f>IF(VLOOKUP(A297,'Forecast Z Scores'!$A$1:$N$1541,14,FALSE)&gt;2,VLOOKUP(A297,'Forecast Z Scores'!$A$1:$N$1541,13,FALSE)/VLOOKUP(A297,'Forecast Z Scores'!$A$1:$N$1541,14,FALSE),"Not Enough Data")</f>
        <v>0.85044585168776576</v>
      </c>
      <c r="H297">
        <v>-9.8002601878721882E-2</v>
      </c>
    </row>
    <row r="298" spans="1:8" x14ac:dyDescent="0.35">
      <c r="A298" t="str">
        <f t="shared" si="4"/>
        <v>18097330108_2025</v>
      </c>
      <c r="B298">
        <v>18097330108</v>
      </c>
      <c r="C298">
        <v>2025</v>
      </c>
      <c r="E298">
        <f>-(IF(VLOOKUP(B298,'2023 Z Scores'!$A$1:$K$309,11,FALSE)&gt;2,VLOOKUP(B298,'2023 Z Scores'!$A$1:$K$309,10,FALSE)/VLOOKUP(B298,'2023 Z Scores'!$A$1:$K$309,11,FALSE),"Not Enough data"))</f>
        <v>-0.846127641560938</v>
      </c>
      <c r="F298">
        <f>IF(VLOOKUP(A298,'Delta Z Scores'!$A$1:$N$1541,14,FALSE)&gt;2,VLOOKUP(A298,'Delta Z Scores'!$A$1:$N$1541,13,FALSE)/VLOOKUP(A298,'Delta Z Scores'!$A$1:$N$1541,14,FALSE),"Not Enough Data")</f>
        <v>0.45320973128965741</v>
      </c>
      <c r="G298">
        <f>IF(VLOOKUP(A298,'Forecast Z Scores'!$A$1:$N$1541,14,FALSE)&gt;2,VLOOKUP(A298,'Forecast Z Scores'!$A$1:$N$1541,13,FALSE)/VLOOKUP(A298,'Forecast Z Scores'!$A$1:$N$1541,14,FALSE),"Not Enough Data")</f>
        <v>0.83431159961984258</v>
      </c>
      <c r="H298">
        <v>0.22365085515955485</v>
      </c>
    </row>
    <row r="299" spans="1:8" x14ac:dyDescent="0.35">
      <c r="A299" t="str">
        <f t="shared" si="4"/>
        <v>18097330108_2026</v>
      </c>
      <c r="B299">
        <v>18097330108</v>
      </c>
      <c r="C299">
        <v>2026</v>
      </c>
      <c r="E299">
        <f>-(IF(VLOOKUP(B299,'2023 Z Scores'!$A$1:$K$309,11,FALSE)&gt;2,VLOOKUP(B299,'2023 Z Scores'!$A$1:$K$309,10,FALSE)/VLOOKUP(B299,'2023 Z Scores'!$A$1:$K$309,11,FALSE),"Not Enough data"))</f>
        <v>-0.846127641560938</v>
      </c>
      <c r="F299">
        <f>IF(VLOOKUP(A299,'Delta Z Scores'!$A$1:$N$1541,14,FALSE)&gt;2,VLOOKUP(A299,'Delta Z Scores'!$A$1:$N$1541,13,FALSE)/VLOOKUP(A299,'Delta Z Scores'!$A$1:$N$1541,14,FALSE),"Not Enough Data")</f>
        <v>0.37153079975800063</v>
      </c>
      <c r="G299">
        <f>IF(VLOOKUP(A299,'Forecast Z Scores'!$A$1:$N$1541,14,FALSE)&gt;2,VLOOKUP(A299,'Forecast Z Scores'!$A$1:$N$1541,13,FALSE)/VLOOKUP(A299,'Forecast Z Scores'!$A$1:$N$1541,14,FALSE),"Not Enough Data")</f>
        <v>0.82120839960036196</v>
      </c>
      <c r="H299">
        <v>0.17953558938885633</v>
      </c>
    </row>
    <row r="300" spans="1:8" x14ac:dyDescent="0.35">
      <c r="A300" t="str">
        <f t="shared" si="4"/>
        <v>18097330108_2027</v>
      </c>
      <c r="B300">
        <v>18097330108</v>
      </c>
      <c r="C300">
        <v>2027</v>
      </c>
      <c r="E300">
        <f>-(IF(VLOOKUP(B300,'2023 Z Scores'!$A$1:$K$309,11,FALSE)&gt;2,VLOOKUP(B300,'2023 Z Scores'!$A$1:$K$309,10,FALSE)/VLOOKUP(B300,'2023 Z Scores'!$A$1:$K$309,11,FALSE),"Not Enough data"))</f>
        <v>-0.846127641560938</v>
      </c>
      <c r="F300">
        <f>IF(VLOOKUP(A300,'Delta Z Scores'!$A$1:$N$1541,14,FALSE)&gt;2,VLOOKUP(A300,'Delta Z Scores'!$A$1:$N$1541,13,FALSE)/VLOOKUP(A300,'Delta Z Scores'!$A$1:$N$1541,14,FALSE),"Not Enough Data")</f>
        <v>0.56959094227539453</v>
      </c>
      <c r="G300">
        <f>IF(VLOOKUP(A300,'Forecast Z Scores'!$A$1:$N$1541,14,FALSE)&gt;2,VLOOKUP(A300,'Forecast Z Scores'!$A$1:$N$1541,13,FALSE)/VLOOKUP(A300,'Forecast Z Scores'!$A$1:$N$1541,14,FALSE),"Not Enough Data")</f>
        <v>0.81786179434156703</v>
      </c>
      <c r="H300">
        <v>0.27772900933285455</v>
      </c>
    </row>
    <row r="301" spans="1:8" x14ac:dyDescent="0.35">
      <c r="A301" t="str">
        <f t="shared" si="4"/>
        <v>18097330108_2028</v>
      </c>
      <c r="B301">
        <v>18097330108</v>
      </c>
      <c r="C301">
        <v>2028</v>
      </c>
      <c r="E301">
        <f>-(IF(VLOOKUP(B301,'2023 Z Scores'!$A$1:$K$309,11,FALSE)&gt;2,VLOOKUP(B301,'2023 Z Scores'!$A$1:$K$309,10,FALSE)/VLOOKUP(B301,'2023 Z Scores'!$A$1:$K$309,11,FALSE),"Not Enough data"))</f>
        <v>-0.846127641560938</v>
      </c>
      <c r="F301">
        <f>IF(VLOOKUP(A301,'Delta Z Scores'!$A$1:$N$1541,14,FALSE)&gt;2,VLOOKUP(A301,'Delta Z Scores'!$A$1:$N$1541,13,FALSE)/VLOOKUP(A301,'Delta Z Scores'!$A$1:$N$1541,14,FALSE),"Not Enough Data")</f>
        <v>0.59723490736554008</v>
      </c>
      <c r="G301">
        <f>IF(VLOOKUP(A301,'Forecast Z Scores'!$A$1:$N$1541,14,FALSE)&gt;2,VLOOKUP(A301,'Forecast Z Scores'!$A$1:$N$1541,13,FALSE)/VLOOKUP(A301,'Forecast Z Scores'!$A$1:$N$1541,14,FALSE),"Not Enough Data")</f>
        <v>0.81495836514072106</v>
      </c>
      <c r="H301">
        <v>0.2908251345777158</v>
      </c>
    </row>
    <row r="302" spans="1:8" x14ac:dyDescent="0.35">
      <c r="A302" t="str">
        <f t="shared" si="4"/>
        <v>18097330109_2024</v>
      </c>
      <c r="B302">
        <v>18097330109</v>
      </c>
      <c r="C302">
        <v>2024</v>
      </c>
      <c r="E302">
        <f>-(IF(VLOOKUP(B302,'2023 Z Scores'!$A$1:$K$309,11,FALSE)&gt;2,VLOOKUP(B302,'2023 Z Scores'!$A$1:$K$309,10,FALSE)/VLOOKUP(B302,'2023 Z Scores'!$A$1:$K$309,11,FALSE),"Not Enough data"))</f>
        <v>-0.54407560611453709</v>
      </c>
      <c r="F302">
        <f>IF(VLOOKUP(A302,'Delta Z Scores'!$A$1:$N$1541,14,FALSE)&gt;2,VLOOKUP(A302,'Delta Z Scores'!$A$1:$N$1541,13,FALSE)/VLOOKUP(A302,'Delta Z Scores'!$A$1:$N$1541,14,FALSE),"Not Enough Data")</f>
        <v>-0.56516764510664197</v>
      </c>
      <c r="G302">
        <f>IF(VLOOKUP(A302,'Forecast Z Scores'!$A$1:$N$1541,14,FALSE)&gt;2,VLOOKUP(A302,'Forecast Z Scores'!$A$1:$N$1541,13,FALSE)/VLOOKUP(A302,'Forecast Z Scores'!$A$1:$N$1541,14,FALSE),"Not Enough Data")</f>
        <v>0.43686781650199968</v>
      </c>
      <c r="H302">
        <v>-0.30938576995645534</v>
      </c>
    </row>
    <row r="303" spans="1:8" x14ac:dyDescent="0.35">
      <c r="A303" t="str">
        <f t="shared" si="4"/>
        <v>18097330109_2025</v>
      </c>
      <c r="B303">
        <v>18097330109</v>
      </c>
      <c r="C303">
        <v>2025</v>
      </c>
      <c r="E303">
        <f>-(IF(VLOOKUP(B303,'2023 Z Scores'!$A$1:$K$309,11,FALSE)&gt;2,VLOOKUP(B303,'2023 Z Scores'!$A$1:$K$309,10,FALSE)/VLOOKUP(B303,'2023 Z Scores'!$A$1:$K$309,11,FALSE),"Not Enough data"))</f>
        <v>-0.54407560611453709</v>
      </c>
      <c r="F303">
        <f>IF(VLOOKUP(A303,'Delta Z Scores'!$A$1:$N$1541,14,FALSE)&gt;2,VLOOKUP(A303,'Delta Z Scores'!$A$1:$N$1541,13,FALSE)/VLOOKUP(A303,'Delta Z Scores'!$A$1:$N$1541,14,FALSE),"Not Enough Data")</f>
        <v>-0.27510525169991967</v>
      </c>
      <c r="G303">
        <f>IF(VLOOKUP(A303,'Forecast Z Scores'!$A$1:$N$1541,14,FALSE)&gt;2,VLOOKUP(A303,'Forecast Z Scores'!$A$1:$N$1541,13,FALSE)/VLOOKUP(A303,'Forecast Z Scores'!$A$1:$N$1541,14,FALSE),"Not Enough Data")</f>
        <v>0.3920311510692619</v>
      </c>
      <c r="H303">
        <v>-0.17556373961127864</v>
      </c>
    </row>
    <row r="304" spans="1:8" x14ac:dyDescent="0.35">
      <c r="A304" t="str">
        <f t="shared" si="4"/>
        <v>18097330109_2026</v>
      </c>
      <c r="B304">
        <v>18097330109</v>
      </c>
      <c r="C304">
        <v>2026</v>
      </c>
      <c r="E304">
        <f>-(IF(VLOOKUP(B304,'2023 Z Scores'!$A$1:$K$309,11,FALSE)&gt;2,VLOOKUP(B304,'2023 Z Scores'!$A$1:$K$309,10,FALSE)/VLOOKUP(B304,'2023 Z Scores'!$A$1:$K$309,11,FALSE),"Not Enough data"))</f>
        <v>-0.54407560611453709</v>
      </c>
      <c r="F304">
        <f>IF(VLOOKUP(A304,'Delta Z Scores'!$A$1:$N$1541,14,FALSE)&gt;2,VLOOKUP(A304,'Delta Z Scores'!$A$1:$N$1541,13,FALSE)/VLOOKUP(A304,'Delta Z Scores'!$A$1:$N$1541,14,FALSE),"Not Enough Data")</f>
        <v>-0.35700901511223154</v>
      </c>
      <c r="G304">
        <f>IF(VLOOKUP(A304,'Forecast Z Scores'!$A$1:$N$1541,14,FALSE)&gt;2,VLOOKUP(A304,'Forecast Z Scores'!$A$1:$N$1541,13,FALSE)/VLOOKUP(A304,'Forecast Z Scores'!$A$1:$N$1541,14,FALSE),"Not Enough Data")</f>
        <v>0.34464112651108436</v>
      </c>
      <c r="H304">
        <v>-0.22836312745697895</v>
      </c>
    </row>
    <row r="305" spans="1:8" x14ac:dyDescent="0.35">
      <c r="A305" t="str">
        <f t="shared" si="4"/>
        <v>18097330109_2027</v>
      </c>
      <c r="B305">
        <v>18097330109</v>
      </c>
      <c r="C305">
        <v>2027</v>
      </c>
      <c r="E305">
        <f>-(IF(VLOOKUP(B305,'2023 Z Scores'!$A$1:$K$309,11,FALSE)&gt;2,VLOOKUP(B305,'2023 Z Scores'!$A$1:$K$309,10,FALSE)/VLOOKUP(B305,'2023 Z Scores'!$A$1:$K$309,11,FALSE),"Not Enough data"))</f>
        <v>-0.54407560611453709</v>
      </c>
      <c r="F305">
        <f>IF(VLOOKUP(A305,'Delta Z Scores'!$A$1:$N$1541,14,FALSE)&gt;2,VLOOKUP(A305,'Delta Z Scores'!$A$1:$N$1541,13,FALSE)/VLOOKUP(A305,'Delta Z Scores'!$A$1:$N$1541,14,FALSE),"Not Enough Data")</f>
        <v>-0.19737898620174341</v>
      </c>
      <c r="G305">
        <f>IF(VLOOKUP(A305,'Forecast Z Scores'!$A$1:$N$1541,14,FALSE)&gt;2,VLOOKUP(A305,'Forecast Z Scores'!$A$1:$N$1541,13,FALSE)/VLOOKUP(A305,'Forecast Z Scores'!$A$1:$N$1541,14,FALSE),"Not Enough Data")</f>
        <v>0.31337931154372917</v>
      </c>
      <c r="H305">
        <v>-0.15636356674357368</v>
      </c>
    </row>
    <row r="306" spans="1:8" x14ac:dyDescent="0.35">
      <c r="A306" t="str">
        <f t="shared" si="4"/>
        <v>18097330109_2028</v>
      </c>
      <c r="B306">
        <v>18097330109</v>
      </c>
      <c r="C306">
        <v>2028</v>
      </c>
      <c r="E306">
        <f>-(IF(VLOOKUP(B306,'2023 Z Scores'!$A$1:$K$309,11,FALSE)&gt;2,VLOOKUP(B306,'2023 Z Scores'!$A$1:$K$309,10,FALSE)/VLOOKUP(B306,'2023 Z Scores'!$A$1:$K$309,11,FALSE),"Not Enough data"))</f>
        <v>-0.54407560611453709</v>
      </c>
      <c r="F306">
        <f>IF(VLOOKUP(A306,'Delta Z Scores'!$A$1:$N$1541,14,FALSE)&gt;2,VLOOKUP(A306,'Delta Z Scores'!$A$1:$N$1541,13,FALSE)/VLOOKUP(A306,'Delta Z Scores'!$A$1:$N$1541,14,FALSE),"Not Enough Data")</f>
        <v>-0.18336905711994175</v>
      </c>
      <c r="G306">
        <f>IF(VLOOKUP(A306,'Forecast Z Scores'!$A$1:$N$1541,14,FALSE)&gt;2,VLOOKUP(A306,'Forecast Z Scores'!$A$1:$N$1541,13,FALSE)/VLOOKUP(A306,'Forecast Z Scores'!$A$1:$N$1541,14,FALSE),"Not Enough Data")</f>
        <v>0.28123785667873935</v>
      </c>
      <c r="H306">
        <v>-0.1573939659189203</v>
      </c>
    </row>
    <row r="307" spans="1:8" x14ac:dyDescent="0.35">
      <c r="A307" t="str">
        <f t="shared" si="4"/>
        <v>18097330204_2024</v>
      </c>
      <c r="B307">
        <v>18097330204</v>
      </c>
      <c r="C307">
        <v>2024</v>
      </c>
      <c r="E307">
        <f>-(IF(VLOOKUP(B307,'2023 Z Scores'!$A$1:$K$309,11,FALSE)&gt;2,VLOOKUP(B307,'2023 Z Scores'!$A$1:$K$309,10,FALSE)/VLOOKUP(B307,'2023 Z Scores'!$A$1:$K$309,11,FALSE),"Not Enough data"))</f>
        <v>-0.47241914549092623</v>
      </c>
      <c r="F307">
        <f>IF(VLOOKUP(A307,'Delta Z Scores'!$A$1:$N$1541,14,FALSE)&gt;2,VLOOKUP(A307,'Delta Z Scores'!$A$1:$N$1541,13,FALSE)/VLOOKUP(A307,'Delta Z Scores'!$A$1:$N$1541,14,FALSE),"Not Enough Data")</f>
        <v>-0.22883949451463564</v>
      </c>
      <c r="G307">
        <f>IF(VLOOKUP(A307,'Forecast Z Scores'!$A$1:$N$1541,14,FALSE)&gt;2,VLOOKUP(A307,'Forecast Z Scores'!$A$1:$N$1541,13,FALSE)/VLOOKUP(A307,'Forecast Z Scores'!$A$1:$N$1541,14,FALSE),"Not Enough Data")</f>
        <v>-6.9012491836818277E-2</v>
      </c>
      <c r="H307">
        <v>-0.24977765658925394</v>
      </c>
    </row>
    <row r="308" spans="1:8" x14ac:dyDescent="0.35">
      <c r="A308" t="str">
        <f t="shared" si="4"/>
        <v>18097330204_2025</v>
      </c>
      <c r="B308">
        <v>18097330204</v>
      </c>
      <c r="C308">
        <v>2025</v>
      </c>
      <c r="E308">
        <f>-(IF(VLOOKUP(B308,'2023 Z Scores'!$A$1:$K$309,11,FALSE)&gt;2,VLOOKUP(B308,'2023 Z Scores'!$A$1:$K$309,10,FALSE)/VLOOKUP(B308,'2023 Z Scores'!$A$1:$K$309,11,FALSE),"Not Enough data"))</f>
        <v>-0.47241914549092623</v>
      </c>
      <c r="F308">
        <f>IF(VLOOKUP(A308,'Delta Z Scores'!$A$1:$N$1541,14,FALSE)&gt;2,VLOOKUP(A308,'Delta Z Scores'!$A$1:$N$1541,13,FALSE)/VLOOKUP(A308,'Delta Z Scores'!$A$1:$N$1541,14,FALSE),"Not Enough Data")</f>
        <v>-0.19803597541782489</v>
      </c>
      <c r="G308">
        <f>IF(VLOOKUP(A308,'Forecast Z Scores'!$A$1:$N$1541,14,FALSE)&gt;2,VLOOKUP(A308,'Forecast Z Scores'!$A$1:$N$1541,13,FALSE)/VLOOKUP(A308,'Forecast Z Scores'!$A$1:$N$1541,14,FALSE),"Not Enough Data")</f>
        <v>-8.2002162546225499E-2</v>
      </c>
      <c r="H308">
        <v>-0.23762331471820036</v>
      </c>
    </row>
    <row r="309" spans="1:8" x14ac:dyDescent="0.35">
      <c r="A309" t="str">
        <f t="shared" si="4"/>
        <v>18097330204_2026</v>
      </c>
      <c r="B309">
        <v>18097330204</v>
      </c>
      <c r="C309">
        <v>2026</v>
      </c>
      <c r="E309">
        <f>-(IF(VLOOKUP(B309,'2023 Z Scores'!$A$1:$K$309,11,FALSE)&gt;2,VLOOKUP(B309,'2023 Z Scores'!$A$1:$K$309,10,FALSE)/VLOOKUP(B309,'2023 Z Scores'!$A$1:$K$309,11,FALSE),"Not Enough data"))</f>
        <v>-0.47241914549092623</v>
      </c>
      <c r="F309">
        <f>IF(VLOOKUP(A309,'Delta Z Scores'!$A$1:$N$1541,14,FALSE)&gt;2,VLOOKUP(A309,'Delta Z Scores'!$A$1:$N$1541,13,FALSE)/VLOOKUP(A309,'Delta Z Scores'!$A$1:$N$1541,14,FALSE),"Not Enough Data")</f>
        <v>-0.38907967622748263</v>
      </c>
      <c r="G309">
        <f>IF(VLOOKUP(A309,'Forecast Z Scores'!$A$1:$N$1541,14,FALSE)&gt;2,VLOOKUP(A309,'Forecast Z Scores'!$A$1:$N$1541,13,FALSE)/VLOOKUP(A309,'Forecast Z Scores'!$A$1:$N$1541,14,FALSE),"Not Enough Data")</f>
        <v>-0.113481800094962</v>
      </c>
      <c r="H309">
        <v>-0.3410150745102134</v>
      </c>
    </row>
    <row r="310" spans="1:8" x14ac:dyDescent="0.35">
      <c r="A310" t="str">
        <f t="shared" si="4"/>
        <v>18097330204_2027</v>
      </c>
      <c r="B310">
        <v>18097330204</v>
      </c>
      <c r="C310">
        <v>2027</v>
      </c>
      <c r="E310">
        <f>-(IF(VLOOKUP(B310,'2023 Z Scores'!$A$1:$K$309,11,FALSE)&gt;2,VLOOKUP(B310,'2023 Z Scores'!$A$1:$K$309,10,FALSE)/VLOOKUP(B310,'2023 Z Scores'!$A$1:$K$309,11,FALSE),"Not Enough data"))</f>
        <v>-0.47241914549092623</v>
      </c>
      <c r="F310">
        <f>IF(VLOOKUP(A310,'Delta Z Scores'!$A$1:$N$1541,14,FALSE)&gt;2,VLOOKUP(A310,'Delta Z Scores'!$A$1:$N$1541,13,FALSE)/VLOOKUP(A310,'Delta Z Scores'!$A$1:$N$1541,14,FALSE),"Not Enough Data")</f>
        <v>-0.27910804292733482</v>
      </c>
      <c r="G310">
        <f>IF(VLOOKUP(A310,'Forecast Z Scores'!$A$1:$N$1541,14,FALSE)&gt;2,VLOOKUP(A310,'Forecast Z Scores'!$A$1:$N$1541,13,FALSE)/VLOOKUP(A310,'Forecast Z Scores'!$A$1:$N$1541,14,FALSE),"Not Enough Data")</f>
        <v>-0.12929704341724654</v>
      </c>
      <c r="H310">
        <v>-0.28998306869071061</v>
      </c>
    </row>
    <row r="311" spans="1:8" x14ac:dyDescent="0.35">
      <c r="A311" t="str">
        <f t="shared" si="4"/>
        <v>18097330204_2028</v>
      </c>
      <c r="B311">
        <v>18097330204</v>
      </c>
      <c r="C311">
        <v>2028</v>
      </c>
      <c r="E311">
        <f>-(IF(VLOOKUP(B311,'2023 Z Scores'!$A$1:$K$309,11,FALSE)&gt;2,VLOOKUP(B311,'2023 Z Scores'!$A$1:$K$309,10,FALSE)/VLOOKUP(B311,'2023 Z Scores'!$A$1:$K$309,11,FALSE),"Not Enough data"))</f>
        <v>-0.47241914549092623</v>
      </c>
      <c r="F311">
        <f>IF(VLOOKUP(A311,'Delta Z Scores'!$A$1:$N$1541,14,FALSE)&gt;2,VLOOKUP(A311,'Delta Z Scores'!$A$1:$N$1541,13,FALSE)/VLOOKUP(A311,'Delta Z Scores'!$A$1:$N$1541,14,FALSE),"Not Enough Data")</f>
        <v>-0.35741528919464877</v>
      </c>
      <c r="G311">
        <f>IF(VLOOKUP(A311,'Forecast Z Scores'!$A$1:$N$1541,14,FALSE)&gt;2,VLOOKUP(A311,'Forecast Z Scores'!$A$1:$N$1541,13,FALSE)/VLOOKUP(A311,'Forecast Z Scores'!$A$1:$N$1541,14,FALSE),"Not Enough Data")</f>
        <v>-0.15205452991658178</v>
      </c>
      <c r="H311">
        <v>-0.33482606344920141</v>
      </c>
    </row>
    <row r="312" spans="1:8" x14ac:dyDescent="0.35">
      <c r="A312" t="str">
        <f t="shared" si="4"/>
        <v>18097330210_2024</v>
      </c>
      <c r="B312">
        <v>18097330210</v>
      </c>
      <c r="C312">
        <v>2024</v>
      </c>
      <c r="E312">
        <f>-(IF(VLOOKUP(B312,'2023 Z Scores'!$A$1:$K$309,11,FALSE)&gt;2,VLOOKUP(B312,'2023 Z Scores'!$A$1:$K$309,10,FALSE)/VLOOKUP(B312,'2023 Z Scores'!$A$1:$K$309,11,FALSE),"Not Enough data"))</f>
        <v>-0.16255462959753711</v>
      </c>
      <c r="F312">
        <f>IF(VLOOKUP(A312,'Delta Z Scores'!$A$1:$N$1541,14,FALSE)&gt;2,VLOOKUP(A312,'Delta Z Scores'!$A$1:$N$1541,13,FALSE)/VLOOKUP(A312,'Delta Z Scores'!$A$1:$N$1541,14,FALSE),"Not Enough Data")</f>
        <v>-0.10975866634055197</v>
      </c>
      <c r="G312">
        <f>IF(VLOOKUP(A312,'Forecast Z Scores'!$A$1:$N$1541,14,FALSE)&gt;2,VLOOKUP(A312,'Forecast Z Scores'!$A$1:$N$1541,13,FALSE)/VLOOKUP(A312,'Forecast Z Scores'!$A$1:$N$1541,14,FALSE),"Not Enough Data")</f>
        <v>2.3556892350045773E-2</v>
      </c>
      <c r="H312">
        <v>-8.9628767482148819E-2</v>
      </c>
    </row>
    <row r="313" spans="1:8" x14ac:dyDescent="0.35">
      <c r="A313" t="str">
        <f t="shared" si="4"/>
        <v>18097330210_2025</v>
      </c>
      <c r="B313">
        <v>18097330210</v>
      </c>
      <c r="C313">
        <v>2025</v>
      </c>
      <c r="E313">
        <f>-(IF(VLOOKUP(B313,'2023 Z Scores'!$A$1:$K$309,11,FALSE)&gt;2,VLOOKUP(B313,'2023 Z Scores'!$A$1:$K$309,10,FALSE)/VLOOKUP(B313,'2023 Z Scores'!$A$1:$K$309,11,FALSE),"Not Enough data"))</f>
        <v>-0.16255462959753711</v>
      </c>
      <c r="F313">
        <f>IF(VLOOKUP(A313,'Delta Z Scores'!$A$1:$N$1541,14,FALSE)&gt;2,VLOOKUP(A313,'Delta Z Scores'!$A$1:$N$1541,13,FALSE)/VLOOKUP(A313,'Delta Z Scores'!$A$1:$N$1541,14,FALSE),"Not Enough Data")</f>
        <v>-7.7206056376160404E-2</v>
      </c>
      <c r="G313">
        <f>IF(VLOOKUP(A313,'Forecast Z Scores'!$A$1:$N$1541,14,FALSE)&gt;2,VLOOKUP(A313,'Forecast Z Scores'!$A$1:$N$1541,13,FALSE)/VLOOKUP(A313,'Forecast Z Scores'!$A$1:$N$1541,14,FALSE),"Not Enough Data")</f>
        <v>-2.240115343480033E-3</v>
      </c>
      <c r="H313">
        <v>-7.9801714423334488E-2</v>
      </c>
    </row>
    <row r="314" spans="1:8" x14ac:dyDescent="0.35">
      <c r="A314" t="str">
        <f t="shared" si="4"/>
        <v>18097330210_2026</v>
      </c>
      <c r="B314">
        <v>18097330210</v>
      </c>
      <c r="C314">
        <v>2026</v>
      </c>
      <c r="E314">
        <f>-(IF(VLOOKUP(B314,'2023 Z Scores'!$A$1:$K$309,11,FALSE)&gt;2,VLOOKUP(B314,'2023 Z Scores'!$A$1:$K$309,10,FALSE)/VLOOKUP(B314,'2023 Z Scores'!$A$1:$K$309,11,FALSE),"Not Enough data"))</f>
        <v>-0.16255462959753711</v>
      </c>
      <c r="F314">
        <f>IF(VLOOKUP(A314,'Delta Z Scores'!$A$1:$N$1541,14,FALSE)&gt;2,VLOOKUP(A314,'Delta Z Scores'!$A$1:$N$1541,13,FALSE)/VLOOKUP(A314,'Delta Z Scores'!$A$1:$N$1541,14,FALSE),"Not Enough Data")</f>
        <v>-0.19963829597009189</v>
      </c>
      <c r="G314">
        <f>IF(VLOOKUP(A314,'Forecast Z Scores'!$A$1:$N$1541,14,FALSE)&gt;2,VLOOKUP(A314,'Forecast Z Scores'!$A$1:$N$1541,13,FALSE)/VLOOKUP(A314,'Forecast Z Scores'!$A$1:$N$1541,14,FALSE),"Not Enough Data")</f>
        <v>-3.4843141928884137E-2</v>
      </c>
      <c r="H314">
        <v>-0.14916859086665127</v>
      </c>
    </row>
    <row r="315" spans="1:8" x14ac:dyDescent="0.35">
      <c r="A315" t="str">
        <f t="shared" si="4"/>
        <v>18097330210_2027</v>
      </c>
      <c r="B315">
        <v>18097330210</v>
      </c>
      <c r="C315">
        <v>2027</v>
      </c>
      <c r="E315">
        <f>-(IF(VLOOKUP(B315,'2023 Z Scores'!$A$1:$K$309,11,FALSE)&gt;2,VLOOKUP(B315,'2023 Z Scores'!$A$1:$K$309,10,FALSE)/VLOOKUP(B315,'2023 Z Scores'!$A$1:$K$309,11,FALSE),"Not Enough data"))</f>
        <v>-0.16255462959753711</v>
      </c>
      <c r="F315">
        <f>IF(VLOOKUP(A315,'Delta Z Scores'!$A$1:$N$1541,14,FALSE)&gt;2,VLOOKUP(A315,'Delta Z Scores'!$A$1:$N$1541,13,FALSE)/VLOOKUP(A315,'Delta Z Scores'!$A$1:$N$1541,14,FALSE),"Not Enough Data")</f>
        <v>-0.18641563372740988</v>
      </c>
      <c r="G315">
        <f>IF(VLOOKUP(A315,'Forecast Z Scores'!$A$1:$N$1541,14,FALSE)&gt;2,VLOOKUP(A315,'Forecast Z Scores'!$A$1:$N$1541,13,FALSE)/VLOOKUP(A315,'Forecast Z Scores'!$A$1:$N$1541,14,FALSE),"Not Enough Data")</f>
        <v>-6.6988687069755179E-2</v>
      </c>
      <c r="H315">
        <v>-0.15059364603052802</v>
      </c>
    </row>
    <row r="316" spans="1:8" x14ac:dyDescent="0.35">
      <c r="A316" t="str">
        <f t="shared" si="4"/>
        <v>18097330210_2028</v>
      </c>
      <c r="B316">
        <v>18097330210</v>
      </c>
      <c r="C316">
        <v>2028</v>
      </c>
      <c r="E316">
        <f>-(IF(VLOOKUP(B316,'2023 Z Scores'!$A$1:$K$309,11,FALSE)&gt;2,VLOOKUP(B316,'2023 Z Scores'!$A$1:$K$309,10,FALSE)/VLOOKUP(B316,'2023 Z Scores'!$A$1:$K$309,11,FALSE),"Not Enough data"))</f>
        <v>-0.16255462959753711</v>
      </c>
      <c r="F316">
        <f>IF(VLOOKUP(A316,'Delta Z Scores'!$A$1:$N$1541,14,FALSE)&gt;2,VLOOKUP(A316,'Delta Z Scores'!$A$1:$N$1541,13,FALSE)/VLOOKUP(A316,'Delta Z Scores'!$A$1:$N$1541,14,FALSE),"Not Enough Data")</f>
        <v>-0.13057937129938138</v>
      </c>
      <c r="G316">
        <f>IF(VLOOKUP(A316,'Forecast Z Scores'!$A$1:$N$1541,14,FALSE)&gt;2,VLOOKUP(A316,'Forecast Z Scores'!$A$1:$N$1541,13,FALSE)/VLOOKUP(A316,'Forecast Z Scores'!$A$1:$N$1541,14,FALSE),"Not Enough Data")</f>
        <v>-9.0832965931356466E-2</v>
      </c>
      <c r="H316">
        <v>-0.12863658453191409</v>
      </c>
    </row>
    <row r="317" spans="1:8" x14ac:dyDescent="0.35">
      <c r="A317" t="str">
        <f t="shared" si="4"/>
        <v>18097330211_2024</v>
      </c>
      <c r="B317">
        <v>18097330211</v>
      </c>
      <c r="C317">
        <v>2024</v>
      </c>
      <c r="E317">
        <f>-(IF(VLOOKUP(B317,'2023 Z Scores'!$A$1:$K$309,11,FALSE)&gt;2,VLOOKUP(B317,'2023 Z Scores'!$A$1:$K$309,10,FALSE)/VLOOKUP(B317,'2023 Z Scores'!$A$1:$K$309,11,FALSE),"Not Enough data"))</f>
        <v>0.30368159555934909</v>
      </c>
      <c r="F317">
        <f>IF(VLOOKUP(A317,'Delta Z Scores'!$A$1:$N$1541,14,FALSE)&gt;2,VLOOKUP(A317,'Delta Z Scores'!$A$1:$N$1541,13,FALSE)/VLOOKUP(A317,'Delta Z Scores'!$A$1:$N$1541,14,FALSE),"Not Enough Data")</f>
        <v>-0.16585493998204906</v>
      </c>
      <c r="G317">
        <f>IF(VLOOKUP(A317,'Forecast Z Scores'!$A$1:$N$1541,14,FALSE)&gt;2,VLOOKUP(A317,'Forecast Z Scores'!$A$1:$N$1541,13,FALSE)/VLOOKUP(A317,'Forecast Z Scores'!$A$1:$N$1541,14,FALSE),"Not Enough Data")</f>
        <v>-0.28356345650744585</v>
      </c>
      <c r="H317">
        <v>-7.7897935228048706E-2</v>
      </c>
    </row>
    <row r="318" spans="1:8" x14ac:dyDescent="0.35">
      <c r="A318" t="str">
        <f t="shared" si="4"/>
        <v>18097330211_2025</v>
      </c>
      <c r="B318">
        <v>18097330211</v>
      </c>
      <c r="C318">
        <v>2025</v>
      </c>
      <c r="E318">
        <f>-(IF(VLOOKUP(B318,'2023 Z Scores'!$A$1:$K$309,11,FALSE)&gt;2,VLOOKUP(B318,'2023 Z Scores'!$A$1:$K$309,10,FALSE)/VLOOKUP(B318,'2023 Z Scores'!$A$1:$K$309,11,FALSE),"Not Enough data"))</f>
        <v>0.30368159555934909</v>
      </c>
      <c r="F318">
        <f>IF(VLOOKUP(A318,'Delta Z Scores'!$A$1:$N$1541,14,FALSE)&gt;2,VLOOKUP(A318,'Delta Z Scores'!$A$1:$N$1541,13,FALSE)/VLOOKUP(A318,'Delta Z Scores'!$A$1:$N$1541,14,FALSE),"Not Enough Data")</f>
        <v>-0.36213908371697251</v>
      </c>
      <c r="G318">
        <f>IF(VLOOKUP(A318,'Forecast Z Scores'!$A$1:$N$1541,14,FALSE)&gt;2,VLOOKUP(A318,'Forecast Z Scores'!$A$1:$N$1541,13,FALSE)/VLOOKUP(A318,'Forecast Z Scores'!$A$1:$N$1541,14,FALSE),"Not Enough Data")</f>
        <v>-0.31334988017809795</v>
      </c>
      <c r="H318">
        <v>-0.18348661301317348</v>
      </c>
    </row>
    <row r="319" spans="1:8" x14ac:dyDescent="0.35">
      <c r="A319" t="str">
        <f t="shared" si="4"/>
        <v>18097330211_2026</v>
      </c>
      <c r="B319">
        <v>18097330211</v>
      </c>
      <c r="C319">
        <v>2026</v>
      </c>
      <c r="E319">
        <f>-(IF(VLOOKUP(B319,'2023 Z Scores'!$A$1:$K$309,11,FALSE)&gt;2,VLOOKUP(B319,'2023 Z Scores'!$A$1:$K$309,10,FALSE)/VLOOKUP(B319,'2023 Z Scores'!$A$1:$K$309,11,FALSE),"Not Enough data"))</f>
        <v>0.30368159555934909</v>
      </c>
      <c r="F319">
        <f>IF(VLOOKUP(A319,'Delta Z Scores'!$A$1:$N$1541,14,FALSE)&gt;2,VLOOKUP(A319,'Delta Z Scores'!$A$1:$N$1541,13,FALSE)/VLOOKUP(A319,'Delta Z Scores'!$A$1:$N$1541,14,FALSE),"Not Enough Data")</f>
        <v>-0.84790322493988646</v>
      </c>
      <c r="G319">
        <f>IF(VLOOKUP(A319,'Forecast Z Scores'!$A$1:$N$1541,14,FALSE)&gt;2,VLOOKUP(A319,'Forecast Z Scores'!$A$1:$N$1541,13,FALSE)/VLOOKUP(A319,'Forecast Z Scores'!$A$1:$N$1541,14,FALSE),"Not Enough Data")</f>
        <v>-0.43387939478365339</v>
      </c>
      <c r="H319">
        <v>-0.45650106227601928</v>
      </c>
    </row>
    <row r="320" spans="1:8" x14ac:dyDescent="0.35">
      <c r="A320" t="str">
        <f t="shared" si="4"/>
        <v>18097330211_2027</v>
      </c>
      <c r="B320">
        <v>18097330211</v>
      </c>
      <c r="C320">
        <v>2027</v>
      </c>
      <c r="E320">
        <f>-(IF(VLOOKUP(B320,'2023 Z Scores'!$A$1:$K$309,11,FALSE)&gt;2,VLOOKUP(B320,'2023 Z Scores'!$A$1:$K$309,10,FALSE)/VLOOKUP(B320,'2023 Z Scores'!$A$1:$K$309,11,FALSE),"Not Enough data"))</f>
        <v>0.30368159555934909</v>
      </c>
      <c r="F320">
        <f>IF(VLOOKUP(A320,'Delta Z Scores'!$A$1:$N$1541,14,FALSE)&gt;2,VLOOKUP(A320,'Delta Z Scores'!$A$1:$N$1541,13,FALSE)/VLOOKUP(A320,'Delta Z Scores'!$A$1:$N$1541,14,FALSE),"Not Enough Data")</f>
        <v>-0.42250415304736794</v>
      </c>
      <c r="G320">
        <f>IF(VLOOKUP(A320,'Forecast Z Scores'!$A$1:$N$1541,14,FALSE)&gt;2,VLOOKUP(A320,'Forecast Z Scores'!$A$1:$N$1541,13,FALSE)/VLOOKUP(A320,'Forecast Z Scores'!$A$1:$N$1541,14,FALSE),"Not Enough Data")</f>
        <v>-0.45130016576648146</v>
      </c>
      <c r="H320">
        <v>-0.2481567190754671</v>
      </c>
    </row>
    <row r="321" spans="1:8" x14ac:dyDescent="0.35">
      <c r="A321" t="str">
        <f t="shared" si="4"/>
        <v>18097330211_2028</v>
      </c>
      <c r="B321">
        <v>18097330211</v>
      </c>
      <c r="C321">
        <v>2028</v>
      </c>
      <c r="E321">
        <f>-(IF(VLOOKUP(B321,'2023 Z Scores'!$A$1:$K$309,11,FALSE)&gt;2,VLOOKUP(B321,'2023 Z Scores'!$A$1:$K$309,10,FALSE)/VLOOKUP(B321,'2023 Z Scores'!$A$1:$K$309,11,FALSE),"Not Enough data"))</f>
        <v>0.30368159555934909</v>
      </c>
      <c r="F321">
        <f>IF(VLOOKUP(A321,'Delta Z Scores'!$A$1:$N$1541,14,FALSE)&gt;2,VLOOKUP(A321,'Delta Z Scores'!$A$1:$N$1541,13,FALSE)/VLOOKUP(A321,'Delta Z Scores'!$A$1:$N$1541,14,FALSE),"Not Enough Data")</f>
        <v>-0.6438269322364073</v>
      </c>
      <c r="G321">
        <f>IF(VLOOKUP(A321,'Forecast Z Scores'!$A$1:$N$1541,14,FALSE)&gt;2,VLOOKUP(A321,'Forecast Z Scores'!$A$1:$N$1541,13,FALSE)/VLOOKUP(A321,'Forecast Z Scores'!$A$1:$N$1541,14,FALSE),"Not Enough Data")</f>
        <v>-0.54373475578614239</v>
      </c>
      <c r="H321">
        <v>-0.38192675617490202</v>
      </c>
    </row>
    <row r="322" spans="1:8" x14ac:dyDescent="0.35">
      <c r="A322" t="str">
        <f t="shared" si="4"/>
        <v>18097330212_2024</v>
      </c>
      <c r="B322">
        <v>18097330212</v>
      </c>
      <c r="C322">
        <v>2024</v>
      </c>
      <c r="E322">
        <f>-(IF(VLOOKUP(B322,'2023 Z Scores'!$A$1:$K$309,11,FALSE)&gt;2,VLOOKUP(B322,'2023 Z Scores'!$A$1:$K$309,10,FALSE)/VLOOKUP(B322,'2023 Z Scores'!$A$1:$K$309,11,FALSE),"Not Enough data"))</f>
        <v>-6.3787995698934702E-2</v>
      </c>
      <c r="F322">
        <f>IF(VLOOKUP(A322,'Delta Z Scores'!$A$1:$N$1541,14,FALSE)&gt;2,VLOOKUP(A322,'Delta Z Scores'!$A$1:$N$1541,13,FALSE)/VLOOKUP(A322,'Delta Z Scores'!$A$1:$N$1541,14,FALSE),"Not Enough Data")</f>
        <v>-0.35206637843177352</v>
      </c>
      <c r="G322">
        <f>IF(VLOOKUP(A322,'Forecast Z Scores'!$A$1:$N$1541,14,FALSE)&gt;2,VLOOKUP(A322,'Forecast Z Scores'!$A$1:$N$1541,13,FALSE)/VLOOKUP(A322,'Forecast Z Scores'!$A$1:$N$1541,14,FALSE),"Not Enough Data")</f>
        <v>-0.41737201118487233</v>
      </c>
      <c r="H322">
        <v>-0.29632319093683851</v>
      </c>
    </row>
    <row r="323" spans="1:8" x14ac:dyDescent="0.35">
      <c r="A323" t="str">
        <f t="shared" ref="A323:A386" si="5">TEXT(B323,0)&amp;"_"&amp;TEXT(C323,0)</f>
        <v>18097330212_2025</v>
      </c>
      <c r="B323">
        <v>18097330212</v>
      </c>
      <c r="C323">
        <v>2025</v>
      </c>
      <c r="E323">
        <f>-(IF(VLOOKUP(B323,'2023 Z Scores'!$A$1:$K$309,11,FALSE)&gt;2,VLOOKUP(B323,'2023 Z Scores'!$A$1:$K$309,10,FALSE)/VLOOKUP(B323,'2023 Z Scores'!$A$1:$K$309,11,FALSE),"Not Enough data"))</f>
        <v>-6.3787995698934702E-2</v>
      </c>
      <c r="F323">
        <f>IF(VLOOKUP(A323,'Delta Z Scores'!$A$1:$N$1541,14,FALSE)&gt;2,VLOOKUP(A323,'Delta Z Scores'!$A$1:$N$1541,13,FALSE)/VLOOKUP(A323,'Delta Z Scores'!$A$1:$N$1541,14,FALSE),"Not Enough Data")</f>
        <v>-0.32497646143838971</v>
      </c>
      <c r="G323">
        <f>IF(VLOOKUP(A323,'Forecast Z Scores'!$A$1:$N$1541,14,FALSE)&gt;2,VLOOKUP(A323,'Forecast Z Scores'!$A$1:$N$1541,13,FALSE)/VLOOKUP(A323,'Forecast Z Scores'!$A$1:$N$1541,14,FALSE),"Not Enough Data")</f>
        <v>-0.43700847649563351</v>
      </c>
      <c r="H323">
        <v>-0.28768734876783691</v>
      </c>
    </row>
    <row r="324" spans="1:8" x14ac:dyDescent="0.35">
      <c r="A324" t="str">
        <f t="shared" si="5"/>
        <v>18097330212_2026</v>
      </c>
      <c r="B324">
        <v>18097330212</v>
      </c>
      <c r="C324">
        <v>2026</v>
      </c>
      <c r="E324">
        <f>-(IF(VLOOKUP(B324,'2023 Z Scores'!$A$1:$K$309,11,FALSE)&gt;2,VLOOKUP(B324,'2023 Z Scores'!$A$1:$K$309,10,FALSE)/VLOOKUP(B324,'2023 Z Scores'!$A$1:$K$309,11,FALSE),"Not Enough data"))</f>
        <v>-6.3787995698934702E-2</v>
      </c>
      <c r="F324">
        <f>IF(VLOOKUP(A324,'Delta Z Scores'!$A$1:$N$1541,14,FALSE)&gt;2,VLOOKUP(A324,'Delta Z Scores'!$A$1:$N$1541,13,FALSE)/VLOOKUP(A324,'Delta Z Scores'!$A$1:$N$1541,14,FALSE),"Not Enough Data")</f>
        <v>-0.59458283846277116</v>
      </c>
      <c r="G324">
        <f>IF(VLOOKUP(A324,'Forecast Z Scores'!$A$1:$N$1541,14,FALSE)&gt;2,VLOOKUP(A324,'Forecast Z Scores'!$A$1:$N$1541,13,FALSE)/VLOOKUP(A324,'Forecast Z Scores'!$A$1:$N$1541,14,FALSE),"Not Enough Data")</f>
        <v>-0.46997599212937563</v>
      </c>
      <c r="H324">
        <v>-0.43073241618846314</v>
      </c>
    </row>
    <row r="325" spans="1:8" x14ac:dyDescent="0.35">
      <c r="A325" t="str">
        <f t="shared" si="5"/>
        <v>18097330212_2027</v>
      </c>
      <c r="B325">
        <v>18097330212</v>
      </c>
      <c r="C325">
        <v>2027</v>
      </c>
      <c r="E325">
        <f>-(IF(VLOOKUP(B325,'2023 Z Scores'!$A$1:$K$309,11,FALSE)&gt;2,VLOOKUP(B325,'2023 Z Scores'!$A$1:$K$309,10,FALSE)/VLOOKUP(B325,'2023 Z Scores'!$A$1:$K$309,11,FALSE),"Not Enough data"))</f>
        <v>-6.3787995698934702E-2</v>
      </c>
      <c r="F325">
        <f>IF(VLOOKUP(A325,'Delta Z Scores'!$A$1:$N$1541,14,FALSE)&gt;2,VLOOKUP(A325,'Delta Z Scores'!$A$1:$N$1541,13,FALSE)/VLOOKUP(A325,'Delta Z Scores'!$A$1:$N$1541,14,FALSE),"Not Enough Data")</f>
        <v>-0.42288523531495847</v>
      </c>
      <c r="G325">
        <f>IF(VLOOKUP(A325,'Forecast Z Scores'!$A$1:$N$1541,14,FALSE)&gt;2,VLOOKUP(A325,'Forecast Z Scores'!$A$1:$N$1541,13,FALSE)/VLOOKUP(A325,'Forecast Z Scores'!$A$1:$N$1541,14,FALSE),"Not Enough Data")</f>
        <v>-0.48690996642503209</v>
      </c>
      <c r="H325">
        <v>-0.34911710818847091</v>
      </c>
    </row>
    <row r="326" spans="1:8" x14ac:dyDescent="0.35">
      <c r="A326" t="str">
        <f t="shared" si="5"/>
        <v>18097330212_2028</v>
      </c>
      <c r="B326">
        <v>18097330212</v>
      </c>
      <c r="C326">
        <v>2028</v>
      </c>
      <c r="E326">
        <f>-(IF(VLOOKUP(B326,'2023 Z Scores'!$A$1:$K$309,11,FALSE)&gt;2,VLOOKUP(B326,'2023 Z Scores'!$A$1:$K$309,10,FALSE)/VLOOKUP(B326,'2023 Z Scores'!$A$1:$K$309,11,FALSE),"Not Enough data"))</f>
        <v>-6.3787995698934702E-2</v>
      </c>
      <c r="F326">
        <f>IF(VLOOKUP(A326,'Delta Z Scores'!$A$1:$N$1541,14,FALSE)&gt;2,VLOOKUP(A326,'Delta Z Scores'!$A$1:$N$1541,13,FALSE)/VLOOKUP(A326,'Delta Z Scores'!$A$1:$N$1541,14,FALSE),"Not Enough Data")</f>
        <v>-0.49599917800099347</v>
      </c>
      <c r="G326">
        <f>IF(VLOOKUP(A326,'Forecast Z Scores'!$A$1:$N$1541,14,FALSE)&gt;2,VLOOKUP(A326,'Forecast Z Scores'!$A$1:$N$1541,13,FALSE)/VLOOKUP(A326,'Forecast Z Scores'!$A$1:$N$1541,14,FALSE),"Not Enough Data")</f>
        <v>-0.50903871869102257</v>
      </c>
      <c r="H326">
        <v>-0.39120626759798605</v>
      </c>
    </row>
    <row r="327" spans="1:8" x14ac:dyDescent="0.35">
      <c r="A327" t="str">
        <f t="shared" si="5"/>
        <v>18097330401_2024</v>
      </c>
      <c r="B327">
        <v>18097330401</v>
      </c>
      <c r="C327">
        <v>2024</v>
      </c>
      <c r="E327">
        <f>-(IF(VLOOKUP(B327,'2023 Z Scores'!$A$1:$K$309,11,FALSE)&gt;2,VLOOKUP(B327,'2023 Z Scores'!$A$1:$K$309,10,FALSE)/VLOOKUP(B327,'2023 Z Scores'!$A$1:$K$309,11,FALSE),"Not Enough data"))</f>
        <v>-0.73301716419951179</v>
      </c>
      <c r="F327">
        <f>IF(VLOOKUP(A327,'Delta Z Scores'!$A$1:$N$1541,14,FALSE)&gt;2,VLOOKUP(A327,'Delta Z Scores'!$A$1:$N$1541,13,FALSE)/VLOOKUP(A327,'Delta Z Scores'!$A$1:$N$1541,14,FALSE),"Not Enough Data")</f>
        <v>-0.2738803615672723</v>
      </c>
      <c r="G327">
        <f>IF(VLOOKUP(A327,'Forecast Z Scores'!$A$1:$N$1541,14,FALSE)&gt;2,VLOOKUP(A327,'Forecast Z Scores'!$A$1:$N$1541,13,FALSE)/VLOOKUP(A327,'Forecast Z Scores'!$A$1:$N$1541,14,FALSE),"Not Enough Data")</f>
        <v>0.55329122766565042</v>
      </c>
      <c r="H327">
        <v>-0.18187166491710149</v>
      </c>
    </row>
    <row r="328" spans="1:8" x14ac:dyDescent="0.35">
      <c r="A328" t="str">
        <f t="shared" si="5"/>
        <v>18097330401_2025</v>
      </c>
      <c r="B328">
        <v>18097330401</v>
      </c>
      <c r="C328">
        <v>2025</v>
      </c>
      <c r="E328">
        <f>-(IF(VLOOKUP(B328,'2023 Z Scores'!$A$1:$K$309,11,FALSE)&gt;2,VLOOKUP(B328,'2023 Z Scores'!$A$1:$K$309,10,FALSE)/VLOOKUP(B328,'2023 Z Scores'!$A$1:$K$309,11,FALSE),"Not Enough data"))</f>
        <v>-0.73301716419951179</v>
      </c>
      <c r="F328">
        <f>IF(VLOOKUP(A328,'Delta Z Scores'!$A$1:$N$1541,14,FALSE)&gt;2,VLOOKUP(A328,'Delta Z Scores'!$A$1:$N$1541,13,FALSE)/VLOOKUP(A328,'Delta Z Scores'!$A$1:$N$1541,14,FALSE),"Not Enough Data")</f>
        <v>-0.4406532945197052</v>
      </c>
      <c r="G328">
        <f>IF(VLOOKUP(A328,'Forecast Z Scores'!$A$1:$N$1541,14,FALSE)&gt;2,VLOOKUP(A328,'Forecast Z Scores'!$A$1:$N$1541,13,FALSE)/VLOOKUP(A328,'Forecast Z Scores'!$A$1:$N$1541,14,FALSE),"Not Enough Data")</f>
        <v>0.51041260954010703</v>
      </c>
      <c r="H328">
        <v>-0.27597778592470379</v>
      </c>
    </row>
    <row r="329" spans="1:8" x14ac:dyDescent="0.35">
      <c r="A329" t="str">
        <f t="shared" si="5"/>
        <v>18097330401_2026</v>
      </c>
      <c r="B329">
        <v>18097330401</v>
      </c>
      <c r="C329">
        <v>2026</v>
      </c>
      <c r="E329">
        <f>-(IF(VLOOKUP(B329,'2023 Z Scores'!$A$1:$K$309,11,FALSE)&gt;2,VLOOKUP(B329,'2023 Z Scores'!$A$1:$K$309,10,FALSE)/VLOOKUP(B329,'2023 Z Scores'!$A$1:$K$309,11,FALSE),"Not Enough data"))</f>
        <v>-0.73301716419951179</v>
      </c>
      <c r="F329">
        <f>IF(VLOOKUP(A329,'Delta Z Scores'!$A$1:$N$1541,14,FALSE)&gt;2,VLOOKUP(A329,'Delta Z Scores'!$A$1:$N$1541,13,FALSE)/VLOOKUP(A329,'Delta Z Scores'!$A$1:$N$1541,14,FALSE),"Not Enough Data")</f>
        <v>-0.35452685170462389</v>
      </c>
      <c r="G329">
        <f>IF(VLOOKUP(A329,'Forecast Z Scores'!$A$1:$N$1541,14,FALSE)&gt;2,VLOOKUP(A329,'Forecast Z Scores'!$A$1:$N$1541,13,FALSE)/VLOOKUP(A329,'Forecast Z Scores'!$A$1:$N$1541,14,FALSE),"Not Enough Data")</f>
        <v>0.47358370564092578</v>
      </c>
      <c r="H329">
        <v>-0.24212179049195845</v>
      </c>
    </row>
    <row r="330" spans="1:8" x14ac:dyDescent="0.35">
      <c r="A330" t="str">
        <f t="shared" si="5"/>
        <v>18097330401_2027</v>
      </c>
      <c r="B330">
        <v>18097330401</v>
      </c>
      <c r="C330">
        <v>2027</v>
      </c>
      <c r="E330">
        <f>-(IF(VLOOKUP(B330,'2023 Z Scores'!$A$1:$K$309,11,FALSE)&gt;2,VLOOKUP(B330,'2023 Z Scores'!$A$1:$K$309,10,FALSE)/VLOOKUP(B330,'2023 Z Scores'!$A$1:$K$309,11,FALSE),"Not Enough data"))</f>
        <v>-0.73301716419951179</v>
      </c>
      <c r="F330">
        <f>IF(VLOOKUP(A330,'Delta Z Scores'!$A$1:$N$1541,14,FALSE)&gt;2,VLOOKUP(A330,'Delta Z Scores'!$A$1:$N$1541,13,FALSE)/VLOOKUP(A330,'Delta Z Scores'!$A$1:$N$1541,14,FALSE),"Not Enough Data")</f>
        <v>-0.3747748105069002</v>
      </c>
      <c r="G330">
        <f>IF(VLOOKUP(A330,'Forecast Z Scores'!$A$1:$N$1541,14,FALSE)&gt;2,VLOOKUP(A330,'Forecast Z Scores'!$A$1:$N$1541,13,FALSE)/VLOOKUP(A330,'Forecast Z Scores'!$A$1:$N$1541,14,FALSE),"Not Enough Data")</f>
        <v>0.44117817521622621</v>
      </c>
      <c r="H330">
        <v>-0.26034715249927148</v>
      </c>
    </row>
    <row r="331" spans="1:8" x14ac:dyDescent="0.35">
      <c r="A331" t="str">
        <f t="shared" si="5"/>
        <v>18097330401_2028</v>
      </c>
      <c r="B331">
        <v>18097330401</v>
      </c>
      <c r="C331">
        <v>2028</v>
      </c>
      <c r="E331">
        <f>-(IF(VLOOKUP(B331,'2023 Z Scores'!$A$1:$K$309,11,FALSE)&gt;2,VLOOKUP(B331,'2023 Z Scores'!$A$1:$K$309,10,FALSE)/VLOOKUP(B331,'2023 Z Scores'!$A$1:$K$309,11,FALSE),"Not Enough data"))</f>
        <v>-0.73301716419951179</v>
      </c>
      <c r="F331">
        <f>IF(VLOOKUP(A331,'Delta Z Scores'!$A$1:$N$1541,14,FALSE)&gt;2,VLOOKUP(A331,'Delta Z Scores'!$A$1:$N$1541,13,FALSE)/VLOOKUP(A331,'Delta Z Scores'!$A$1:$N$1541,14,FALSE),"Not Enough Data")</f>
        <v>-0.36437440187643616</v>
      </c>
      <c r="G331">
        <f>IF(VLOOKUP(A331,'Forecast Z Scores'!$A$1:$N$1541,14,FALSE)&gt;2,VLOOKUP(A331,'Forecast Z Scores'!$A$1:$N$1541,13,FALSE)/VLOOKUP(A331,'Forecast Z Scores'!$A$1:$N$1541,14,FALSE),"Not Enough Data")</f>
        <v>0.40456586494255964</v>
      </c>
      <c r="H331">
        <v>-0.26430002575245615</v>
      </c>
    </row>
    <row r="332" spans="1:8" x14ac:dyDescent="0.35">
      <c r="A332" t="str">
        <f t="shared" si="5"/>
        <v>18097330500_2024</v>
      </c>
      <c r="B332">
        <v>18097330500</v>
      </c>
      <c r="C332">
        <v>2024</v>
      </c>
      <c r="E332">
        <f>-(IF(VLOOKUP(B332,'2023 Z Scores'!$A$1:$K$309,11,FALSE)&gt;2,VLOOKUP(B332,'2023 Z Scores'!$A$1:$K$309,10,FALSE)/VLOOKUP(B332,'2023 Z Scores'!$A$1:$K$309,11,FALSE),"Not Enough data"))</f>
        <v>4.4071413302967759E-2</v>
      </c>
      <c r="F332">
        <f>IF(VLOOKUP(A332,'Delta Z Scores'!$A$1:$N$1541,14,FALSE)&gt;2,VLOOKUP(A332,'Delta Z Scores'!$A$1:$N$1541,13,FALSE)/VLOOKUP(A332,'Delta Z Scores'!$A$1:$N$1541,14,FALSE),"Not Enough Data")</f>
        <v>5.4990756902097718E-2</v>
      </c>
      <c r="G332">
        <f>IF(VLOOKUP(A332,'Forecast Z Scores'!$A$1:$N$1541,14,FALSE)&gt;2,VLOOKUP(A332,'Forecast Z Scores'!$A$1:$N$1541,13,FALSE)/VLOOKUP(A332,'Forecast Z Scores'!$A$1:$N$1541,14,FALSE),"Not Enough Data")</f>
        <v>-0.28910542459623878</v>
      </c>
      <c r="H332">
        <v>-3.3763124372268895E-2</v>
      </c>
    </row>
    <row r="333" spans="1:8" x14ac:dyDescent="0.35">
      <c r="A333" t="str">
        <f t="shared" si="5"/>
        <v>18097330500_2025</v>
      </c>
      <c r="B333">
        <v>18097330500</v>
      </c>
      <c r="C333">
        <v>2025</v>
      </c>
      <c r="E333">
        <f>-(IF(VLOOKUP(B333,'2023 Z Scores'!$A$1:$K$309,11,FALSE)&gt;2,VLOOKUP(B333,'2023 Z Scores'!$A$1:$K$309,10,FALSE)/VLOOKUP(B333,'2023 Z Scores'!$A$1:$K$309,11,FALSE),"Not Enough data"))</f>
        <v>4.4071413302967759E-2</v>
      </c>
      <c r="F333">
        <f>IF(VLOOKUP(A333,'Delta Z Scores'!$A$1:$N$1541,14,FALSE)&gt;2,VLOOKUP(A333,'Delta Z Scores'!$A$1:$N$1541,13,FALSE)/VLOOKUP(A333,'Delta Z Scores'!$A$1:$N$1541,14,FALSE),"Not Enough Data")</f>
        <v>5.4144461030990035E-2</v>
      </c>
      <c r="G333">
        <f>IF(VLOOKUP(A333,'Forecast Z Scores'!$A$1:$N$1541,14,FALSE)&gt;2,VLOOKUP(A333,'Forecast Z Scores'!$A$1:$N$1541,13,FALSE)/VLOOKUP(A333,'Forecast Z Scores'!$A$1:$N$1541,14,FALSE),"Not Enough Data")</f>
        <v>-0.28996712603519759</v>
      </c>
      <c r="H333">
        <v>-3.4401697667562438E-2</v>
      </c>
    </row>
    <row r="334" spans="1:8" x14ac:dyDescent="0.35">
      <c r="A334" t="str">
        <f t="shared" si="5"/>
        <v>18097330500_2026</v>
      </c>
      <c r="B334">
        <v>18097330500</v>
      </c>
      <c r="C334">
        <v>2026</v>
      </c>
      <c r="E334">
        <f>-(IF(VLOOKUP(B334,'2023 Z Scores'!$A$1:$K$309,11,FALSE)&gt;2,VLOOKUP(B334,'2023 Z Scores'!$A$1:$K$309,10,FALSE)/VLOOKUP(B334,'2023 Z Scores'!$A$1:$K$309,11,FALSE),"Not Enough data"))</f>
        <v>4.4071413302967759E-2</v>
      </c>
      <c r="F334">
        <f>IF(VLOOKUP(A334,'Delta Z Scores'!$A$1:$N$1541,14,FALSE)&gt;2,VLOOKUP(A334,'Delta Z Scores'!$A$1:$N$1541,13,FALSE)/VLOOKUP(A334,'Delta Z Scores'!$A$1:$N$1541,14,FALSE),"Not Enough Data")</f>
        <v>5.0848315220805178E-2</v>
      </c>
      <c r="G334">
        <f>IF(VLOOKUP(A334,'Forecast Z Scores'!$A$1:$N$1541,14,FALSE)&gt;2,VLOOKUP(A334,'Forecast Z Scores'!$A$1:$N$1541,13,FALSE)/VLOOKUP(A334,'Forecast Z Scores'!$A$1:$N$1541,14,FALSE),"Not Enough Data")</f>
        <v>-0.28870574657937925</v>
      </c>
      <c r="H334">
        <v>-3.5734425708700279E-2</v>
      </c>
    </row>
    <row r="335" spans="1:8" x14ac:dyDescent="0.35">
      <c r="A335" t="str">
        <f t="shared" si="5"/>
        <v>18097330500_2027</v>
      </c>
      <c r="B335">
        <v>18097330500</v>
      </c>
      <c r="C335">
        <v>2027</v>
      </c>
      <c r="E335">
        <f>-(IF(VLOOKUP(B335,'2023 Z Scores'!$A$1:$K$309,11,FALSE)&gt;2,VLOOKUP(B335,'2023 Z Scores'!$A$1:$K$309,10,FALSE)/VLOOKUP(B335,'2023 Z Scores'!$A$1:$K$309,11,FALSE),"Not Enough data"))</f>
        <v>4.4071413302967759E-2</v>
      </c>
      <c r="F335">
        <f>IF(VLOOKUP(A335,'Delta Z Scores'!$A$1:$N$1541,14,FALSE)&gt;2,VLOOKUP(A335,'Delta Z Scores'!$A$1:$N$1541,13,FALSE)/VLOOKUP(A335,'Delta Z Scores'!$A$1:$N$1541,14,FALSE),"Not Enough Data")</f>
        <v>2.659283902244558E-2</v>
      </c>
      <c r="G335">
        <f>IF(VLOOKUP(A335,'Forecast Z Scores'!$A$1:$N$1541,14,FALSE)&gt;2,VLOOKUP(A335,'Forecast Z Scores'!$A$1:$N$1541,13,FALSE)/VLOOKUP(A335,'Forecast Z Scores'!$A$1:$N$1541,14,FALSE),"Not Enough Data")</f>
        <v>-0.28229801734460519</v>
      </c>
      <c r="H335">
        <v>-4.6260231499186566E-2</v>
      </c>
    </row>
    <row r="336" spans="1:8" x14ac:dyDescent="0.35">
      <c r="A336" t="str">
        <f t="shared" si="5"/>
        <v>18097330500_2028</v>
      </c>
      <c r="B336">
        <v>18097330500</v>
      </c>
      <c r="C336">
        <v>2028</v>
      </c>
      <c r="E336">
        <f>-(IF(VLOOKUP(B336,'2023 Z Scores'!$A$1:$K$309,11,FALSE)&gt;2,VLOOKUP(B336,'2023 Z Scores'!$A$1:$K$309,10,FALSE)/VLOOKUP(B336,'2023 Z Scores'!$A$1:$K$309,11,FALSE),"Not Enough data"))</f>
        <v>4.4071413302967759E-2</v>
      </c>
      <c r="F336">
        <f>IF(VLOOKUP(A336,'Delta Z Scores'!$A$1:$N$1541,14,FALSE)&gt;2,VLOOKUP(A336,'Delta Z Scores'!$A$1:$N$1541,13,FALSE)/VLOOKUP(A336,'Delta Z Scores'!$A$1:$N$1541,14,FALSE),"Not Enough Data")</f>
        <v>-1.8813646449698677E-2</v>
      </c>
      <c r="G336">
        <f>IF(VLOOKUP(A336,'Forecast Z Scores'!$A$1:$N$1541,14,FALSE)&gt;2,VLOOKUP(A336,'Forecast Z Scores'!$A$1:$N$1541,13,FALSE)/VLOOKUP(A336,'Forecast Z Scores'!$A$1:$N$1541,14,FALSE),"Not Enough Data")</f>
        <v>-0.27886103005501489</v>
      </c>
      <c r="H336">
        <v>-6.8104227412861124E-2</v>
      </c>
    </row>
    <row r="337" spans="1:8" x14ac:dyDescent="0.35">
      <c r="A337" t="str">
        <f t="shared" si="5"/>
        <v>18097330600_2024</v>
      </c>
      <c r="B337">
        <v>18097330600</v>
      </c>
      <c r="C337">
        <v>2024</v>
      </c>
      <c r="E337">
        <f>-(IF(VLOOKUP(B337,'2023 Z Scores'!$A$1:$K$309,11,FALSE)&gt;2,VLOOKUP(B337,'2023 Z Scores'!$A$1:$K$309,10,FALSE)/VLOOKUP(B337,'2023 Z Scores'!$A$1:$K$309,11,FALSE),"Not Enough data"))</f>
        <v>0.20944354457923162</v>
      </c>
      <c r="F337">
        <f>IF(VLOOKUP(A337,'Delta Z Scores'!$A$1:$N$1541,14,FALSE)&gt;2,VLOOKUP(A337,'Delta Z Scores'!$A$1:$N$1541,13,FALSE)/VLOOKUP(A337,'Delta Z Scores'!$A$1:$N$1541,14,FALSE),"Not Enough Data")</f>
        <v>7.9619027762484001E-2</v>
      </c>
      <c r="G337">
        <f>IF(VLOOKUP(A337,'Forecast Z Scores'!$A$1:$N$1541,14,FALSE)&gt;2,VLOOKUP(A337,'Forecast Z Scores'!$A$1:$N$1541,13,FALSE)/VLOOKUP(A337,'Forecast Z Scores'!$A$1:$N$1541,14,FALSE),"Not Enough Data")</f>
        <v>-0.19468751321356809</v>
      </c>
      <c r="H337">
        <v>4.3498521722657883E-2</v>
      </c>
    </row>
    <row r="338" spans="1:8" x14ac:dyDescent="0.35">
      <c r="A338" t="str">
        <f t="shared" si="5"/>
        <v>18097330600_2025</v>
      </c>
      <c r="B338">
        <v>18097330600</v>
      </c>
      <c r="C338">
        <v>2025</v>
      </c>
      <c r="E338">
        <f>-(IF(VLOOKUP(B338,'2023 Z Scores'!$A$1:$K$309,11,FALSE)&gt;2,VLOOKUP(B338,'2023 Z Scores'!$A$1:$K$309,10,FALSE)/VLOOKUP(B338,'2023 Z Scores'!$A$1:$K$309,11,FALSE),"Not Enough data"))</f>
        <v>0.20944354457923162</v>
      </c>
      <c r="F338">
        <f>IF(VLOOKUP(A338,'Delta Z Scores'!$A$1:$N$1541,14,FALSE)&gt;2,VLOOKUP(A338,'Delta Z Scores'!$A$1:$N$1541,13,FALSE)/VLOOKUP(A338,'Delta Z Scores'!$A$1:$N$1541,14,FALSE),"Not Enough Data")</f>
        <v>-7.5604260086673647E-2</v>
      </c>
      <c r="G338">
        <f>IF(VLOOKUP(A338,'Forecast Z Scores'!$A$1:$N$1541,14,FALSE)&gt;2,VLOOKUP(A338,'Forecast Z Scores'!$A$1:$N$1541,13,FALSE)/VLOOKUP(A338,'Forecast Z Scores'!$A$1:$N$1541,14,FALSE),"Not Enough Data")</f>
        <v>-0.21468351950187819</v>
      </c>
      <c r="H338">
        <v>-3.9112123773998468E-2</v>
      </c>
    </row>
    <row r="339" spans="1:8" x14ac:dyDescent="0.35">
      <c r="A339" t="str">
        <f t="shared" si="5"/>
        <v>18097330600_2026</v>
      </c>
      <c r="B339">
        <v>18097330600</v>
      </c>
      <c r="C339">
        <v>2026</v>
      </c>
      <c r="E339">
        <f>-(IF(VLOOKUP(B339,'2023 Z Scores'!$A$1:$K$309,11,FALSE)&gt;2,VLOOKUP(B339,'2023 Z Scores'!$A$1:$K$309,10,FALSE)/VLOOKUP(B339,'2023 Z Scores'!$A$1:$K$309,11,FALSE),"Not Enough data"))</f>
        <v>0.20944354457923162</v>
      </c>
      <c r="F339">
        <f>IF(VLOOKUP(A339,'Delta Z Scores'!$A$1:$N$1541,14,FALSE)&gt;2,VLOOKUP(A339,'Delta Z Scores'!$A$1:$N$1541,13,FALSE)/VLOOKUP(A339,'Delta Z Scores'!$A$1:$N$1541,14,FALSE),"Not Enough Data")</f>
        <v>3.2081804845109876E-2</v>
      </c>
      <c r="G339">
        <f>IF(VLOOKUP(A339,'Forecast Z Scores'!$A$1:$N$1541,14,FALSE)&gt;2,VLOOKUP(A339,'Forecast Z Scores'!$A$1:$N$1541,13,FALSE)/VLOOKUP(A339,'Forecast Z Scores'!$A$1:$N$1541,14,FALSE),"Not Enough Data")</f>
        <v>-0.22368829274933527</v>
      </c>
      <c r="H339">
        <v>1.2479715380029024E-2</v>
      </c>
    </row>
    <row r="340" spans="1:8" x14ac:dyDescent="0.35">
      <c r="A340" t="str">
        <f t="shared" si="5"/>
        <v>18097330600_2027</v>
      </c>
      <c r="B340">
        <v>18097330600</v>
      </c>
      <c r="C340">
        <v>2027</v>
      </c>
      <c r="E340">
        <f>-(IF(VLOOKUP(B340,'2023 Z Scores'!$A$1:$K$309,11,FALSE)&gt;2,VLOOKUP(B340,'2023 Z Scores'!$A$1:$K$309,10,FALSE)/VLOOKUP(B340,'2023 Z Scores'!$A$1:$K$309,11,FALSE),"Not Enough data"))</f>
        <v>0.20944354457923162</v>
      </c>
      <c r="F340">
        <f>IF(VLOOKUP(A340,'Delta Z Scores'!$A$1:$N$1541,14,FALSE)&gt;2,VLOOKUP(A340,'Delta Z Scores'!$A$1:$N$1541,13,FALSE)/VLOOKUP(A340,'Delta Z Scores'!$A$1:$N$1541,14,FALSE),"Not Enough Data")</f>
        <v>1.470150228346899E-2</v>
      </c>
      <c r="G340">
        <f>IF(VLOOKUP(A340,'Forecast Z Scores'!$A$1:$N$1541,14,FALSE)&gt;2,VLOOKUP(A340,'Forecast Z Scores'!$A$1:$N$1541,13,FALSE)/VLOOKUP(A340,'Forecast Z Scores'!$A$1:$N$1541,14,FALSE),"Not Enough Data")</f>
        <v>-0.2412424626641724</v>
      </c>
      <c r="H340">
        <v>-5.9897837950070171E-4</v>
      </c>
    </row>
    <row r="341" spans="1:8" x14ac:dyDescent="0.35">
      <c r="A341" t="str">
        <f t="shared" si="5"/>
        <v>18097330600_2028</v>
      </c>
      <c r="B341">
        <v>18097330600</v>
      </c>
      <c r="C341">
        <v>2028</v>
      </c>
      <c r="E341">
        <f>-(IF(VLOOKUP(B341,'2023 Z Scores'!$A$1:$K$309,11,FALSE)&gt;2,VLOOKUP(B341,'2023 Z Scores'!$A$1:$K$309,10,FALSE)/VLOOKUP(B341,'2023 Z Scores'!$A$1:$K$309,11,FALSE),"Not Enough data"))</f>
        <v>0.20944354457923162</v>
      </c>
      <c r="F341">
        <f>IF(VLOOKUP(A341,'Delta Z Scores'!$A$1:$N$1541,14,FALSE)&gt;2,VLOOKUP(A341,'Delta Z Scores'!$A$1:$N$1541,13,FALSE)/VLOOKUP(A341,'Delta Z Scores'!$A$1:$N$1541,14,FALSE),"Not Enough Data")</f>
        <v>4.1055382689089898E-2</v>
      </c>
      <c r="G341">
        <f>IF(VLOOKUP(A341,'Forecast Z Scores'!$A$1:$N$1541,14,FALSE)&gt;2,VLOOKUP(A341,'Forecast Z Scores'!$A$1:$N$1541,13,FALSE)/VLOOKUP(A341,'Forecast Z Scores'!$A$1:$N$1541,14,FALSE),"Not Enough Data")</f>
        <v>-0.25200598340113944</v>
      </c>
      <c r="H341">
        <v>9.8870816390679919E-3</v>
      </c>
    </row>
    <row r="342" spans="1:8" x14ac:dyDescent="0.35">
      <c r="A342" t="str">
        <f t="shared" si="5"/>
        <v>18097330701_2024</v>
      </c>
      <c r="B342">
        <v>18097330701</v>
      </c>
      <c r="C342">
        <v>2024</v>
      </c>
      <c r="E342">
        <f>-(IF(VLOOKUP(B342,'2023 Z Scores'!$A$1:$K$309,11,FALSE)&gt;2,VLOOKUP(B342,'2023 Z Scores'!$A$1:$K$309,10,FALSE)/VLOOKUP(B342,'2023 Z Scores'!$A$1:$K$309,11,FALSE),"Not Enough data"))</f>
        <v>0.62307756033226369</v>
      </c>
      <c r="F342">
        <f>IF(VLOOKUP(A342,'Delta Z Scores'!$A$1:$N$1541,14,FALSE)&gt;2,VLOOKUP(A342,'Delta Z Scores'!$A$1:$N$1541,13,FALSE)/VLOOKUP(A342,'Delta Z Scores'!$A$1:$N$1541,14,FALSE),"Not Enough Data")</f>
        <v>-0.4055076571849992</v>
      </c>
      <c r="G342">
        <f>IF(VLOOKUP(A342,'Forecast Z Scores'!$A$1:$N$1541,14,FALSE)&gt;2,VLOOKUP(A342,'Forecast Z Scores'!$A$1:$N$1541,13,FALSE)/VLOOKUP(A342,'Forecast Z Scores'!$A$1:$N$1541,14,FALSE),"Not Enough Data")</f>
        <v>-0.54511716822520062</v>
      </c>
      <c r="H342">
        <v>-0.18326373056573383</v>
      </c>
    </row>
    <row r="343" spans="1:8" x14ac:dyDescent="0.35">
      <c r="A343" t="str">
        <f t="shared" si="5"/>
        <v>18097330701_2025</v>
      </c>
      <c r="B343">
        <v>18097330701</v>
      </c>
      <c r="C343">
        <v>2025</v>
      </c>
      <c r="E343">
        <f>-(IF(VLOOKUP(B343,'2023 Z Scores'!$A$1:$K$309,11,FALSE)&gt;2,VLOOKUP(B343,'2023 Z Scores'!$A$1:$K$309,10,FALSE)/VLOOKUP(B343,'2023 Z Scores'!$A$1:$K$309,11,FALSE),"Not Enough data"))</f>
        <v>0.62307756033226369</v>
      </c>
      <c r="F343">
        <f>IF(VLOOKUP(A343,'Delta Z Scores'!$A$1:$N$1541,14,FALSE)&gt;2,VLOOKUP(A343,'Delta Z Scores'!$A$1:$N$1541,13,FALSE)/VLOOKUP(A343,'Delta Z Scores'!$A$1:$N$1541,14,FALSE),"Not Enough Data")</f>
        <v>-1.1838050703797478</v>
      </c>
      <c r="G343">
        <f>IF(VLOOKUP(A343,'Forecast Z Scores'!$A$1:$N$1541,14,FALSE)&gt;2,VLOOKUP(A343,'Forecast Z Scores'!$A$1:$N$1541,13,FALSE)/VLOOKUP(A343,'Forecast Z Scores'!$A$1:$N$1541,14,FALSE),"Not Enough Data")</f>
        <v>-0.66938128706881894</v>
      </c>
      <c r="H343">
        <v>-0.60347846687401274</v>
      </c>
    </row>
    <row r="344" spans="1:8" x14ac:dyDescent="0.35">
      <c r="A344" t="str">
        <f t="shared" si="5"/>
        <v>18097330701_2026</v>
      </c>
      <c r="B344">
        <v>18097330701</v>
      </c>
      <c r="C344">
        <v>2026</v>
      </c>
      <c r="E344">
        <f>-(IF(VLOOKUP(B344,'2023 Z Scores'!$A$1:$K$309,11,FALSE)&gt;2,VLOOKUP(B344,'2023 Z Scores'!$A$1:$K$309,10,FALSE)/VLOOKUP(B344,'2023 Z Scores'!$A$1:$K$309,11,FALSE),"Not Enough data"))</f>
        <v>0.62307756033226369</v>
      </c>
      <c r="F344">
        <f>IF(VLOOKUP(A344,'Delta Z Scores'!$A$1:$N$1541,14,FALSE)&gt;2,VLOOKUP(A344,'Delta Z Scores'!$A$1:$N$1541,13,FALSE)/VLOOKUP(A344,'Delta Z Scores'!$A$1:$N$1541,14,FALSE),"Not Enough Data")</f>
        <v>-1.2175438458215615</v>
      </c>
      <c r="G344">
        <f>IF(VLOOKUP(A344,'Forecast Z Scores'!$A$1:$N$1541,14,FALSE)&gt;2,VLOOKUP(A344,'Forecast Z Scores'!$A$1:$N$1541,13,FALSE)/VLOOKUP(A344,'Forecast Z Scores'!$A$1:$N$1541,14,FALSE),"Not Enough Data")</f>
        <v>-0.73368585947735088</v>
      </c>
      <c r="H344">
        <v>-0.6364239976970526</v>
      </c>
    </row>
    <row r="345" spans="1:8" x14ac:dyDescent="0.35">
      <c r="A345" t="str">
        <f t="shared" si="5"/>
        <v>18097330701_2027</v>
      </c>
      <c r="B345">
        <v>18097330701</v>
      </c>
      <c r="C345">
        <v>2027</v>
      </c>
      <c r="E345">
        <f>-(IF(VLOOKUP(B345,'2023 Z Scores'!$A$1:$K$309,11,FALSE)&gt;2,VLOOKUP(B345,'2023 Z Scores'!$A$1:$K$309,10,FALSE)/VLOOKUP(B345,'2023 Z Scores'!$A$1:$K$309,11,FALSE),"Not Enough data"))</f>
        <v>0.62307756033226369</v>
      </c>
      <c r="F345">
        <f>IF(VLOOKUP(A345,'Delta Z Scores'!$A$1:$N$1541,14,FALSE)&gt;2,VLOOKUP(A345,'Delta Z Scores'!$A$1:$N$1541,13,FALSE)/VLOOKUP(A345,'Delta Z Scores'!$A$1:$N$1541,14,FALSE),"Not Enough Data")</f>
        <v>-1.8328941937239271</v>
      </c>
      <c r="G345">
        <f>IF(VLOOKUP(A345,'Forecast Z Scores'!$A$1:$N$1541,14,FALSE)&gt;2,VLOOKUP(A345,'Forecast Z Scores'!$A$1:$N$1541,13,FALSE)/VLOOKUP(A345,'Forecast Z Scores'!$A$1:$N$1541,14,FALSE),"Not Enough Data")</f>
        <v>-0.8346984650335082</v>
      </c>
      <c r="H345">
        <v>-0.9693523230372747</v>
      </c>
    </row>
    <row r="346" spans="1:8" x14ac:dyDescent="0.35">
      <c r="A346" t="str">
        <f t="shared" si="5"/>
        <v>18097330701_2028</v>
      </c>
      <c r="B346">
        <v>18097330701</v>
      </c>
      <c r="C346">
        <v>2028</v>
      </c>
      <c r="E346">
        <f>-(IF(VLOOKUP(B346,'2023 Z Scores'!$A$1:$K$309,11,FALSE)&gt;2,VLOOKUP(B346,'2023 Z Scores'!$A$1:$K$309,10,FALSE)/VLOOKUP(B346,'2023 Z Scores'!$A$1:$K$309,11,FALSE),"Not Enough data"))</f>
        <v>0.62307756033226369</v>
      </c>
      <c r="F346">
        <f>IF(VLOOKUP(A346,'Delta Z Scores'!$A$1:$N$1541,14,FALSE)&gt;2,VLOOKUP(A346,'Delta Z Scores'!$A$1:$N$1541,13,FALSE)/VLOOKUP(A346,'Delta Z Scores'!$A$1:$N$1541,14,FALSE),"Not Enough Data")</f>
        <v>-1.5162859068690093</v>
      </c>
      <c r="G346">
        <f>IF(VLOOKUP(A346,'Forecast Z Scores'!$A$1:$N$1541,14,FALSE)&gt;2,VLOOKUP(A346,'Forecast Z Scores'!$A$1:$N$1541,13,FALSE)/VLOOKUP(A346,'Forecast Z Scores'!$A$1:$N$1541,14,FALSE),"Not Enough Data")</f>
        <v>-0.84981519780869663</v>
      </c>
      <c r="H346">
        <v>-0.8148273628036129</v>
      </c>
    </row>
    <row r="347" spans="1:8" x14ac:dyDescent="0.35">
      <c r="A347" t="str">
        <f t="shared" si="5"/>
        <v>18097330702_2024</v>
      </c>
      <c r="B347">
        <v>18097330702</v>
      </c>
      <c r="C347">
        <v>2024</v>
      </c>
      <c r="E347">
        <f>-(IF(VLOOKUP(B347,'2023 Z Scores'!$A$1:$K$309,11,FALSE)&gt;2,VLOOKUP(B347,'2023 Z Scores'!$A$1:$K$309,10,FALSE)/VLOOKUP(B347,'2023 Z Scores'!$A$1:$K$309,11,FALSE),"Not Enough data"))</f>
        <v>0.17034191753481118</v>
      </c>
      <c r="F347">
        <f>IF(VLOOKUP(A347,'Delta Z Scores'!$A$1:$N$1541,14,FALSE)&gt;2,VLOOKUP(A347,'Delta Z Scores'!$A$1:$N$1541,13,FALSE)/VLOOKUP(A347,'Delta Z Scores'!$A$1:$N$1541,14,FALSE),"Not Enough Data")</f>
        <v>9.5954953855677386E-2</v>
      </c>
      <c r="G347">
        <f>IF(VLOOKUP(A347,'Forecast Z Scores'!$A$1:$N$1541,14,FALSE)&gt;2,VLOOKUP(A347,'Forecast Z Scores'!$A$1:$N$1541,13,FALSE)/VLOOKUP(A347,'Forecast Z Scores'!$A$1:$N$1541,14,FALSE),"Not Enough Data")</f>
        <v>-0.57250037599626236</v>
      </c>
      <c r="H347">
        <v>-5.2562137687524109E-2</v>
      </c>
    </row>
    <row r="348" spans="1:8" x14ac:dyDescent="0.35">
      <c r="A348" t="str">
        <f t="shared" si="5"/>
        <v>18097330702_2025</v>
      </c>
      <c r="B348">
        <v>18097330702</v>
      </c>
      <c r="C348">
        <v>2025</v>
      </c>
      <c r="E348">
        <f>-(IF(VLOOKUP(B348,'2023 Z Scores'!$A$1:$K$309,11,FALSE)&gt;2,VLOOKUP(B348,'2023 Z Scores'!$A$1:$K$309,10,FALSE)/VLOOKUP(B348,'2023 Z Scores'!$A$1:$K$309,11,FALSE),"Not Enough data"))</f>
        <v>0.17034191753481118</v>
      </c>
      <c r="F348">
        <f>IF(VLOOKUP(A348,'Delta Z Scores'!$A$1:$N$1541,14,FALSE)&gt;2,VLOOKUP(A348,'Delta Z Scores'!$A$1:$N$1541,13,FALSE)/VLOOKUP(A348,'Delta Z Scores'!$A$1:$N$1541,14,FALSE),"Not Enough Data")</f>
        <v>0.26421806146029503</v>
      </c>
      <c r="G348">
        <f>IF(VLOOKUP(A348,'Forecast Z Scores'!$A$1:$N$1541,14,FALSE)&gt;2,VLOOKUP(A348,'Forecast Z Scores'!$A$1:$N$1541,13,FALSE)/VLOOKUP(A348,'Forecast Z Scores'!$A$1:$N$1541,14,FALSE),"Not Enough Data")</f>
        <v>-0.5550546159122961</v>
      </c>
      <c r="H348">
        <v>3.5930856135776283E-2</v>
      </c>
    </row>
    <row r="349" spans="1:8" x14ac:dyDescent="0.35">
      <c r="A349" t="str">
        <f t="shared" si="5"/>
        <v>18097330702_2026</v>
      </c>
      <c r="B349">
        <v>18097330702</v>
      </c>
      <c r="C349">
        <v>2026</v>
      </c>
      <c r="E349">
        <f>-(IF(VLOOKUP(B349,'2023 Z Scores'!$A$1:$K$309,11,FALSE)&gt;2,VLOOKUP(B349,'2023 Z Scores'!$A$1:$K$309,10,FALSE)/VLOOKUP(B349,'2023 Z Scores'!$A$1:$K$309,11,FALSE),"Not Enough data"))</f>
        <v>0.17034191753481118</v>
      </c>
      <c r="F349">
        <f>IF(VLOOKUP(A349,'Delta Z Scores'!$A$1:$N$1541,14,FALSE)&gt;2,VLOOKUP(A349,'Delta Z Scores'!$A$1:$N$1541,13,FALSE)/VLOOKUP(A349,'Delta Z Scores'!$A$1:$N$1541,14,FALSE),"Not Enough Data")</f>
        <v>6.346558558531834E-2</v>
      </c>
      <c r="G349">
        <f>IF(VLOOKUP(A349,'Forecast Z Scores'!$A$1:$N$1541,14,FALSE)&gt;2,VLOOKUP(A349,'Forecast Z Scores'!$A$1:$N$1541,13,FALSE)/VLOOKUP(A349,'Forecast Z Scores'!$A$1:$N$1541,14,FALSE),"Not Enough Data")</f>
        <v>-0.54017951092659466</v>
      </c>
      <c r="H349">
        <v>-6.0726605555286702E-2</v>
      </c>
    </row>
    <row r="350" spans="1:8" x14ac:dyDescent="0.35">
      <c r="A350" t="str">
        <f t="shared" si="5"/>
        <v>18097330702_2027</v>
      </c>
      <c r="B350">
        <v>18097330702</v>
      </c>
      <c r="C350">
        <v>2027</v>
      </c>
      <c r="E350">
        <f>-(IF(VLOOKUP(B350,'2023 Z Scores'!$A$1:$K$309,11,FALSE)&gt;2,VLOOKUP(B350,'2023 Z Scores'!$A$1:$K$309,10,FALSE)/VLOOKUP(B350,'2023 Z Scores'!$A$1:$K$309,11,FALSE),"Not Enough data"))</f>
        <v>0.17034191753481118</v>
      </c>
      <c r="F350">
        <f>IF(VLOOKUP(A350,'Delta Z Scores'!$A$1:$N$1541,14,FALSE)&gt;2,VLOOKUP(A350,'Delta Z Scores'!$A$1:$N$1541,13,FALSE)/VLOOKUP(A350,'Delta Z Scores'!$A$1:$N$1541,14,FALSE),"Not Enough Data")</f>
        <v>0.1181223571949078</v>
      </c>
      <c r="G350">
        <f>IF(VLOOKUP(A350,'Forecast Z Scores'!$A$1:$N$1541,14,FALSE)&gt;2,VLOOKUP(A350,'Forecast Z Scores'!$A$1:$N$1541,13,FALSE)/VLOOKUP(A350,'Forecast Z Scores'!$A$1:$N$1541,14,FALSE),"Not Enough Data")</f>
        <v>-0.51362380740214197</v>
      </c>
      <c r="H350">
        <v>-2.6759293869378802E-2</v>
      </c>
    </row>
    <row r="351" spans="1:8" x14ac:dyDescent="0.35">
      <c r="A351" t="str">
        <f t="shared" si="5"/>
        <v>18097330702_2028</v>
      </c>
      <c r="B351">
        <v>18097330702</v>
      </c>
      <c r="C351">
        <v>2028</v>
      </c>
      <c r="E351">
        <f>-(IF(VLOOKUP(B351,'2023 Z Scores'!$A$1:$K$309,11,FALSE)&gt;2,VLOOKUP(B351,'2023 Z Scores'!$A$1:$K$309,10,FALSE)/VLOOKUP(B351,'2023 Z Scores'!$A$1:$K$309,11,FALSE),"Not Enough data"))</f>
        <v>0.17034191753481118</v>
      </c>
      <c r="F351">
        <f>IF(VLOOKUP(A351,'Delta Z Scores'!$A$1:$N$1541,14,FALSE)&gt;2,VLOOKUP(A351,'Delta Z Scores'!$A$1:$N$1541,13,FALSE)/VLOOKUP(A351,'Delta Z Scores'!$A$1:$N$1541,14,FALSE),"Not Enough Data")</f>
        <v>-2.6777540840338732E-2</v>
      </c>
      <c r="G351">
        <f>IF(VLOOKUP(A351,'Forecast Z Scores'!$A$1:$N$1541,14,FALSE)&gt;2,VLOOKUP(A351,'Forecast Z Scores'!$A$1:$N$1541,13,FALSE)/VLOOKUP(A351,'Forecast Z Scores'!$A$1:$N$1541,14,FALSE),"Not Enough Data")</f>
        <v>-0.48806516425725366</v>
      </c>
      <c r="H351">
        <v>-9.2819582100779979E-2</v>
      </c>
    </row>
    <row r="352" spans="1:8" x14ac:dyDescent="0.35">
      <c r="A352" t="str">
        <f t="shared" si="5"/>
        <v>18097330803_2024</v>
      </c>
      <c r="B352">
        <v>18097330803</v>
      </c>
      <c r="C352">
        <v>2024</v>
      </c>
      <c r="E352">
        <f>-(IF(VLOOKUP(B352,'2023 Z Scores'!$A$1:$K$309,11,FALSE)&gt;2,VLOOKUP(B352,'2023 Z Scores'!$A$1:$K$309,10,FALSE)/VLOOKUP(B352,'2023 Z Scores'!$A$1:$K$309,11,FALSE),"Not Enough data"))</f>
        <v>0.8048698354527295</v>
      </c>
      <c r="F352">
        <f>IF(VLOOKUP(A352,'Delta Z Scores'!$A$1:$N$1541,14,FALSE)&gt;2,VLOOKUP(A352,'Delta Z Scores'!$A$1:$N$1541,13,FALSE)/VLOOKUP(A352,'Delta Z Scores'!$A$1:$N$1541,14,FALSE),"Not Enough Data")</f>
        <v>-0.45630134703574771</v>
      </c>
      <c r="G352">
        <f>IF(VLOOKUP(A352,'Forecast Z Scores'!$A$1:$N$1541,14,FALSE)&gt;2,VLOOKUP(A352,'Forecast Z Scores'!$A$1:$N$1541,13,FALSE)/VLOOKUP(A352,'Forecast Z Scores'!$A$1:$N$1541,14,FALSE),"Not Enough Data")</f>
        <v>-0.58542928011057715</v>
      </c>
      <c r="H352">
        <v>-0.17329053468233574</v>
      </c>
    </row>
    <row r="353" spans="1:8" x14ac:dyDescent="0.35">
      <c r="A353" t="str">
        <f t="shared" si="5"/>
        <v>18097330803_2025</v>
      </c>
      <c r="B353">
        <v>18097330803</v>
      </c>
      <c r="C353">
        <v>2025</v>
      </c>
      <c r="E353">
        <f>-(IF(VLOOKUP(B353,'2023 Z Scores'!$A$1:$K$309,11,FALSE)&gt;2,VLOOKUP(B353,'2023 Z Scores'!$A$1:$K$309,10,FALSE)/VLOOKUP(B353,'2023 Z Scores'!$A$1:$K$309,11,FALSE),"Not Enough data"))</f>
        <v>0.8048698354527295</v>
      </c>
      <c r="F353">
        <f>IF(VLOOKUP(A353,'Delta Z Scores'!$A$1:$N$1541,14,FALSE)&gt;2,VLOOKUP(A353,'Delta Z Scores'!$A$1:$N$1541,13,FALSE)/VLOOKUP(A353,'Delta Z Scores'!$A$1:$N$1541,14,FALSE),"Not Enough Data")</f>
        <v>-0.39988313863120606</v>
      </c>
      <c r="G353">
        <f>IF(VLOOKUP(A353,'Forecast Z Scores'!$A$1:$N$1541,14,FALSE)&gt;2,VLOOKUP(A353,'Forecast Z Scores'!$A$1:$N$1541,13,FALSE)/VLOOKUP(A353,'Forecast Z Scores'!$A$1:$N$1541,14,FALSE),"Not Enough Data")</f>
        <v>-0.59063126440518376</v>
      </c>
      <c r="H353">
        <v>-0.14638192655371657</v>
      </c>
    </row>
    <row r="354" spans="1:8" x14ac:dyDescent="0.35">
      <c r="A354" t="str">
        <f t="shared" si="5"/>
        <v>18097330803_2026</v>
      </c>
      <c r="B354">
        <v>18097330803</v>
      </c>
      <c r="C354">
        <v>2026</v>
      </c>
      <c r="E354">
        <f>-(IF(VLOOKUP(B354,'2023 Z Scores'!$A$1:$K$309,11,FALSE)&gt;2,VLOOKUP(B354,'2023 Z Scores'!$A$1:$K$309,10,FALSE)/VLOOKUP(B354,'2023 Z Scores'!$A$1:$K$309,11,FALSE),"Not Enough data"))</f>
        <v>0.8048698354527295</v>
      </c>
      <c r="F354">
        <f>IF(VLOOKUP(A354,'Delta Z Scores'!$A$1:$N$1541,14,FALSE)&gt;2,VLOOKUP(A354,'Delta Z Scores'!$A$1:$N$1541,13,FALSE)/VLOOKUP(A354,'Delta Z Scores'!$A$1:$N$1541,14,FALSE),"Not Enough Data")</f>
        <v>-0.664683206825052</v>
      </c>
      <c r="G354">
        <f>IF(VLOOKUP(A354,'Forecast Z Scores'!$A$1:$N$1541,14,FALSE)&gt;2,VLOOKUP(A354,'Forecast Z Scores'!$A$1:$N$1541,13,FALSE)/VLOOKUP(A354,'Forecast Z Scores'!$A$1:$N$1541,14,FALSE),"Not Enough Data")</f>
        <v>-0.60252934058470442</v>
      </c>
      <c r="H354">
        <v>-0.2817564796955197</v>
      </c>
    </row>
    <row r="355" spans="1:8" x14ac:dyDescent="0.35">
      <c r="A355" t="str">
        <f t="shared" si="5"/>
        <v>18097330803_2027</v>
      </c>
      <c r="B355">
        <v>18097330803</v>
      </c>
      <c r="C355">
        <v>2027</v>
      </c>
      <c r="E355">
        <f>-(IF(VLOOKUP(B355,'2023 Z Scores'!$A$1:$K$309,11,FALSE)&gt;2,VLOOKUP(B355,'2023 Z Scores'!$A$1:$K$309,10,FALSE)/VLOOKUP(B355,'2023 Z Scores'!$A$1:$K$309,11,FALSE),"Not Enough data"))</f>
        <v>0.8048698354527295</v>
      </c>
      <c r="F355">
        <f>IF(VLOOKUP(A355,'Delta Z Scores'!$A$1:$N$1541,14,FALSE)&gt;2,VLOOKUP(A355,'Delta Z Scores'!$A$1:$N$1541,13,FALSE)/VLOOKUP(A355,'Delta Z Scores'!$A$1:$N$1541,14,FALSE),"Not Enough Data")</f>
        <v>-0.69438287323026315</v>
      </c>
      <c r="G355">
        <f>IF(VLOOKUP(A355,'Forecast Z Scores'!$A$1:$N$1541,14,FALSE)&gt;2,VLOOKUP(A355,'Forecast Z Scores'!$A$1:$N$1541,13,FALSE)/VLOOKUP(A355,'Forecast Z Scores'!$A$1:$N$1541,14,FALSE),"Not Enough Data")</f>
        <v>-0.60980321330438769</v>
      </c>
      <c r="H355">
        <v>-0.2984247810780461</v>
      </c>
    </row>
    <row r="356" spans="1:8" x14ac:dyDescent="0.35">
      <c r="A356" t="str">
        <f t="shared" si="5"/>
        <v>18097330803_2028</v>
      </c>
      <c r="B356">
        <v>18097330803</v>
      </c>
      <c r="C356">
        <v>2028</v>
      </c>
      <c r="E356">
        <f>-(IF(VLOOKUP(B356,'2023 Z Scores'!$A$1:$K$309,11,FALSE)&gt;2,VLOOKUP(B356,'2023 Z Scores'!$A$1:$K$309,10,FALSE)/VLOOKUP(B356,'2023 Z Scores'!$A$1:$K$309,11,FALSE),"Not Enough data"))</f>
        <v>0.8048698354527295</v>
      </c>
      <c r="F356">
        <f>IF(VLOOKUP(A356,'Delta Z Scores'!$A$1:$N$1541,14,FALSE)&gt;2,VLOOKUP(A356,'Delta Z Scores'!$A$1:$N$1541,13,FALSE)/VLOOKUP(A356,'Delta Z Scores'!$A$1:$N$1541,14,FALSE),"Not Enough Data")</f>
        <v>-0.86825342568505326</v>
      </c>
      <c r="G356">
        <f>IF(VLOOKUP(A356,'Forecast Z Scores'!$A$1:$N$1541,14,FALSE)&gt;2,VLOOKUP(A356,'Forecast Z Scores'!$A$1:$N$1541,13,FALSE)/VLOOKUP(A356,'Forecast Z Scores'!$A$1:$N$1541,14,FALSE),"Not Enough Data")</f>
        <v>-0.60909177234879641</v>
      </c>
      <c r="H356">
        <v>-0.38518219706654339</v>
      </c>
    </row>
    <row r="357" spans="1:8" x14ac:dyDescent="0.35">
      <c r="A357" t="str">
        <f t="shared" si="5"/>
        <v>18097330804_2024</v>
      </c>
      <c r="B357">
        <v>18097330804</v>
      </c>
      <c r="C357">
        <v>2024</v>
      </c>
      <c r="E357">
        <f>-(IF(VLOOKUP(B357,'2023 Z Scores'!$A$1:$K$309,11,FALSE)&gt;2,VLOOKUP(B357,'2023 Z Scores'!$A$1:$K$309,10,FALSE)/VLOOKUP(B357,'2023 Z Scores'!$A$1:$K$309,11,FALSE),"Not Enough data"))</f>
        <v>0.34399849599521987</v>
      </c>
      <c r="F357">
        <f>IF(VLOOKUP(A357,'Delta Z Scores'!$A$1:$N$1541,14,FALSE)&gt;2,VLOOKUP(A357,'Delta Z Scores'!$A$1:$N$1541,13,FALSE)/VLOOKUP(A357,'Delta Z Scores'!$A$1:$N$1541,14,FALSE),"Not Enough Data")</f>
        <v>0.28557405965356936</v>
      </c>
      <c r="G357">
        <f>IF(VLOOKUP(A357,'Forecast Z Scores'!$A$1:$N$1541,14,FALSE)&gt;2,VLOOKUP(A357,'Forecast Z Scores'!$A$1:$N$1541,13,FALSE)/VLOOKUP(A357,'Forecast Z Scores'!$A$1:$N$1541,14,FALSE),"Not Enough Data")</f>
        <v>-0.32970968940221079</v>
      </c>
      <c r="H357">
        <v>0.14635923147503693</v>
      </c>
    </row>
    <row r="358" spans="1:8" x14ac:dyDescent="0.35">
      <c r="A358" t="str">
        <f t="shared" si="5"/>
        <v>18097330804_2025</v>
      </c>
      <c r="B358">
        <v>18097330804</v>
      </c>
      <c r="C358">
        <v>2025</v>
      </c>
      <c r="E358">
        <f>-(IF(VLOOKUP(B358,'2023 Z Scores'!$A$1:$K$309,11,FALSE)&gt;2,VLOOKUP(B358,'2023 Z Scores'!$A$1:$K$309,10,FALSE)/VLOOKUP(B358,'2023 Z Scores'!$A$1:$K$309,11,FALSE),"Not Enough data"))</f>
        <v>0.34399849599521987</v>
      </c>
      <c r="F358">
        <f>IF(VLOOKUP(A358,'Delta Z Scores'!$A$1:$N$1541,14,FALSE)&gt;2,VLOOKUP(A358,'Delta Z Scores'!$A$1:$N$1541,13,FALSE)/VLOOKUP(A358,'Delta Z Scores'!$A$1:$N$1541,14,FALSE),"Not Enough Data")</f>
        <v>0.26865763837819534</v>
      </c>
      <c r="G358">
        <f>IF(VLOOKUP(A358,'Forecast Z Scores'!$A$1:$N$1541,14,FALSE)&gt;2,VLOOKUP(A358,'Forecast Z Scores'!$A$1:$N$1541,13,FALSE)/VLOOKUP(A358,'Forecast Z Scores'!$A$1:$N$1541,14,FALSE),"Not Enough Data")</f>
        <v>-0.29716152469728252</v>
      </c>
      <c r="H358">
        <v>0.14603806201358199</v>
      </c>
    </row>
    <row r="359" spans="1:8" x14ac:dyDescent="0.35">
      <c r="A359" t="str">
        <f t="shared" si="5"/>
        <v>18097330804_2026</v>
      </c>
      <c r="B359">
        <v>18097330804</v>
      </c>
      <c r="C359">
        <v>2026</v>
      </c>
      <c r="E359">
        <f>-(IF(VLOOKUP(B359,'2023 Z Scores'!$A$1:$K$309,11,FALSE)&gt;2,VLOOKUP(B359,'2023 Z Scores'!$A$1:$K$309,10,FALSE)/VLOOKUP(B359,'2023 Z Scores'!$A$1:$K$309,11,FALSE),"Not Enough data"))</f>
        <v>0.34399849599521987</v>
      </c>
      <c r="F359">
        <f>IF(VLOOKUP(A359,'Delta Z Scores'!$A$1:$N$1541,14,FALSE)&gt;2,VLOOKUP(A359,'Delta Z Scores'!$A$1:$N$1541,13,FALSE)/VLOOKUP(A359,'Delta Z Scores'!$A$1:$N$1541,14,FALSE),"Not Enough Data")</f>
        <v>1.0178153095670925E-2</v>
      </c>
      <c r="G359">
        <f>IF(VLOOKUP(A359,'Forecast Z Scores'!$A$1:$N$1541,14,FALSE)&gt;2,VLOOKUP(A359,'Forecast Z Scores'!$A$1:$N$1541,13,FALSE)/VLOOKUP(A359,'Forecast Z Scores'!$A$1:$N$1541,14,FALSE),"Not Enough Data")</f>
        <v>-0.29027497010114561</v>
      </c>
      <c r="H359">
        <v>1.8519958021354019E-2</v>
      </c>
    </row>
    <row r="360" spans="1:8" x14ac:dyDescent="0.35">
      <c r="A360" t="str">
        <f t="shared" si="5"/>
        <v>18097330804_2027</v>
      </c>
      <c r="B360">
        <v>18097330804</v>
      </c>
      <c r="C360">
        <v>2027</v>
      </c>
      <c r="E360">
        <f>-(IF(VLOOKUP(B360,'2023 Z Scores'!$A$1:$K$309,11,FALSE)&gt;2,VLOOKUP(B360,'2023 Z Scores'!$A$1:$K$309,10,FALSE)/VLOOKUP(B360,'2023 Z Scores'!$A$1:$K$309,11,FALSE),"Not Enough data"))</f>
        <v>0.34399849599521987</v>
      </c>
      <c r="F360">
        <f>IF(VLOOKUP(A360,'Delta Z Scores'!$A$1:$N$1541,14,FALSE)&gt;2,VLOOKUP(A360,'Delta Z Scores'!$A$1:$N$1541,13,FALSE)/VLOOKUP(A360,'Delta Z Scores'!$A$1:$N$1541,14,FALSE),"Not Enough Data")</f>
        <v>0.11848116242507976</v>
      </c>
      <c r="G360">
        <f>IF(VLOOKUP(A360,'Forecast Z Scores'!$A$1:$N$1541,14,FALSE)&gt;2,VLOOKUP(A360,'Forecast Z Scores'!$A$1:$N$1541,13,FALSE)/VLOOKUP(A360,'Forecast Z Scores'!$A$1:$N$1541,14,FALSE),"Not Enough Data")</f>
        <v>-0.26752327778989748</v>
      </c>
      <c r="H360">
        <v>7.835938576387047E-2</v>
      </c>
    </row>
    <row r="361" spans="1:8" x14ac:dyDescent="0.35">
      <c r="A361" t="str">
        <f t="shared" si="5"/>
        <v>18097330804_2028</v>
      </c>
      <c r="B361">
        <v>18097330804</v>
      </c>
      <c r="C361">
        <v>2028</v>
      </c>
      <c r="E361">
        <f>-(IF(VLOOKUP(B361,'2023 Z Scores'!$A$1:$K$309,11,FALSE)&gt;2,VLOOKUP(B361,'2023 Z Scores'!$A$1:$K$309,10,FALSE)/VLOOKUP(B361,'2023 Z Scores'!$A$1:$K$309,11,FALSE),"Not Enough data"))</f>
        <v>0.34399849599521987</v>
      </c>
      <c r="F361">
        <f>IF(VLOOKUP(A361,'Delta Z Scores'!$A$1:$N$1541,14,FALSE)&gt;2,VLOOKUP(A361,'Delta Z Scores'!$A$1:$N$1541,13,FALSE)/VLOOKUP(A361,'Delta Z Scores'!$A$1:$N$1541,14,FALSE),"Not Enough Data")</f>
        <v>-3.8563726405908411E-2</v>
      </c>
      <c r="G361">
        <f>IF(VLOOKUP(A361,'Forecast Z Scores'!$A$1:$N$1541,14,FALSE)&gt;2,VLOOKUP(A361,'Forecast Z Scores'!$A$1:$N$1541,13,FALSE)/VLOOKUP(A361,'Forecast Z Scores'!$A$1:$N$1541,14,FALSE),"Not Enough Data")</f>
        <v>-0.251250509529795</v>
      </c>
      <c r="H361">
        <v>3.9051334134020121E-3</v>
      </c>
    </row>
    <row r="362" spans="1:8" x14ac:dyDescent="0.35">
      <c r="A362" t="str">
        <f t="shared" si="5"/>
        <v>18097330805_2024</v>
      </c>
      <c r="B362">
        <v>18097330805</v>
      </c>
      <c r="C362">
        <v>2024</v>
      </c>
      <c r="E362">
        <f>-(IF(VLOOKUP(B362,'2023 Z Scores'!$A$1:$K$309,11,FALSE)&gt;2,VLOOKUP(B362,'2023 Z Scores'!$A$1:$K$309,10,FALSE)/VLOOKUP(B362,'2023 Z Scores'!$A$1:$K$309,11,FALSE),"Not Enough data"))</f>
        <v>0.6916523176754793</v>
      </c>
      <c r="F362">
        <f>IF(VLOOKUP(A362,'Delta Z Scores'!$A$1:$N$1541,14,FALSE)&gt;2,VLOOKUP(A362,'Delta Z Scores'!$A$1:$N$1541,13,FALSE)/VLOOKUP(A362,'Delta Z Scores'!$A$1:$N$1541,14,FALSE),"Not Enough Data")</f>
        <v>-0.23202902513057</v>
      </c>
      <c r="G362">
        <f>IF(VLOOKUP(A362,'Forecast Z Scores'!$A$1:$N$1541,14,FALSE)&gt;2,VLOOKUP(A362,'Forecast Z Scores'!$A$1:$N$1541,13,FALSE)/VLOOKUP(A362,'Forecast Z Scores'!$A$1:$N$1541,14,FALSE),"Not Enough Data")</f>
        <v>-0.66796308630165002</v>
      </c>
      <c r="H362">
        <v>-0.11009220472182765</v>
      </c>
    </row>
    <row r="363" spans="1:8" x14ac:dyDescent="0.35">
      <c r="A363" t="str">
        <f t="shared" si="5"/>
        <v>18097330805_2025</v>
      </c>
      <c r="B363">
        <v>18097330805</v>
      </c>
      <c r="C363">
        <v>2025</v>
      </c>
      <c r="E363">
        <f>-(IF(VLOOKUP(B363,'2023 Z Scores'!$A$1:$K$309,11,FALSE)&gt;2,VLOOKUP(B363,'2023 Z Scores'!$A$1:$K$309,10,FALSE)/VLOOKUP(B363,'2023 Z Scores'!$A$1:$K$309,11,FALSE),"Not Enough data"))</f>
        <v>0.6916523176754793</v>
      </c>
      <c r="F363">
        <f>IF(VLOOKUP(A363,'Delta Z Scores'!$A$1:$N$1541,14,FALSE)&gt;2,VLOOKUP(A363,'Delta Z Scores'!$A$1:$N$1541,13,FALSE)/VLOOKUP(A363,'Delta Z Scores'!$A$1:$N$1541,14,FALSE),"Not Enough Data")</f>
        <v>-0.13020151364562318</v>
      </c>
      <c r="G363">
        <f>IF(VLOOKUP(A363,'Forecast Z Scores'!$A$1:$N$1541,14,FALSE)&gt;2,VLOOKUP(A363,'Forecast Z Scores'!$A$1:$N$1541,13,FALSE)/VLOOKUP(A363,'Forecast Z Scores'!$A$1:$N$1541,14,FALSE),"Not Enough Data")</f>
        <v>-0.61662418701035437</v>
      </c>
      <c r="H363">
        <v>-4.6343724156530347E-2</v>
      </c>
    </row>
    <row r="364" spans="1:8" x14ac:dyDescent="0.35">
      <c r="A364" t="str">
        <f t="shared" si="5"/>
        <v>18097330805_2026</v>
      </c>
      <c r="B364">
        <v>18097330805</v>
      </c>
      <c r="C364">
        <v>2026</v>
      </c>
      <c r="E364">
        <f>-(IF(VLOOKUP(B364,'2023 Z Scores'!$A$1:$K$309,11,FALSE)&gt;2,VLOOKUP(B364,'2023 Z Scores'!$A$1:$K$309,10,FALSE)/VLOOKUP(B364,'2023 Z Scores'!$A$1:$K$309,11,FALSE),"Not Enough data"))</f>
        <v>0.6916523176754793</v>
      </c>
      <c r="F364">
        <f>IF(VLOOKUP(A364,'Delta Z Scores'!$A$1:$N$1541,14,FALSE)&gt;2,VLOOKUP(A364,'Delta Z Scores'!$A$1:$N$1541,13,FALSE)/VLOOKUP(A364,'Delta Z Scores'!$A$1:$N$1541,14,FALSE),"Not Enough Data")</f>
        <v>-0.52299672958863619</v>
      </c>
      <c r="G364">
        <f>IF(VLOOKUP(A364,'Forecast Z Scores'!$A$1:$N$1541,14,FALSE)&gt;2,VLOOKUP(A364,'Forecast Z Scores'!$A$1:$N$1541,13,FALSE)/VLOOKUP(A364,'Forecast Z Scores'!$A$1:$N$1541,14,FALSE),"Not Enough Data")</f>
        <v>-0.71891102511325355</v>
      </c>
      <c r="H364">
        <v>-0.26831304165376169</v>
      </c>
    </row>
    <row r="365" spans="1:8" x14ac:dyDescent="0.35">
      <c r="A365" t="str">
        <f t="shared" si="5"/>
        <v>18097330805_2027</v>
      </c>
      <c r="B365">
        <v>18097330805</v>
      </c>
      <c r="C365">
        <v>2027</v>
      </c>
      <c r="E365">
        <f>-(IF(VLOOKUP(B365,'2023 Z Scores'!$A$1:$K$309,11,FALSE)&gt;2,VLOOKUP(B365,'2023 Z Scores'!$A$1:$K$309,10,FALSE)/VLOOKUP(B365,'2023 Z Scores'!$A$1:$K$309,11,FALSE),"Not Enough data"))</f>
        <v>0.6916523176754793</v>
      </c>
      <c r="F365">
        <f>IF(VLOOKUP(A365,'Delta Z Scores'!$A$1:$N$1541,14,FALSE)&gt;2,VLOOKUP(A365,'Delta Z Scores'!$A$1:$N$1541,13,FALSE)/VLOOKUP(A365,'Delta Z Scores'!$A$1:$N$1541,14,FALSE),"Not Enough Data")</f>
        <v>-7.77714146474731E-2</v>
      </c>
      <c r="G365">
        <f>IF(VLOOKUP(A365,'Forecast Z Scores'!$A$1:$N$1541,14,FALSE)&gt;2,VLOOKUP(A365,'Forecast Z Scores'!$A$1:$N$1541,13,FALSE)/VLOOKUP(A365,'Forecast Z Scores'!$A$1:$N$1541,14,FALSE),"Not Enough Data")</f>
        <v>-0.70773447107451859</v>
      </c>
      <c r="H365">
        <v>-4.2906245673496379E-2</v>
      </c>
    </row>
    <row r="366" spans="1:8" x14ac:dyDescent="0.35">
      <c r="A366" t="str">
        <f t="shared" si="5"/>
        <v>18097330805_2028</v>
      </c>
      <c r="B366">
        <v>18097330805</v>
      </c>
      <c r="C366">
        <v>2028</v>
      </c>
      <c r="E366">
        <f>-(IF(VLOOKUP(B366,'2023 Z Scores'!$A$1:$K$309,11,FALSE)&gt;2,VLOOKUP(B366,'2023 Z Scores'!$A$1:$K$309,10,FALSE)/VLOOKUP(B366,'2023 Z Scores'!$A$1:$K$309,11,FALSE),"Not Enough data"))</f>
        <v>0.6916523176754793</v>
      </c>
      <c r="F366">
        <f>IF(VLOOKUP(A366,'Delta Z Scores'!$A$1:$N$1541,14,FALSE)&gt;2,VLOOKUP(A366,'Delta Z Scores'!$A$1:$N$1541,13,FALSE)/VLOOKUP(A366,'Delta Z Scores'!$A$1:$N$1541,14,FALSE),"Not Enough Data")</f>
        <v>-0.31762062144557895</v>
      </c>
      <c r="G366">
        <f>IF(VLOOKUP(A366,'Forecast Z Scores'!$A$1:$N$1541,14,FALSE)&gt;2,VLOOKUP(A366,'Forecast Z Scores'!$A$1:$N$1541,13,FALSE)/VLOOKUP(A366,'Forecast Z Scores'!$A$1:$N$1541,14,FALSE),"Not Enough Data")</f>
        <v>-0.75685503264737719</v>
      </c>
      <c r="H366">
        <v>-0.17511098946576395</v>
      </c>
    </row>
    <row r="367" spans="1:8" x14ac:dyDescent="0.35">
      <c r="A367" t="str">
        <f t="shared" si="5"/>
        <v>18097330806_2024</v>
      </c>
      <c r="B367">
        <v>18097330806</v>
      </c>
      <c r="C367">
        <v>2024</v>
      </c>
      <c r="E367">
        <f>-(IF(VLOOKUP(B367,'2023 Z Scores'!$A$1:$K$309,11,FALSE)&gt;2,VLOOKUP(B367,'2023 Z Scores'!$A$1:$K$309,10,FALSE)/VLOOKUP(B367,'2023 Z Scores'!$A$1:$K$309,11,FALSE),"Not Enough data"))</f>
        <v>0.63231339284326471</v>
      </c>
      <c r="F367">
        <f>IF(VLOOKUP(A367,'Delta Z Scores'!$A$1:$N$1541,14,FALSE)&gt;2,VLOOKUP(A367,'Delta Z Scores'!$A$1:$N$1541,13,FALSE)/VLOOKUP(A367,'Delta Z Scores'!$A$1:$N$1541,14,FALSE),"Not Enough Data")</f>
        <v>0.31990744844212471</v>
      </c>
      <c r="G367">
        <f>IF(VLOOKUP(A367,'Forecast Z Scores'!$A$1:$N$1541,14,FALSE)&gt;2,VLOOKUP(A367,'Forecast Z Scores'!$A$1:$N$1541,13,FALSE)/VLOOKUP(A367,'Forecast Z Scores'!$A$1:$N$1541,14,FALSE),"Not Enough Data")</f>
        <v>-0.50134321886984501</v>
      </c>
      <c r="H367">
        <v>0.19269626771441728</v>
      </c>
    </row>
    <row r="368" spans="1:8" x14ac:dyDescent="0.35">
      <c r="A368" t="str">
        <f t="shared" si="5"/>
        <v>18097330806_2025</v>
      </c>
      <c r="B368">
        <v>18097330806</v>
      </c>
      <c r="C368">
        <v>2025</v>
      </c>
      <c r="E368">
        <f>-(IF(VLOOKUP(B368,'2023 Z Scores'!$A$1:$K$309,11,FALSE)&gt;2,VLOOKUP(B368,'2023 Z Scores'!$A$1:$K$309,10,FALSE)/VLOOKUP(B368,'2023 Z Scores'!$A$1:$K$309,11,FALSE),"Not Enough data"))</f>
        <v>0.63231339284326471</v>
      </c>
      <c r="F368">
        <f>IF(VLOOKUP(A368,'Delta Z Scores'!$A$1:$N$1541,14,FALSE)&gt;2,VLOOKUP(A368,'Delta Z Scores'!$A$1:$N$1541,13,FALSE)/VLOOKUP(A368,'Delta Z Scores'!$A$1:$N$1541,14,FALSE),"Not Enough Data")</f>
        <v>0.20111075899586184</v>
      </c>
      <c r="G368">
        <f>IF(VLOOKUP(A368,'Forecast Z Scores'!$A$1:$N$1541,14,FALSE)&gt;2,VLOOKUP(A368,'Forecast Z Scores'!$A$1:$N$1541,13,FALSE)/VLOOKUP(A368,'Forecast Z Scores'!$A$1:$N$1541,14,FALSE),"Not Enough Data")</f>
        <v>-0.49800199110063009</v>
      </c>
      <c r="H368">
        <v>0.13413322993358956</v>
      </c>
    </row>
    <row r="369" spans="1:8" x14ac:dyDescent="0.35">
      <c r="A369" t="str">
        <f t="shared" si="5"/>
        <v>18097330806_2026</v>
      </c>
      <c r="B369">
        <v>18097330806</v>
      </c>
      <c r="C369">
        <v>2026</v>
      </c>
      <c r="E369">
        <f>-(IF(VLOOKUP(B369,'2023 Z Scores'!$A$1:$K$309,11,FALSE)&gt;2,VLOOKUP(B369,'2023 Z Scores'!$A$1:$K$309,10,FALSE)/VLOOKUP(B369,'2023 Z Scores'!$A$1:$K$309,11,FALSE),"Not Enough data"))</f>
        <v>0.63231339284326471</v>
      </c>
      <c r="F369">
        <f>IF(VLOOKUP(A369,'Delta Z Scores'!$A$1:$N$1541,14,FALSE)&gt;2,VLOOKUP(A369,'Delta Z Scores'!$A$1:$N$1541,13,FALSE)/VLOOKUP(A369,'Delta Z Scores'!$A$1:$N$1541,14,FALSE),"Not Enough Data")</f>
        <v>0.19370175856017338</v>
      </c>
      <c r="G369">
        <f>IF(VLOOKUP(A369,'Forecast Z Scores'!$A$1:$N$1541,14,FALSE)&gt;2,VLOOKUP(A369,'Forecast Z Scores'!$A$1:$N$1541,13,FALSE)/VLOOKUP(A369,'Forecast Z Scores'!$A$1:$N$1541,14,FALSE),"Not Enough Data")</f>
        <v>-0.49027522118332817</v>
      </c>
      <c r="H369">
        <v>0.13236042219507083</v>
      </c>
    </row>
    <row r="370" spans="1:8" x14ac:dyDescent="0.35">
      <c r="A370" t="str">
        <f t="shared" si="5"/>
        <v>18097330806_2027</v>
      </c>
      <c r="B370">
        <v>18097330806</v>
      </c>
      <c r="C370">
        <v>2027</v>
      </c>
      <c r="E370">
        <f>-(IF(VLOOKUP(B370,'2023 Z Scores'!$A$1:$K$309,11,FALSE)&gt;2,VLOOKUP(B370,'2023 Z Scores'!$A$1:$K$309,10,FALSE)/VLOOKUP(B370,'2023 Z Scores'!$A$1:$K$309,11,FALSE),"Not Enough data"))</f>
        <v>0.63231339284326471</v>
      </c>
      <c r="F370">
        <f>IF(VLOOKUP(A370,'Delta Z Scores'!$A$1:$N$1541,14,FALSE)&gt;2,VLOOKUP(A370,'Delta Z Scores'!$A$1:$N$1541,13,FALSE)/VLOOKUP(A370,'Delta Z Scores'!$A$1:$N$1541,14,FALSE),"Not Enough Data")</f>
        <v>0.1644981846064385</v>
      </c>
      <c r="G370">
        <f>IF(VLOOKUP(A370,'Forecast Z Scores'!$A$1:$N$1541,14,FALSE)&gt;2,VLOOKUP(A370,'Forecast Z Scores'!$A$1:$N$1541,13,FALSE)/VLOOKUP(A370,'Forecast Z Scores'!$A$1:$N$1541,14,FALSE),"Not Enough Data")</f>
        <v>-0.48655465226561767</v>
      </c>
      <c r="H370">
        <v>0.11868877744763101</v>
      </c>
    </row>
    <row r="371" spans="1:8" x14ac:dyDescent="0.35">
      <c r="A371" t="str">
        <f t="shared" si="5"/>
        <v>18097330806_2028</v>
      </c>
      <c r="B371">
        <v>18097330806</v>
      </c>
      <c r="C371">
        <v>2028</v>
      </c>
      <c r="E371">
        <f>-(IF(VLOOKUP(B371,'2023 Z Scores'!$A$1:$K$309,11,FALSE)&gt;2,VLOOKUP(B371,'2023 Z Scores'!$A$1:$K$309,10,FALSE)/VLOOKUP(B371,'2023 Z Scores'!$A$1:$K$309,11,FALSE),"Not Enough data"))</f>
        <v>0.63231339284326471</v>
      </c>
      <c r="F371">
        <f>IF(VLOOKUP(A371,'Delta Z Scores'!$A$1:$N$1541,14,FALSE)&gt;2,VLOOKUP(A371,'Delta Z Scores'!$A$1:$N$1541,13,FALSE)/VLOOKUP(A371,'Delta Z Scores'!$A$1:$N$1541,14,FALSE),"Not Enough Data")</f>
        <v>0.12586777368270441</v>
      </c>
      <c r="G371">
        <f>IF(VLOOKUP(A371,'Forecast Z Scores'!$A$1:$N$1541,14,FALSE)&gt;2,VLOOKUP(A371,'Forecast Z Scores'!$A$1:$N$1541,13,FALSE)/VLOOKUP(A371,'Forecast Z Scores'!$A$1:$N$1541,14,FALSE),"Not Enough Data")</f>
        <v>-0.47796621304827347</v>
      </c>
      <c r="H371">
        <v>0.10152068179010001</v>
      </c>
    </row>
    <row r="372" spans="1:8" x14ac:dyDescent="0.35">
      <c r="A372" t="str">
        <f t="shared" si="5"/>
        <v>18097330900_2024</v>
      </c>
      <c r="B372">
        <v>18097330900</v>
      </c>
      <c r="C372">
        <v>2024</v>
      </c>
      <c r="E372">
        <f>-(IF(VLOOKUP(B372,'2023 Z Scores'!$A$1:$K$309,11,FALSE)&gt;2,VLOOKUP(B372,'2023 Z Scores'!$A$1:$K$309,10,FALSE)/VLOOKUP(B372,'2023 Z Scores'!$A$1:$K$309,11,FALSE),"Not Enough data"))</f>
        <v>0.61151353976448042</v>
      </c>
      <c r="F372">
        <f>IF(VLOOKUP(A372,'Delta Z Scores'!$A$1:$N$1541,14,FALSE)&gt;2,VLOOKUP(A372,'Delta Z Scores'!$A$1:$N$1541,13,FALSE)/VLOOKUP(A372,'Delta Z Scores'!$A$1:$N$1541,14,FALSE),"Not Enough Data")</f>
        <v>0.43841556691245509</v>
      </c>
      <c r="G372">
        <f>IF(VLOOKUP(A372,'Forecast Z Scores'!$A$1:$N$1541,14,FALSE)&gt;2,VLOOKUP(A372,'Forecast Z Scores'!$A$1:$N$1541,13,FALSE)/VLOOKUP(A372,'Forecast Z Scores'!$A$1:$N$1541,14,FALSE),"Not Enough Data")</f>
        <v>-0.56475668438373228</v>
      </c>
      <c r="H372">
        <v>0.23089699730141458</v>
      </c>
    </row>
    <row r="373" spans="1:8" x14ac:dyDescent="0.35">
      <c r="A373" t="str">
        <f t="shared" si="5"/>
        <v>18097330900_2025</v>
      </c>
      <c r="B373">
        <v>18097330900</v>
      </c>
      <c r="C373">
        <v>2025</v>
      </c>
      <c r="E373">
        <f>-(IF(VLOOKUP(B373,'2023 Z Scores'!$A$1:$K$309,11,FALSE)&gt;2,VLOOKUP(B373,'2023 Z Scores'!$A$1:$K$309,10,FALSE)/VLOOKUP(B373,'2023 Z Scores'!$A$1:$K$309,11,FALSE),"Not Enough data"))</f>
        <v>0.61151353976448042</v>
      </c>
      <c r="F373">
        <f>IF(VLOOKUP(A373,'Delta Z Scores'!$A$1:$N$1541,14,FALSE)&gt;2,VLOOKUP(A373,'Delta Z Scores'!$A$1:$N$1541,13,FALSE)/VLOOKUP(A373,'Delta Z Scores'!$A$1:$N$1541,14,FALSE),"Not Enough Data")</f>
        <v>-0.23956428878596636</v>
      </c>
      <c r="G373">
        <f>IF(VLOOKUP(A373,'Forecast Z Scores'!$A$1:$N$1541,14,FALSE)&gt;2,VLOOKUP(A373,'Forecast Z Scores'!$A$1:$N$1541,13,FALSE)/VLOOKUP(A373,'Forecast Z Scores'!$A$1:$N$1541,14,FALSE),"Not Enough Data")</f>
        <v>-0.5927480145418299</v>
      </c>
      <c r="H373">
        <v>-0.11509076308732052</v>
      </c>
    </row>
    <row r="374" spans="1:8" x14ac:dyDescent="0.35">
      <c r="A374" t="str">
        <f t="shared" si="5"/>
        <v>18097330900_2026</v>
      </c>
      <c r="B374">
        <v>18097330900</v>
      </c>
      <c r="C374">
        <v>2026</v>
      </c>
      <c r="E374">
        <f>-(IF(VLOOKUP(B374,'2023 Z Scores'!$A$1:$K$309,11,FALSE)&gt;2,VLOOKUP(B374,'2023 Z Scores'!$A$1:$K$309,10,FALSE)/VLOOKUP(B374,'2023 Z Scores'!$A$1:$K$309,11,FALSE),"Not Enough data"))</f>
        <v>0.61151353976448042</v>
      </c>
      <c r="F374">
        <f>IF(VLOOKUP(A374,'Delta Z Scores'!$A$1:$N$1541,14,FALSE)&gt;2,VLOOKUP(A374,'Delta Z Scores'!$A$1:$N$1541,13,FALSE)/VLOOKUP(A374,'Delta Z Scores'!$A$1:$N$1541,14,FALSE),"Not Enough Data")</f>
        <v>6.5793868457353988E-3</v>
      </c>
      <c r="G374">
        <f>IF(VLOOKUP(A374,'Forecast Z Scores'!$A$1:$N$1541,14,FALSE)&gt;2,VLOOKUP(A374,'Forecast Z Scores'!$A$1:$N$1541,13,FALSE)/VLOOKUP(A374,'Forecast Z Scores'!$A$1:$N$1541,14,FALSE),"Not Enough Data")</f>
        <v>-0.60736634460875294</v>
      </c>
      <c r="H374">
        <v>4.3264922117995652E-3</v>
      </c>
    </row>
    <row r="375" spans="1:8" x14ac:dyDescent="0.35">
      <c r="A375" t="str">
        <f t="shared" si="5"/>
        <v>18097330900_2027</v>
      </c>
      <c r="B375">
        <v>18097330900</v>
      </c>
      <c r="C375">
        <v>2027</v>
      </c>
      <c r="E375">
        <f>-(IF(VLOOKUP(B375,'2023 Z Scores'!$A$1:$K$309,11,FALSE)&gt;2,VLOOKUP(B375,'2023 Z Scores'!$A$1:$K$309,10,FALSE)/VLOOKUP(B375,'2023 Z Scores'!$A$1:$K$309,11,FALSE),"Not Enough data"))</f>
        <v>0.61151353976448042</v>
      </c>
      <c r="F375">
        <f>IF(VLOOKUP(A375,'Delta Z Scores'!$A$1:$N$1541,14,FALSE)&gt;2,VLOOKUP(A375,'Delta Z Scores'!$A$1:$N$1541,13,FALSE)/VLOOKUP(A375,'Delta Z Scores'!$A$1:$N$1541,14,FALSE),"Not Enough Data")</f>
        <v>-0.13934107984795069</v>
      </c>
      <c r="G375">
        <f>IF(VLOOKUP(A375,'Forecast Z Scores'!$A$1:$N$1541,14,FALSE)&gt;2,VLOOKUP(A375,'Forecast Z Scores'!$A$1:$N$1541,13,FALSE)/VLOOKUP(A375,'Forecast Z Scores'!$A$1:$N$1541,14,FALSE),"Not Enough Data")</f>
        <v>-0.62574554319194919</v>
      </c>
      <c r="H375">
        <v>-7.3228540780842538E-2</v>
      </c>
    </row>
    <row r="376" spans="1:8" x14ac:dyDescent="0.35">
      <c r="A376" t="str">
        <f t="shared" si="5"/>
        <v>18097330900_2028</v>
      </c>
      <c r="B376">
        <v>18097330900</v>
      </c>
      <c r="C376">
        <v>2028</v>
      </c>
      <c r="E376">
        <f>-(IF(VLOOKUP(B376,'2023 Z Scores'!$A$1:$K$309,11,FALSE)&gt;2,VLOOKUP(B376,'2023 Z Scores'!$A$1:$K$309,10,FALSE)/VLOOKUP(B376,'2023 Z Scores'!$A$1:$K$309,11,FALSE),"Not Enough data"))</f>
        <v>0.61151353976448042</v>
      </c>
      <c r="F376">
        <f>IF(VLOOKUP(A376,'Delta Z Scores'!$A$1:$N$1541,14,FALSE)&gt;2,VLOOKUP(A376,'Delta Z Scores'!$A$1:$N$1541,13,FALSE)/VLOOKUP(A376,'Delta Z Scores'!$A$1:$N$1541,14,FALSE),"Not Enough Data")</f>
        <v>-8.4799253230342653E-2</v>
      </c>
      <c r="G376">
        <f>IF(VLOOKUP(A376,'Forecast Z Scores'!$A$1:$N$1541,14,FALSE)&gt;2,VLOOKUP(A376,'Forecast Z Scores'!$A$1:$N$1541,13,FALSE)/VLOOKUP(A376,'Forecast Z Scores'!$A$1:$N$1541,14,FALSE),"Not Enough Data")</f>
        <v>-0.63321261680518592</v>
      </c>
      <c r="H376">
        <v>-4.7824395875347703E-2</v>
      </c>
    </row>
    <row r="377" spans="1:8" x14ac:dyDescent="0.35">
      <c r="A377" t="str">
        <f t="shared" si="5"/>
        <v>18097331000_2024</v>
      </c>
      <c r="B377">
        <v>18097331000</v>
      </c>
      <c r="C377">
        <v>2024</v>
      </c>
      <c r="E377">
        <f>-(IF(VLOOKUP(B377,'2023 Z Scores'!$A$1:$K$309,11,FALSE)&gt;2,VLOOKUP(B377,'2023 Z Scores'!$A$1:$K$309,10,FALSE)/VLOOKUP(B377,'2023 Z Scores'!$A$1:$K$309,11,FALSE),"Not Enough data"))</f>
        <v>0.5569693604400251</v>
      </c>
      <c r="F377">
        <f>IF(VLOOKUP(A377,'Delta Z Scores'!$A$1:$N$1541,14,FALSE)&gt;2,VLOOKUP(A377,'Delta Z Scores'!$A$1:$N$1541,13,FALSE)/VLOOKUP(A377,'Delta Z Scores'!$A$1:$N$1541,14,FALSE),"Not Enough Data")</f>
        <v>9.5172214686717355E-2</v>
      </c>
      <c r="G377">
        <f>IF(VLOOKUP(A377,'Forecast Z Scores'!$A$1:$N$1541,14,FALSE)&gt;2,VLOOKUP(A377,'Forecast Z Scores'!$A$1:$N$1541,13,FALSE)/VLOOKUP(A377,'Forecast Z Scores'!$A$1:$N$1541,14,FALSE),"Not Enough Data")</f>
        <v>-0.58538334827467597</v>
      </c>
      <c r="H377">
        <v>4.0482610384695958E-2</v>
      </c>
    </row>
    <row r="378" spans="1:8" x14ac:dyDescent="0.35">
      <c r="A378" t="str">
        <f t="shared" si="5"/>
        <v>18097331000_2025</v>
      </c>
      <c r="B378">
        <v>18097331000</v>
      </c>
      <c r="C378">
        <v>2025</v>
      </c>
      <c r="E378">
        <f>-(IF(VLOOKUP(B378,'2023 Z Scores'!$A$1:$K$309,11,FALSE)&gt;2,VLOOKUP(B378,'2023 Z Scores'!$A$1:$K$309,10,FALSE)/VLOOKUP(B378,'2023 Z Scores'!$A$1:$K$309,11,FALSE),"Not Enough data"))</f>
        <v>0.5569693604400251</v>
      </c>
      <c r="F378">
        <f>IF(VLOOKUP(A378,'Delta Z Scores'!$A$1:$N$1541,14,FALSE)&gt;2,VLOOKUP(A378,'Delta Z Scores'!$A$1:$N$1541,13,FALSE)/VLOOKUP(A378,'Delta Z Scores'!$A$1:$N$1541,14,FALSE),"Not Enough Data")</f>
        <v>-0.1867406276153899</v>
      </c>
      <c r="G378">
        <f>IF(VLOOKUP(A378,'Forecast Z Scores'!$A$1:$N$1541,14,FALSE)&gt;2,VLOOKUP(A378,'Forecast Z Scores'!$A$1:$N$1541,13,FALSE)/VLOOKUP(A378,'Forecast Z Scores'!$A$1:$N$1541,14,FALSE),"Not Enough Data")</f>
        <v>-0.60499008057660397</v>
      </c>
      <c r="H378">
        <v>-0.10537549384183967</v>
      </c>
    </row>
    <row r="379" spans="1:8" x14ac:dyDescent="0.35">
      <c r="A379" t="str">
        <f t="shared" si="5"/>
        <v>18097331000_2026</v>
      </c>
      <c r="B379">
        <v>18097331000</v>
      </c>
      <c r="C379">
        <v>2026</v>
      </c>
      <c r="E379">
        <f>-(IF(VLOOKUP(B379,'2023 Z Scores'!$A$1:$K$309,11,FALSE)&gt;2,VLOOKUP(B379,'2023 Z Scores'!$A$1:$K$309,10,FALSE)/VLOOKUP(B379,'2023 Z Scores'!$A$1:$K$309,11,FALSE),"Not Enough data"))</f>
        <v>0.5569693604400251</v>
      </c>
      <c r="F379">
        <f>IF(VLOOKUP(A379,'Delta Z Scores'!$A$1:$N$1541,14,FALSE)&gt;2,VLOOKUP(A379,'Delta Z Scores'!$A$1:$N$1541,13,FALSE)/VLOOKUP(A379,'Delta Z Scores'!$A$1:$N$1541,14,FALSE),"Not Enough Data")</f>
        <v>-7.5283150074518024E-2</v>
      </c>
      <c r="G379">
        <f>IF(VLOOKUP(A379,'Forecast Z Scores'!$A$1:$N$1541,14,FALSE)&gt;2,VLOOKUP(A379,'Forecast Z Scores'!$A$1:$N$1541,13,FALSE)/VLOOKUP(A379,'Forecast Z Scores'!$A$1:$N$1541,14,FALSE),"Not Enough Data")</f>
        <v>-0.61554896574868567</v>
      </c>
      <c r="H379">
        <v>-5.2286476364424156E-2</v>
      </c>
    </row>
    <row r="380" spans="1:8" x14ac:dyDescent="0.35">
      <c r="A380" t="str">
        <f t="shared" si="5"/>
        <v>18097331000_2027</v>
      </c>
      <c r="B380">
        <v>18097331000</v>
      </c>
      <c r="C380">
        <v>2027</v>
      </c>
      <c r="E380">
        <f>-(IF(VLOOKUP(B380,'2023 Z Scores'!$A$1:$K$309,11,FALSE)&gt;2,VLOOKUP(B380,'2023 Z Scores'!$A$1:$K$309,10,FALSE)/VLOOKUP(B380,'2023 Z Scores'!$A$1:$K$309,11,FALSE),"Not Enough data"))</f>
        <v>0.5569693604400251</v>
      </c>
      <c r="F380">
        <f>IF(VLOOKUP(A380,'Delta Z Scores'!$A$1:$N$1541,14,FALSE)&gt;2,VLOOKUP(A380,'Delta Z Scores'!$A$1:$N$1541,13,FALSE)/VLOOKUP(A380,'Delta Z Scores'!$A$1:$N$1541,14,FALSE),"Not Enough Data")</f>
        <v>-0.11396984518350572</v>
      </c>
      <c r="G380">
        <f>IF(VLOOKUP(A380,'Forecast Z Scores'!$A$1:$N$1541,14,FALSE)&gt;2,VLOOKUP(A380,'Forecast Z Scores'!$A$1:$N$1541,13,FALSE)/VLOOKUP(A380,'Forecast Z Scores'!$A$1:$N$1541,14,FALSE),"Not Enough Data")</f>
        <v>-0.62888081065186707</v>
      </c>
      <c r="H380">
        <v>-7.4962785144713356E-2</v>
      </c>
    </row>
    <row r="381" spans="1:8" x14ac:dyDescent="0.35">
      <c r="A381" t="str">
        <f t="shared" si="5"/>
        <v>18097331000_2028</v>
      </c>
      <c r="B381">
        <v>18097331000</v>
      </c>
      <c r="C381">
        <v>2028</v>
      </c>
      <c r="E381">
        <f>-(IF(VLOOKUP(B381,'2023 Z Scores'!$A$1:$K$309,11,FALSE)&gt;2,VLOOKUP(B381,'2023 Z Scores'!$A$1:$K$309,10,FALSE)/VLOOKUP(B381,'2023 Z Scores'!$A$1:$K$309,11,FALSE),"Not Enough data"))</f>
        <v>0.5569693604400251</v>
      </c>
      <c r="F381">
        <f>IF(VLOOKUP(A381,'Delta Z Scores'!$A$1:$N$1541,14,FALSE)&gt;2,VLOOKUP(A381,'Delta Z Scores'!$A$1:$N$1541,13,FALSE)/VLOOKUP(A381,'Delta Z Scores'!$A$1:$N$1541,14,FALSE),"Not Enough Data")</f>
        <v>-9.3414358297806727E-2</v>
      </c>
      <c r="G381">
        <f>IF(VLOOKUP(A381,'Forecast Z Scores'!$A$1:$N$1541,14,FALSE)&gt;2,VLOOKUP(A381,'Forecast Z Scores'!$A$1:$N$1541,13,FALSE)/VLOOKUP(A381,'Forecast Z Scores'!$A$1:$N$1541,14,FALSE),"Not Enough Data")</f>
        <v>-0.63273185424126244</v>
      </c>
      <c r="H381">
        <v>-6.5647802599212685E-2</v>
      </c>
    </row>
    <row r="382" spans="1:8" x14ac:dyDescent="0.35">
      <c r="A382" t="str">
        <f t="shared" si="5"/>
        <v>18097340101_2024</v>
      </c>
      <c r="B382">
        <v>18097340101</v>
      </c>
      <c r="C382">
        <v>2024</v>
      </c>
      <c r="E382">
        <f>-(IF(VLOOKUP(B382,'2023 Z Scores'!$A$1:$K$309,11,FALSE)&gt;2,VLOOKUP(B382,'2023 Z Scores'!$A$1:$K$309,10,FALSE)/VLOOKUP(B382,'2023 Z Scores'!$A$1:$K$309,11,FALSE),"Not Enough data"))</f>
        <v>-0.22892610881527878</v>
      </c>
      <c r="F382">
        <f>IF(VLOOKUP(A382,'Delta Z Scores'!$A$1:$N$1541,14,FALSE)&gt;2,VLOOKUP(A382,'Delta Z Scores'!$A$1:$N$1541,13,FALSE)/VLOOKUP(A382,'Delta Z Scores'!$A$1:$N$1541,14,FALSE),"Not Enough Data")</f>
        <v>-0.33630840866835848</v>
      </c>
      <c r="G382">
        <f>IF(VLOOKUP(A382,'Forecast Z Scores'!$A$1:$N$1541,14,FALSE)&gt;2,VLOOKUP(A382,'Forecast Z Scores'!$A$1:$N$1541,13,FALSE)/VLOOKUP(A382,'Forecast Z Scores'!$A$1:$N$1541,14,FALSE),"Not Enough Data")</f>
        <v>-0.1094878088779717</v>
      </c>
      <c r="H382">
        <v>-0.25275768375749186</v>
      </c>
    </row>
    <row r="383" spans="1:8" x14ac:dyDescent="0.35">
      <c r="A383" t="str">
        <f t="shared" si="5"/>
        <v>18097340101_2025</v>
      </c>
      <c r="B383">
        <v>18097340101</v>
      </c>
      <c r="C383">
        <v>2025</v>
      </c>
      <c r="E383">
        <f>-(IF(VLOOKUP(B383,'2023 Z Scores'!$A$1:$K$309,11,FALSE)&gt;2,VLOOKUP(B383,'2023 Z Scores'!$A$1:$K$309,10,FALSE)/VLOOKUP(B383,'2023 Z Scores'!$A$1:$K$309,11,FALSE),"Not Enough data"))</f>
        <v>-0.22892610881527878</v>
      </c>
      <c r="F383">
        <f>IF(VLOOKUP(A383,'Delta Z Scores'!$A$1:$N$1541,14,FALSE)&gt;2,VLOOKUP(A383,'Delta Z Scores'!$A$1:$N$1541,13,FALSE)/VLOOKUP(A383,'Delta Z Scores'!$A$1:$N$1541,14,FALSE),"Not Enough Data")</f>
        <v>-0.15188433271238275</v>
      </c>
      <c r="G383">
        <f>IF(VLOOKUP(A383,'Forecast Z Scores'!$A$1:$N$1541,14,FALSE)&gt;2,VLOOKUP(A383,'Forecast Z Scores'!$A$1:$N$1541,13,FALSE)/VLOOKUP(A383,'Forecast Z Scores'!$A$1:$N$1541,14,FALSE),"Not Enough Data")</f>
        <v>-0.12572812288043725</v>
      </c>
      <c r="H383">
        <v>-0.16460572428012038</v>
      </c>
    </row>
    <row r="384" spans="1:8" x14ac:dyDescent="0.35">
      <c r="A384" t="str">
        <f t="shared" si="5"/>
        <v>18097340101_2026</v>
      </c>
      <c r="B384">
        <v>18097340101</v>
      </c>
      <c r="C384">
        <v>2026</v>
      </c>
      <c r="E384">
        <f>-(IF(VLOOKUP(B384,'2023 Z Scores'!$A$1:$K$309,11,FALSE)&gt;2,VLOOKUP(B384,'2023 Z Scores'!$A$1:$K$309,10,FALSE)/VLOOKUP(B384,'2023 Z Scores'!$A$1:$K$309,11,FALSE),"Not Enough data"))</f>
        <v>-0.22892610881527878</v>
      </c>
      <c r="F384">
        <f>IF(VLOOKUP(A384,'Delta Z Scores'!$A$1:$N$1541,14,FALSE)&gt;2,VLOOKUP(A384,'Delta Z Scores'!$A$1:$N$1541,13,FALSE)/VLOOKUP(A384,'Delta Z Scores'!$A$1:$N$1541,14,FALSE),"Not Enough Data")</f>
        <v>-0.26838796038545126</v>
      </c>
      <c r="G384">
        <f>IF(VLOOKUP(A384,'Forecast Z Scores'!$A$1:$N$1541,14,FALSE)&gt;2,VLOOKUP(A384,'Forecast Z Scores'!$A$1:$N$1541,13,FALSE)/VLOOKUP(A384,'Forecast Z Scores'!$A$1:$N$1541,14,FALSE),"Not Enough Data")</f>
        <v>-0.14953287816939356</v>
      </c>
      <c r="H384">
        <v>-0.2288087269388937</v>
      </c>
    </row>
    <row r="385" spans="1:8" x14ac:dyDescent="0.35">
      <c r="A385" t="str">
        <f t="shared" si="5"/>
        <v>18097340101_2027</v>
      </c>
      <c r="B385">
        <v>18097340101</v>
      </c>
      <c r="C385">
        <v>2027</v>
      </c>
      <c r="E385">
        <f>-(IF(VLOOKUP(B385,'2023 Z Scores'!$A$1:$K$309,11,FALSE)&gt;2,VLOOKUP(B385,'2023 Z Scores'!$A$1:$K$309,10,FALSE)/VLOOKUP(B385,'2023 Z Scores'!$A$1:$K$309,11,FALSE),"Not Enough data"))</f>
        <v>-0.22892610881527878</v>
      </c>
      <c r="F385">
        <f>IF(VLOOKUP(A385,'Delta Z Scores'!$A$1:$N$1541,14,FALSE)&gt;2,VLOOKUP(A385,'Delta Z Scores'!$A$1:$N$1541,13,FALSE)/VLOOKUP(A385,'Delta Z Scores'!$A$1:$N$1541,14,FALSE),"Not Enough Data")</f>
        <v>-0.18337309502399055</v>
      </c>
      <c r="G385">
        <f>IF(VLOOKUP(A385,'Forecast Z Scores'!$A$1:$N$1541,14,FALSE)&gt;2,VLOOKUP(A385,'Forecast Z Scores'!$A$1:$N$1541,13,FALSE)/VLOOKUP(A385,'Forecast Z Scores'!$A$1:$N$1541,14,FALSE),"Not Enough Data")</f>
        <v>-0.16936908707328197</v>
      </c>
      <c r="H385">
        <v>-0.19126034648413545</v>
      </c>
    </row>
    <row r="386" spans="1:8" x14ac:dyDescent="0.35">
      <c r="A386" t="str">
        <f t="shared" si="5"/>
        <v>18097340101_2028</v>
      </c>
      <c r="B386">
        <v>18097340101</v>
      </c>
      <c r="C386">
        <v>2028</v>
      </c>
      <c r="E386">
        <f>-(IF(VLOOKUP(B386,'2023 Z Scores'!$A$1:$K$309,11,FALSE)&gt;2,VLOOKUP(B386,'2023 Z Scores'!$A$1:$K$309,10,FALSE)/VLOOKUP(B386,'2023 Z Scores'!$A$1:$K$309,11,FALSE),"Not Enough data"))</f>
        <v>-0.22892610881527878</v>
      </c>
      <c r="F386">
        <f>IF(VLOOKUP(A386,'Delta Z Scores'!$A$1:$N$1541,14,FALSE)&gt;2,VLOOKUP(A386,'Delta Z Scores'!$A$1:$N$1541,13,FALSE)/VLOOKUP(A386,'Delta Z Scores'!$A$1:$N$1541,14,FALSE),"Not Enough Data")</f>
        <v>-0.17293776539903213</v>
      </c>
      <c r="G386">
        <f>IF(VLOOKUP(A386,'Forecast Z Scores'!$A$1:$N$1541,14,FALSE)&gt;2,VLOOKUP(A386,'Forecast Z Scores'!$A$1:$N$1541,13,FALSE)/VLOOKUP(A386,'Forecast Z Scores'!$A$1:$N$1541,14,FALSE),"Not Enough Data")</f>
        <v>-0.19045502189366387</v>
      </c>
      <c r="H386">
        <v>-0.19131416537675172</v>
      </c>
    </row>
    <row r="387" spans="1:8" x14ac:dyDescent="0.35">
      <c r="A387" t="str">
        <f t="shared" ref="A387:A450" si="6">TEXT(B387,0)&amp;"_"&amp;TEXT(C387,0)</f>
        <v>18097340102_2024</v>
      </c>
      <c r="B387">
        <v>18097340102</v>
      </c>
      <c r="C387">
        <v>2024</v>
      </c>
      <c r="E387">
        <f>-(IF(VLOOKUP(B387,'2023 Z Scores'!$A$1:$K$309,11,FALSE)&gt;2,VLOOKUP(B387,'2023 Z Scores'!$A$1:$K$309,10,FALSE)/VLOOKUP(B387,'2023 Z Scores'!$A$1:$K$309,11,FALSE),"Not Enough data"))</f>
        <v>0.27210321444031854</v>
      </c>
      <c r="F387">
        <f>IF(VLOOKUP(A387,'Delta Z Scores'!$A$1:$N$1541,14,FALSE)&gt;2,VLOOKUP(A387,'Delta Z Scores'!$A$1:$N$1541,13,FALSE)/VLOOKUP(A387,'Delta Z Scores'!$A$1:$N$1541,14,FALSE),"Not Enough Data")</f>
        <v>9.7898479474634731E-2</v>
      </c>
      <c r="G387">
        <f>IF(VLOOKUP(A387,'Forecast Z Scores'!$A$1:$N$1541,14,FALSE)&gt;2,VLOOKUP(A387,'Forecast Z Scores'!$A$1:$N$1541,13,FALSE)/VLOOKUP(A387,'Forecast Z Scores'!$A$1:$N$1541,14,FALSE),"Not Enough Data")</f>
        <v>-5.6209562007978976E-2</v>
      </c>
      <c r="H387">
        <v>0.10292265284540225</v>
      </c>
    </row>
    <row r="388" spans="1:8" x14ac:dyDescent="0.35">
      <c r="A388" t="str">
        <f t="shared" si="6"/>
        <v>18097340102_2025</v>
      </c>
      <c r="B388">
        <v>18097340102</v>
      </c>
      <c r="C388">
        <v>2025</v>
      </c>
      <c r="E388">
        <f>-(IF(VLOOKUP(B388,'2023 Z Scores'!$A$1:$K$309,11,FALSE)&gt;2,VLOOKUP(B388,'2023 Z Scores'!$A$1:$K$309,10,FALSE)/VLOOKUP(B388,'2023 Z Scores'!$A$1:$K$309,11,FALSE),"Not Enough data"))</f>
        <v>0.27210321444031854</v>
      </c>
      <c r="F388">
        <f>IF(VLOOKUP(A388,'Delta Z Scores'!$A$1:$N$1541,14,FALSE)&gt;2,VLOOKUP(A388,'Delta Z Scores'!$A$1:$N$1541,13,FALSE)/VLOOKUP(A388,'Delta Z Scores'!$A$1:$N$1541,14,FALSE),"Not Enough Data")</f>
        <v>0.43838581706770591</v>
      </c>
      <c r="G388">
        <f>IF(VLOOKUP(A388,'Forecast Z Scores'!$A$1:$N$1541,14,FALSE)&gt;2,VLOOKUP(A388,'Forecast Z Scores'!$A$1:$N$1541,13,FALSE)/VLOOKUP(A388,'Forecast Z Scores'!$A$1:$N$1541,14,FALSE),"Not Enough Data")</f>
        <v>-2.1888145593005174E-2</v>
      </c>
      <c r="H388">
        <v>0.2817466757456813</v>
      </c>
    </row>
    <row r="389" spans="1:8" x14ac:dyDescent="0.35">
      <c r="A389" t="str">
        <f t="shared" si="6"/>
        <v>18097340102_2026</v>
      </c>
      <c r="B389">
        <v>18097340102</v>
      </c>
      <c r="C389">
        <v>2026</v>
      </c>
      <c r="E389">
        <f>-(IF(VLOOKUP(B389,'2023 Z Scores'!$A$1:$K$309,11,FALSE)&gt;2,VLOOKUP(B389,'2023 Z Scores'!$A$1:$K$309,10,FALSE)/VLOOKUP(B389,'2023 Z Scores'!$A$1:$K$309,11,FALSE),"Not Enough data"))</f>
        <v>0.27210321444031854</v>
      </c>
      <c r="F389">
        <f>IF(VLOOKUP(A389,'Delta Z Scores'!$A$1:$N$1541,14,FALSE)&gt;2,VLOOKUP(A389,'Delta Z Scores'!$A$1:$N$1541,13,FALSE)/VLOOKUP(A389,'Delta Z Scores'!$A$1:$N$1541,14,FALSE),"Not Enough Data")</f>
        <v>0.12101767668922925</v>
      </c>
      <c r="G389">
        <f>IF(VLOOKUP(A389,'Forecast Z Scores'!$A$1:$N$1541,14,FALSE)&gt;2,VLOOKUP(A389,'Forecast Z Scores'!$A$1:$N$1541,13,FALSE)/VLOOKUP(A389,'Forecast Z Scores'!$A$1:$N$1541,14,FALSE),"Not Enough Data")</f>
        <v>-1.7668461937868151E-2</v>
      </c>
      <c r="H389">
        <v>0.12411752647022722</v>
      </c>
    </row>
    <row r="390" spans="1:8" x14ac:dyDescent="0.35">
      <c r="A390" t="str">
        <f t="shared" si="6"/>
        <v>18097340102_2027</v>
      </c>
      <c r="B390">
        <v>18097340102</v>
      </c>
      <c r="C390">
        <v>2027</v>
      </c>
      <c r="E390">
        <f>-(IF(VLOOKUP(B390,'2023 Z Scores'!$A$1:$K$309,11,FALSE)&gt;2,VLOOKUP(B390,'2023 Z Scores'!$A$1:$K$309,10,FALSE)/VLOOKUP(B390,'2023 Z Scores'!$A$1:$K$309,11,FALSE),"Not Enough data"))</f>
        <v>0.27210321444031854</v>
      </c>
      <c r="F390">
        <f>IF(VLOOKUP(A390,'Delta Z Scores'!$A$1:$N$1541,14,FALSE)&gt;2,VLOOKUP(A390,'Delta Z Scores'!$A$1:$N$1541,13,FALSE)/VLOOKUP(A390,'Delta Z Scores'!$A$1:$N$1541,14,FALSE),"Not Enough Data")</f>
        <v>0.37501761432392361</v>
      </c>
      <c r="G390">
        <f>IF(VLOOKUP(A390,'Forecast Z Scores'!$A$1:$N$1541,14,FALSE)&gt;2,VLOOKUP(A390,'Forecast Z Scores'!$A$1:$N$1541,13,FALSE)/VLOOKUP(A390,'Forecast Z Scores'!$A$1:$N$1541,14,FALSE),"Not Enough Data")</f>
        <v>-6.0511179256744719E-3</v>
      </c>
      <c r="H390">
        <v>0.25402183129062283</v>
      </c>
    </row>
    <row r="391" spans="1:8" x14ac:dyDescent="0.35">
      <c r="A391" t="str">
        <f t="shared" si="6"/>
        <v>18097340102_2028</v>
      </c>
      <c r="B391">
        <v>18097340102</v>
      </c>
      <c r="C391">
        <v>2028</v>
      </c>
      <c r="E391">
        <f>-(IF(VLOOKUP(B391,'2023 Z Scores'!$A$1:$K$309,11,FALSE)&gt;2,VLOOKUP(B391,'2023 Z Scores'!$A$1:$K$309,10,FALSE)/VLOOKUP(B391,'2023 Z Scores'!$A$1:$K$309,11,FALSE),"Not Enough data"))</f>
        <v>0.27210321444031854</v>
      </c>
      <c r="F391">
        <f>IF(VLOOKUP(A391,'Delta Z Scores'!$A$1:$N$1541,14,FALSE)&gt;2,VLOOKUP(A391,'Delta Z Scores'!$A$1:$N$1541,13,FALSE)/VLOOKUP(A391,'Delta Z Scores'!$A$1:$N$1541,14,FALSE),"Not Enough Data")</f>
        <v>0.32050364875478221</v>
      </c>
      <c r="G391">
        <f>IF(VLOOKUP(A391,'Forecast Z Scores'!$A$1:$N$1541,14,FALSE)&gt;2,VLOOKUP(A391,'Forecast Z Scores'!$A$1:$N$1541,13,FALSE)/VLOOKUP(A391,'Forecast Z Scores'!$A$1:$N$1541,14,FALSE),"Not Enough Data")</f>
        <v>4.4925577167031453E-4</v>
      </c>
      <c r="H391">
        <v>0.22838994193038831</v>
      </c>
    </row>
    <row r="392" spans="1:8" x14ac:dyDescent="0.35">
      <c r="A392" t="str">
        <f t="shared" si="6"/>
        <v>18097340108_2024</v>
      </c>
      <c r="B392">
        <v>18097340108</v>
      </c>
      <c r="C392">
        <v>2024</v>
      </c>
      <c r="E392">
        <f>-(IF(VLOOKUP(B392,'2023 Z Scores'!$A$1:$K$309,11,FALSE)&gt;2,VLOOKUP(B392,'2023 Z Scores'!$A$1:$K$309,10,FALSE)/VLOOKUP(B392,'2023 Z Scores'!$A$1:$K$309,11,FALSE),"Not Enough data"))</f>
        <v>0.56638671377443628</v>
      </c>
      <c r="F392">
        <f>IF(VLOOKUP(A392,'Delta Z Scores'!$A$1:$N$1541,14,FALSE)&gt;2,VLOOKUP(A392,'Delta Z Scores'!$A$1:$N$1541,13,FALSE)/VLOOKUP(A392,'Delta Z Scores'!$A$1:$N$1541,14,FALSE),"Not Enough Data")</f>
        <v>0.39281503589057792</v>
      </c>
      <c r="G392">
        <f>IF(VLOOKUP(A392,'Forecast Z Scores'!$A$1:$N$1541,14,FALSE)&gt;2,VLOOKUP(A392,'Forecast Z Scores'!$A$1:$N$1541,13,FALSE)/VLOOKUP(A392,'Forecast Z Scores'!$A$1:$N$1541,14,FALSE),"Not Enough Data")</f>
        <v>-0.36256209922591376</v>
      </c>
      <c r="H392">
        <v>0.24736367158241959</v>
      </c>
    </row>
    <row r="393" spans="1:8" x14ac:dyDescent="0.35">
      <c r="A393" t="str">
        <f t="shared" si="6"/>
        <v>18097340108_2025</v>
      </c>
      <c r="B393">
        <v>18097340108</v>
      </c>
      <c r="C393">
        <v>2025</v>
      </c>
      <c r="E393">
        <f>-(IF(VLOOKUP(B393,'2023 Z Scores'!$A$1:$K$309,11,FALSE)&gt;2,VLOOKUP(B393,'2023 Z Scores'!$A$1:$K$309,10,FALSE)/VLOOKUP(B393,'2023 Z Scores'!$A$1:$K$309,11,FALSE),"Not Enough data"))</f>
        <v>0.56638671377443628</v>
      </c>
      <c r="F393">
        <f>IF(VLOOKUP(A393,'Delta Z Scores'!$A$1:$N$1541,14,FALSE)&gt;2,VLOOKUP(A393,'Delta Z Scores'!$A$1:$N$1541,13,FALSE)/VLOOKUP(A393,'Delta Z Scores'!$A$1:$N$1541,14,FALSE),"Not Enough Data")</f>
        <v>0.29440674354727914</v>
      </c>
      <c r="G393">
        <f>IF(VLOOKUP(A393,'Forecast Z Scores'!$A$1:$N$1541,14,FALSE)&gt;2,VLOOKUP(A393,'Forecast Z Scores'!$A$1:$N$1541,13,FALSE)/VLOOKUP(A393,'Forecast Z Scores'!$A$1:$N$1541,14,FALSE),"Not Enough Data")</f>
        <v>-0.35945376475371182</v>
      </c>
      <c r="H393">
        <v>0.19893660902882068</v>
      </c>
    </row>
    <row r="394" spans="1:8" x14ac:dyDescent="0.35">
      <c r="A394" t="str">
        <f t="shared" si="6"/>
        <v>18097340108_2026</v>
      </c>
      <c r="B394">
        <v>18097340108</v>
      </c>
      <c r="C394">
        <v>2026</v>
      </c>
      <c r="E394">
        <f>-(IF(VLOOKUP(B394,'2023 Z Scores'!$A$1:$K$309,11,FALSE)&gt;2,VLOOKUP(B394,'2023 Z Scores'!$A$1:$K$309,10,FALSE)/VLOOKUP(B394,'2023 Z Scores'!$A$1:$K$309,11,FALSE),"Not Enough data"))</f>
        <v>0.56638671377443628</v>
      </c>
      <c r="F394">
        <f>IF(VLOOKUP(A394,'Delta Z Scores'!$A$1:$N$1541,14,FALSE)&gt;2,VLOOKUP(A394,'Delta Z Scores'!$A$1:$N$1541,13,FALSE)/VLOOKUP(A394,'Delta Z Scores'!$A$1:$N$1541,14,FALSE),"Not Enough Data")</f>
        <v>2.5129870786766963E-2</v>
      </c>
      <c r="G394">
        <f>IF(VLOOKUP(A394,'Forecast Z Scores'!$A$1:$N$1541,14,FALSE)&gt;2,VLOOKUP(A394,'Forecast Z Scores'!$A$1:$N$1541,13,FALSE)/VLOOKUP(A394,'Forecast Z Scores'!$A$1:$N$1541,14,FALSE),"Not Enough Data")</f>
        <v>-0.35624788793217083</v>
      </c>
      <c r="H394">
        <v>6.5099641853949841E-2</v>
      </c>
    </row>
    <row r="395" spans="1:8" x14ac:dyDescent="0.35">
      <c r="A395" t="str">
        <f t="shared" si="6"/>
        <v>18097340108_2027</v>
      </c>
      <c r="B395">
        <v>18097340108</v>
      </c>
      <c r="C395">
        <v>2027</v>
      </c>
      <c r="E395">
        <f>-(IF(VLOOKUP(B395,'2023 Z Scores'!$A$1:$K$309,11,FALSE)&gt;2,VLOOKUP(B395,'2023 Z Scores'!$A$1:$K$309,10,FALSE)/VLOOKUP(B395,'2023 Z Scores'!$A$1:$K$309,11,FALSE),"Not Enough data"))</f>
        <v>0.56638671377443628</v>
      </c>
      <c r="F395">
        <f>IF(VLOOKUP(A395,'Delta Z Scores'!$A$1:$N$1541,14,FALSE)&gt;2,VLOOKUP(A395,'Delta Z Scores'!$A$1:$N$1541,13,FALSE)/VLOOKUP(A395,'Delta Z Scores'!$A$1:$N$1541,14,FALSE),"Not Enough Data")</f>
        <v>0.1841863971485207</v>
      </c>
      <c r="G395">
        <f>IF(VLOOKUP(A395,'Forecast Z Scores'!$A$1:$N$1541,14,FALSE)&gt;2,VLOOKUP(A395,'Forecast Z Scores'!$A$1:$N$1541,13,FALSE)/VLOOKUP(A395,'Forecast Z Scores'!$A$1:$N$1541,14,FALSE),"Not Enough Data")</f>
        <v>-0.3475589098017931</v>
      </c>
      <c r="H395">
        <v>0.14680014956742116</v>
      </c>
    </row>
    <row r="396" spans="1:8" x14ac:dyDescent="0.35">
      <c r="A396" t="str">
        <f t="shared" si="6"/>
        <v>18097340108_2028</v>
      </c>
      <c r="B396">
        <v>18097340108</v>
      </c>
      <c r="C396">
        <v>2028</v>
      </c>
      <c r="E396">
        <f>-(IF(VLOOKUP(B396,'2023 Z Scores'!$A$1:$K$309,11,FALSE)&gt;2,VLOOKUP(B396,'2023 Z Scores'!$A$1:$K$309,10,FALSE)/VLOOKUP(B396,'2023 Z Scores'!$A$1:$K$309,11,FALSE),"Not Enough data"))</f>
        <v>0.56638671377443628</v>
      </c>
      <c r="F396">
        <f>IF(VLOOKUP(A396,'Delta Z Scores'!$A$1:$N$1541,14,FALSE)&gt;2,VLOOKUP(A396,'Delta Z Scores'!$A$1:$N$1541,13,FALSE)/VLOOKUP(A396,'Delta Z Scores'!$A$1:$N$1541,14,FALSE),"Not Enough Data")</f>
        <v>1.3839363564238094E-2</v>
      </c>
      <c r="G396">
        <f>IF(VLOOKUP(A396,'Forecast Z Scores'!$A$1:$N$1541,14,FALSE)&gt;2,VLOOKUP(A396,'Forecast Z Scores'!$A$1:$N$1541,13,FALSE)/VLOOKUP(A396,'Forecast Z Scores'!$A$1:$N$1541,14,FALSE),"Not Enough Data")</f>
        <v>-0.32974813119303881</v>
      </c>
      <c r="H396">
        <v>6.6079327427468415E-2</v>
      </c>
    </row>
    <row r="397" spans="1:8" x14ac:dyDescent="0.35">
      <c r="A397" t="str">
        <f t="shared" si="6"/>
        <v>18097340111_2024</v>
      </c>
      <c r="B397">
        <v>18097340111</v>
      </c>
      <c r="C397">
        <v>2024</v>
      </c>
      <c r="E397">
        <f>-(IF(VLOOKUP(B397,'2023 Z Scores'!$A$1:$K$309,11,FALSE)&gt;2,VLOOKUP(B397,'2023 Z Scores'!$A$1:$K$309,10,FALSE)/VLOOKUP(B397,'2023 Z Scores'!$A$1:$K$309,11,FALSE),"Not Enough data"))</f>
        <v>-0.63037888863869906</v>
      </c>
      <c r="F397">
        <f>IF(VLOOKUP(A397,'Delta Z Scores'!$A$1:$N$1541,14,FALSE)&gt;2,VLOOKUP(A397,'Delta Z Scores'!$A$1:$N$1541,13,FALSE)/VLOOKUP(A397,'Delta Z Scores'!$A$1:$N$1541,14,FALSE),"Not Enough Data")</f>
        <v>-0.2509322450108587</v>
      </c>
      <c r="G397">
        <f>IF(VLOOKUP(A397,'Forecast Z Scores'!$A$1:$N$1541,14,FALSE)&gt;2,VLOOKUP(A397,'Forecast Z Scores'!$A$1:$N$1541,13,FALSE)/VLOOKUP(A397,'Forecast Z Scores'!$A$1:$N$1541,14,FALSE),"Not Enough Data")</f>
        <v>-7.1414323343554617E-2</v>
      </c>
      <c r="H397">
        <v>-0.30091442550099279</v>
      </c>
    </row>
    <row r="398" spans="1:8" x14ac:dyDescent="0.35">
      <c r="A398" t="str">
        <f t="shared" si="6"/>
        <v>18097340111_2025</v>
      </c>
      <c r="B398">
        <v>18097340111</v>
      </c>
      <c r="C398">
        <v>2025</v>
      </c>
      <c r="E398">
        <f>-(IF(VLOOKUP(B398,'2023 Z Scores'!$A$1:$K$309,11,FALSE)&gt;2,VLOOKUP(B398,'2023 Z Scores'!$A$1:$K$309,10,FALSE)/VLOOKUP(B398,'2023 Z Scores'!$A$1:$K$309,11,FALSE),"Not Enough data"))</f>
        <v>-0.63037888863869906</v>
      </c>
      <c r="F398">
        <f>IF(VLOOKUP(A398,'Delta Z Scores'!$A$1:$N$1541,14,FALSE)&gt;2,VLOOKUP(A398,'Delta Z Scores'!$A$1:$N$1541,13,FALSE)/VLOOKUP(A398,'Delta Z Scores'!$A$1:$N$1541,14,FALSE),"Not Enough Data")</f>
        <v>0.22468187032642131</v>
      </c>
      <c r="G398">
        <f>IF(VLOOKUP(A398,'Forecast Z Scores'!$A$1:$N$1541,14,FALSE)&gt;2,VLOOKUP(A398,'Forecast Z Scores'!$A$1:$N$1541,13,FALSE)/VLOOKUP(A398,'Forecast Z Scores'!$A$1:$N$1541,14,FALSE),"Not Enough Data")</f>
        <v>-4.7220117527499848E-2</v>
      </c>
      <c r="H398">
        <v>-5.7058816378339067E-2</v>
      </c>
    </row>
    <row r="399" spans="1:8" x14ac:dyDescent="0.35">
      <c r="A399" t="str">
        <f t="shared" si="6"/>
        <v>18097340111_2026</v>
      </c>
      <c r="B399">
        <v>18097340111</v>
      </c>
      <c r="C399">
        <v>2026</v>
      </c>
      <c r="E399">
        <f>-(IF(VLOOKUP(B399,'2023 Z Scores'!$A$1:$K$309,11,FALSE)&gt;2,VLOOKUP(B399,'2023 Z Scores'!$A$1:$K$309,10,FALSE)/VLOOKUP(B399,'2023 Z Scores'!$A$1:$K$309,11,FALSE),"Not Enough data"))</f>
        <v>-0.63037888863869906</v>
      </c>
      <c r="F399">
        <f>IF(VLOOKUP(A399,'Delta Z Scores'!$A$1:$N$1541,14,FALSE)&gt;2,VLOOKUP(A399,'Delta Z Scores'!$A$1:$N$1541,13,FALSE)/VLOOKUP(A399,'Delta Z Scores'!$A$1:$N$1541,14,FALSE),"Not Enough Data")</f>
        <v>5.4619146332136728E-2</v>
      </c>
      <c r="G399">
        <f>IF(VLOOKUP(A399,'Forecast Z Scores'!$A$1:$N$1541,14,FALSE)&gt;2,VLOOKUP(A399,'Forecast Z Scores'!$A$1:$N$1541,13,FALSE)/VLOOKUP(A399,'Forecast Z Scores'!$A$1:$N$1541,14,FALSE),"Not Enough Data")</f>
        <v>-4.3856016005466569E-2</v>
      </c>
      <c r="H399">
        <v>-0.14124915299497304</v>
      </c>
    </row>
    <row r="400" spans="1:8" x14ac:dyDescent="0.35">
      <c r="A400" t="str">
        <f t="shared" si="6"/>
        <v>18097340111_2027</v>
      </c>
      <c r="B400">
        <v>18097340111</v>
      </c>
      <c r="C400">
        <v>2027</v>
      </c>
      <c r="E400">
        <f>-(IF(VLOOKUP(B400,'2023 Z Scores'!$A$1:$K$309,11,FALSE)&gt;2,VLOOKUP(B400,'2023 Z Scores'!$A$1:$K$309,10,FALSE)/VLOOKUP(B400,'2023 Z Scores'!$A$1:$K$309,11,FALSE),"Not Enough data"))</f>
        <v>-0.63037888863869906</v>
      </c>
      <c r="F400">
        <f>IF(VLOOKUP(A400,'Delta Z Scores'!$A$1:$N$1541,14,FALSE)&gt;2,VLOOKUP(A400,'Delta Z Scores'!$A$1:$N$1541,13,FALSE)/VLOOKUP(A400,'Delta Z Scores'!$A$1:$N$1541,14,FALSE),"Not Enough Data")</f>
        <v>0.23325266383112414</v>
      </c>
      <c r="G400">
        <f>IF(VLOOKUP(A400,'Forecast Z Scores'!$A$1:$N$1541,14,FALSE)&gt;2,VLOOKUP(A400,'Forecast Z Scores'!$A$1:$N$1541,13,FALSE)/VLOOKUP(A400,'Forecast Z Scores'!$A$1:$N$1541,14,FALSE),"Not Enough Data")</f>
        <v>-3.2668386010487015E-2</v>
      </c>
      <c r="H400">
        <v>-4.9135486746734444E-2</v>
      </c>
    </row>
    <row r="401" spans="1:8" x14ac:dyDescent="0.35">
      <c r="A401" t="str">
        <f t="shared" si="6"/>
        <v>18097340111_2028</v>
      </c>
      <c r="B401">
        <v>18097340111</v>
      </c>
      <c r="C401">
        <v>2028</v>
      </c>
      <c r="E401">
        <f>-(IF(VLOOKUP(B401,'2023 Z Scores'!$A$1:$K$309,11,FALSE)&gt;2,VLOOKUP(B401,'2023 Z Scores'!$A$1:$K$309,10,FALSE)/VLOOKUP(B401,'2023 Z Scores'!$A$1:$K$309,11,FALSE),"Not Enough data"))</f>
        <v>-0.63037888863869906</v>
      </c>
      <c r="F401">
        <f>IF(VLOOKUP(A401,'Delta Z Scores'!$A$1:$N$1541,14,FALSE)&gt;2,VLOOKUP(A401,'Delta Z Scores'!$A$1:$N$1541,13,FALSE)/VLOOKUP(A401,'Delta Z Scores'!$A$1:$N$1541,14,FALSE),"Not Enough Data")</f>
        <v>0.22421298696208455</v>
      </c>
      <c r="G401">
        <f>IF(VLOOKUP(A401,'Forecast Z Scores'!$A$1:$N$1541,14,FALSE)&gt;2,VLOOKUP(A401,'Forecast Z Scores'!$A$1:$N$1541,13,FALSE)/VLOOKUP(A401,'Forecast Z Scores'!$A$1:$N$1541,14,FALSE),"Not Enough Data")</f>
        <v>-3.3541334341574087E-2</v>
      </c>
      <c r="H401">
        <v>-5.3873562264026009E-2</v>
      </c>
    </row>
    <row r="402" spans="1:8" x14ac:dyDescent="0.35">
      <c r="A402" t="str">
        <f t="shared" si="6"/>
        <v>18097340112_2024</v>
      </c>
      <c r="B402">
        <v>18097340112</v>
      </c>
      <c r="C402">
        <v>2024</v>
      </c>
      <c r="E402">
        <f>-(IF(VLOOKUP(B402,'2023 Z Scores'!$A$1:$K$309,11,FALSE)&gt;2,VLOOKUP(B402,'2023 Z Scores'!$A$1:$K$309,10,FALSE)/VLOOKUP(B402,'2023 Z Scores'!$A$1:$K$309,11,FALSE),"Not Enough data"))</f>
        <v>1.7209021256314342E-4</v>
      </c>
      <c r="F402">
        <f>IF(VLOOKUP(A402,'Delta Z Scores'!$A$1:$N$1541,14,FALSE)&gt;2,VLOOKUP(A402,'Delta Z Scores'!$A$1:$N$1541,13,FALSE)/VLOOKUP(A402,'Delta Z Scores'!$A$1:$N$1541,14,FALSE),"Not Enough Data")</f>
        <v>-0.10796664734797774</v>
      </c>
      <c r="G402">
        <f>IF(VLOOKUP(A402,'Forecast Z Scores'!$A$1:$N$1541,14,FALSE)&gt;2,VLOOKUP(A402,'Forecast Z Scores'!$A$1:$N$1541,13,FALSE)/VLOOKUP(A402,'Forecast Z Scores'!$A$1:$N$1541,14,FALSE),"Not Enough Data")</f>
        <v>-1.4540001353646553E-2</v>
      </c>
      <c r="H402">
        <v>-5.7575301459259723E-2</v>
      </c>
    </row>
    <row r="403" spans="1:8" x14ac:dyDescent="0.35">
      <c r="A403" t="str">
        <f t="shared" si="6"/>
        <v>18097340112_2025</v>
      </c>
      <c r="B403">
        <v>18097340112</v>
      </c>
      <c r="C403">
        <v>2025</v>
      </c>
      <c r="E403">
        <f>-(IF(VLOOKUP(B403,'2023 Z Scores'!$A$1:$K$309,11,FALSE)&gt;2,VLOOKUP(B403,'2023 Z Scores'!$A$1:$K$309,10,FALSE)/VLOOKUP(B403,'2023 Z Scores'!$A$1:$K$309,11,FALSE),"Not Enough data"))</f>
        <v>1.7209021256314342E-4</v>
      </c>
      <c r="F403">
        <f>IF(VLOOKUP(A403,'Delta Z Scores'!$A$1:$N$1541,14,FALSE)&gt;2,VLOOKUP(A403,'Delta Z Scores'!$A$1:$N$1541,13,FALSE)/VLOOKUP(A403,'Delta Z Scores'!$A$1:$N$1541,14,FALSE),"Not Enough Data")</f>
        <v>-2.2552501619543014E-4</v>
      </c>
      <c r="G403">
        <f>IF(VLOOKUP(A403,'Forecast Z Scores'!$A$1:$N$1541,14,FALSE)&gt;2,VLOOKUP(A403,'Forecast Z Scores'!$A$1:$N$1541,13,FALSE)/VLOOKUP(A403,'Forecast Z Scores'!$A$1:$N$1541,14,FALSE),"Not Enough Data")</f>
        <v>-1.2415847266965641E-2</v>
      </c>
      <c r="H403">
        <v>-3.1737017716983395E-3</v>
      </c>
    </row>
    <row r="404" spans="1:8" x14ac:dyDescent="0.35">
      <c r="A404" t="str">
        <f t="shared" si="6"/>
        <v>18097340112_2026</v>
      </c>
      <c r="B404">
        <v>18097340112</v>
      </c>
      <c r="C404">
        <v>2026</v>
      </c>
      <c r="E404">
        <f>-(IF(VLOOKUP(B404,'2023 Z Scores'!$A$1:$K$309,11,FALSE)&gt;2,VLOOKUP(B404,'2023 Z Scores'!$A$1:$K$309,10,FALSE)/VLOOKUP(B404,'2023 Z Scores'!$A$1:$K$309,11,FALSE),"Not Enough data"))</f>
        <v>1.7209021256314342E-4</v>
      </c>
      <c r="F404">
        <f>IF(VLOOKUP(A404,'Delta Z Scores'!$A$1:$N$1541,14,FALSE)&gt;2,VLOOKUP(A404,'Delta Z Scores'!$A$1:$N$1541,13,FALSE)/VLOOKUP(A404,'Delta Z Scores'!$A$1:$N$1541,14,FALSE),"Not Enough Data")</f>
        <v>-0.16589978629607144</v>
      </c>
      <c r="G404">
        <f>IF(VLOOKUP(A404,'Forecast Z Scores'!$A$1:$N$1541,14,FALSE)&gt;2,VLOOKUP(A404,'Forecast Z Scores'!$A$1:$N$1541,13,FALSE)/VLOOKUP(A404,'Forecast Z Scores'!$A$1:$N$1541,14,FALSE),"Not Enough Data")</f>
        <v>-3.2145829461563143E-2</v>
      </c>
      <c r="H404">
        <v>-9.0943327960285716E-2</v>
      </c>
    </row>
    <row r="405" spans="1:8" x14ac:dyDescent="0.35">
      <c r="A405" t="str">
        <f t="shared" si="6"/>
        <v>18097340112_2027</v>
      </c>
      <c r="B405">
        <v>18097340112</v>
      </c>
      <c r="C405">
        <v>2027</v>
      </c>
      <c r="E405">
        <f>-(IF(VLOOKUP(B405,'2023 Z Scores'!$A$1:$K$309,11,FALSE)&gt;2,VLOOKUP(B405,'2023 Z Scores'!$A$1:$K$309,10,FALSE)/VLOOKUP(B405,'2023 Z Scores'!$A$1:$K$309,11,FALSE),"Not Enough data"))</f>
        <v>1.7209021256314342E-4</v>
      </c>
      <c r="F405">
        <f>IF(VLOOKUP(A405,'Delta Z Scores'!$A$1:$N$1541,14,FALSE)&gt;2,VLOOKUP(A405,'Delta Z Scores'!$A$1:$N$1541,13,FALSE)/VLOOKUP(A405,'Delta Z Scores'!$A$1:$N$1541,14,FALSE),"Not Enough Data")</f>
        <v>-5.567837213498953E-2</v>
      </c>
      <c r="G405">
        <f>IF(VLOOKUP(A405,'Forecast Z Scores'!$A$1:$N$1541,14,FALSE)&gt;2,VLOOKUP(A405,'Forecast Z Scores'!$A$1:$N$1541,13,FALSE)/VLOOKUP(A405,'Forecast Z Scores'!$A$1:$N$1541,14,FALSE),"Not Enough Data")</f>
        <v>-4.5706314267943027E-2</v>
      </c>
      <c r="H405">
        <v>-3.9222742081339732E-2</v>
      </c>
    </row>
    <row r="406" spans="1:8" x14ac:dyDescent="0.35">
      <c r="A406" t="str">
        <f t="shared" si="6"/>
        <v>18097340112_2028</v>
      </c>
      <c r="B406">
        <v>18097340112</v>
      </c>
      <c r="C406">
        <v>2028</v>
      </c>
      <c r="E406">
        <f>-(IF(VLOOKUP(B406,'2023 Z Scores'!$A$1:$K$309,11,FALSE)&gt;2,VLOOKUP(B406,'2023 Z Scores'!$A$1:$K$309,10,FALSE)/VLOOKUP(B406,'2023 Z Scores'!$A$1:$K$309,11,FALSE),"Not Enough data"))</f>
        <v>1.7209021256314342E-4</v>
      </c>
      <c r="F406">
        <f>IF(VLOOKUP(A406,'Delta Z Scores'!$A$1:$N$1541,14,FALSE)&gt;2,VLOOKUP(A406,'Delta Z Scores'!$A$1:$N$1541,13,FALSE)/VLOOKUP(A406,'Delta Z Scores'!$A$1:$N$1541,14,FALSE),"Not Enough Data")</f>
        <v>-8.4582962218617913E-2</v>
      </c>
      <c r="G406">
        <f>IF(VLOOKUP(A406,'Forecast Z Scores'!$A$1:$N$1541,14,FALSE)&gt;2,VLOOKUP(A406,'Forecast Z Scores'!$A$1:$N$1541,13,FALSE)/VLOOKUP(A406,'Forecast Z Scores'!$A$1:$N$1541,14,FALSE),"Not Enough Data")</f>
        <v>-6.324699531986884E-2</v>
      </c>
      <c r="H406">
        <v>-5.8060207386135376E-2</v>
      </c>
    </row>
    <row r="407" spans="1:8" x14ac:dyDescent="0.35">
      <c r="A407" t="str">
        <f t="shared" si="6"/>
        <v>18097340113_2024</v>
      </c>
      <c r="B407">
        <v>18097340113</v>
      </c>
      <c r="C407">
        <v>2024</v>
      </c>
      <c r="E407">
        <f>-(IF(VLOOKUP(B407,'2023 Z Scores'!$A$1:$K$309,11,FALSE)&gt;2,VLOOKUP(B407,'2023 Z Scores'!$A$1:$K$309,10,FALSE)/VLOOKUP(B407,'2023 Z Scores'!$A$1:$K$309,11,FALSE),"Not Enough data"))</f>
        <v>-0.37653571110241796</v>
      </c>
      <c r="F407">
        <f>IF(VLOOKUP(A407,'Delta Z Scores'!$A$1:$N$1541,14,FALSE)&gt;2,VLOOKUP(A407,'Delta Z Scores'!$A$1:$N$1541,13,FALSE)/VLOOKUP(A407,'Delta Z Scores'!$A$1:$N$1541,14,FALSE),"Not Enough Data")</f>
        <v>-0.23549435597724569</v>
      </c>
      <c r="G407">
        <f>IF(VLOOKUP(A407,'Forecast Z Scores'!$A$1:$N$1541,14,FALSE)&gt;2,VLOOKUP(A407,'Forecast Z Scores'!$A$1:$N$1541,13,FALSE)/VLOOKUP(A407,'Forecast Z Scores'!$A$1:$N$1541,14,FALSE),"Not Enough Data")</f>
        <v>5.0482294573521651E-2</v>
      </c>
      <c r="H407">
        <v>-0.19926053212084693</v>
      </c>
    </row>
    <row r="408" spans="1:8" x14ac:dyDescent="0.35">
      <c r="A408" t="str">
        <f t="shared" si="6"/>
        <v>18097340113_2025</v>
      </c>
      <c r="B408">
        <v>18097340113</v>
      </c>
      <c r="C408">
        <v>2025</v>
      </c>
      <c r="E408">
        <f>-(IF(VLOOKUP(B408,'2023 Z Scores'!$A$1:$K$309,11,FALSE)&gt;2,VLOOKUP(B408,'2023 Z Scores'!$A$1:$K$309,10,FALSE)/VLOOKUP(B408,'2023 Z Scores'!$A$1:$K$309,11,FALSE),"Not Enough data"))</f>
        <v>-0.37653571110241796</v>
      </c>
      <c r="F408">
        <f>IF(VLOOKUP(A408,'Delta Z Scores'!$A$1:$N$1541,14,FALSE)&gt;2,VLOOKUP(A408,'Delta Z Scores'!$A$1:$N$1541,13,FALSE)/VLOOKUP(A408,'Delta Z Scores'!$A$1:$N$1541,14,FALSE),"Not Enough Data")</f>
        <v>-0.61187053861700247</v>
      </c>
      <c r="G408">
        <f>IF(VLOOKUP(A408,'Forecast Z Scores'!$A$1:$N$1541,14,FALSE)&gt;2,VLOOKUP(A408,'Forecast Z Scores'!$A$1:$N$1541,13,FALSE)/VLOOKUP(A408,'Forecast Z Scores'!$A$1:$N$1541,14,FALSE),"Not Enough Data")</f>
        <v>6.4868719219180549E-3</v>
      </c>
      <c r="H408">
        <v>-0.39844747910362621</v>
      </c>
    </row>
    <row r="409" spans="1:8" x14ac:dyDescent="0.35">
      <c r="A409" t="str">
        <f t="shared" si="6"/>
        <v>18097340113_2026</v>
      </c>
      <c r="B409">
        <v>18097340113</v>
      </c>
      <c r="C409">
        <v>2026</v>
      </c>
      <c r="E409">
        <f>-(IF(VLOOKUP(B409,'2023 Z Scores'!$A$1:$K$309,11,FALSE)&gt;2,VLOOKUP(B409,'2023 Z Scores'!$A$1:$K$309,10,FALSE)/VLOOKUP(B409,'2023 Z Scores'!$A$1:$K$309,11,FALSE),"Not Enough data"))</f>
        <v>-0.37653571110241796</v>
      </c>
      <c r="F409">
        <f>IF(VLOOKUP(A409,'Delta Z Scores'!$A$1:$N$1541,14,FALSE)&gt;2,VLOOKUP(A409,'Delta Z Scores'!$A$1:$N$1541,13,FALSE)/VLOOKUP(A409,'Delta Z Scores'!$A$1:$N$1541,14,FALSE),"Not Enough Data")</f>
        <v>-0.56156760272906203</v>
      </c>
      <c r="G409">
        <f>IF(VLOOKUP(A409,'Forecast Z Scores'!$A$1:$N$1541,14,FALSE)&gt;2,VLOOKUP(A409,'Forecast Z Scores'!$A$1:$N$1541,13,FALSE)/VLOOKUP(A409,'Forecast Z Scores'!$A$1:$N$1541,14,FALSE),"Not Enough Data")</f>
        <v>-3.5169327957742781E-2</v>
      </c>
      <c r="H409">
        <v>-0.38371006112957118</v>
      </c>
    </row>
    <row r="410" spans="1:8" x14ac:dyDescent="0.35">
      <c r="A410" t="str">
        <f t="shared" si="6"/>
        <v>18097340113_2027</v>
      </c>
      <c r="B410">
        <v>18097340113</v>
      </c>
      <c r="C410">
        <v>2027</v>
      </c>
      <c r="E410">
        <f>-(IF(VLOOKUP(B410,'2023 Z Scores'!$A$1:$K$309,11,FALSE)&gt;2,VLOOKUP(B410,'2023 Z Scores'!$A$1:$K$309,10,FALSE)/VLOOKUP(B410,'2023 Z Scores'!$A$1:$K$309,11,FALSE),"Not Enough data"))</f>
        <v>-0.37653571110241796</v>
      </c>
      <c r="F410">
        <f>IF(VLOOKUP(A410,'Delta Z Scores'!$A$1:$N$1541,14,FALSE)&gt;2,VLOOKUP(A410,'Delta Z Scores'!$A$1:$N$1541,13,FALSE)/VLOOKUP(A410,'Delta Z Scores'!$A$1:$N$1541,14,FALSE),"Not Enough Data")</f>
        <v>-0.76782065301440572</v>
      </c>
      <c r="G410">
        <f>IF(VLOOKUP(A410,'Forecast Z Scores'!$A$1:$N$1541,14,FALSE)&gt;2,VLOOKUP(A410,'Forecast Z Scores'!$A$1:$N$1541,13,FALSE)/VLOOKUP(A410,'Forecast Z Scores'!$A$1:$N$1541,14,FALSE),"Not Enough Data")</f>
        <v>-8.6652828833145873E-2</v>
      </c>
      <c r="H410">
        <v>-0.4997074614910938</v>
      </c>
    </row>
    <row r="411" spans="1:8" x14ac:dyDescent="0.35">
      <c r="A411" t="str">
        <f t="shared" si="6"/>
        <v>18097340113_2028</v>
      </c>
      <c r="B411">
        <v>18097340113</v>
      </c>
      <c r="C411">
        <v>2028</v>
      </c>
      <c r="E411">
        <f>-(IF(VLOOKUP(B411,'2023 Z Scores'!$A$1:$K$309,11,FALSE)&gt;2,VLOOKUP(B411,'2023 Z Scores'!$A$1:$K$309,10,FALSE)/VLOOKUP(B411,'2023 Z Scores'!$A$1:$K$309,11,FALSE),"Not Enough data"))</f>
        <v>-0.37653571110241796</v>
      </c>
      <c r="F411">
        <f>IF(VLOOKUP(A411,'Delta Z Scores'!$A$1:$N$1541,14,FALSE)&gt;2,VLOOKUP(A411,'Delta Z Scores'!$A$1:$N$1541,13,FALSE)/VLOOKUP(A411,'Delta Z Scores'!$A$1:$N$1541,14,FALSE),"Not Enough Data")</f>
        <v>-0.78613818345912012</v>
      </c>
      <c r="G411">
        <f>IF(VLOOKUP(A411,'Forecast Z Scores'!$A$1:$N$1541,14,FALSE)&gt;2,VLOOKUP(A411,'Forecast Z Scores'!$A$1:$N$1541,13,FALSE)/VLOOKUP(A411,'Forecast Z Scores'!$A$1:$N$1541,14,FALSE),"Not Enough Data")</f>
        <v>-0.13209653302420393</v>
      </c>
      <c r="H411">
        <v>-0.52022715276121556</v>
      </c>
    </row>
    <row r="412" spans="1:8" x14ac:dyDescent="0.35">
      <c r="A412" t="str">
        <f t="shared" si="6"/>
        <v>18097340114_2024</v>
      </c>
      <c r="B412">
        <v>18097340114</v>
      </c>
      <c r="C412">
        <v>2024</v>
      </c>
      <c r="E412">
        <f>-(IF(VLOOKUP(B412,'2023 Z Scores'!$A$1:$K$309,11,FALSE)&gt;2,VLOOKUP(B412,'2023 Z Scores'!$A$1:$K$309,10,FALSE)/VLOOKUP(B412,'2023 Z Scores'!$A$1:$K$309,11,FALSE),"Not Enough data"))</f>
        <v>-0.51383235820857387</v>
      </c>
      <c r="F412">
        <f>IF(VLOOKUP(A412,'Delta Z Scores'!$A$1:$N$1541,14,FALSE)&gt;2,VLOOKUP(A412,'Delta Z Scores'!$A$1:$N$1541,13,FALSE)/VLOOKUP(A412,'Delta Z Scores'!$A$1:$N$1541,14,FALSE),"Not Enough Data")</f>
        <v>-0.10252367649277276</v>
      </c>
      <c r="G412">
        <f>IF(VLOOKUP(A412,'Forecast Z Scores'!$A$1:$N$1541,14,FALSE)&gt;2,VLOOKUP(A412,'Forecast Z Scores'!$A$1:$N$1541,13,FALSE)/VLOOKUP(A412,'Forecast Z Scores'!$A$1:$N$1541,14,FALSE),"Not Enough Data")</f>
        <v>0.24544457462288086</v>
      </c>
      <c r="H412">
        <v>-0.11835878414280963</v>
      </c>
    </row>
    <row r="413" spans="1:8" x14ac:dyDescent="0.35">
      <c r="A413" t="str">
        <f t="shared" si="6"/>
        <v>18097340114_2025</v>
      </c>
      <c r="B413">
        <v>18097340114</v>
      </c>
      <c r="C413">
        <v>2025</v>
      </c>
      <c r="E413">
        <f>-(IF(VLOOKUP(B413,'2023 Z Scores'!$A$1:$K$309,11,FALSE)&gt;2,VLOOKUP(B413,'2023 Z Scores'!$A$1:$K$309,10,FALSE)/VLOOKUP(B413,'2023 Z Scores'!$A$1:$K$309,11,FALSE),"Not Enough data"))</f>
        <v>-0.51383235820857387</v>
      </c>
      <c r="F413">
        <f>IF(VLOOKUP(A413,'Delta Z Scores'!$A$1:$N$1541,14,FALSE)&gt;2,VLOOKUP(A413,'Delta Z Scores'!$A$1:$N$1541,13,FALSE)/VLOOKUP(A413,'Delta Z Scores'!$A$1:$N$1541,14,FALSE),"Not Enough Data")</f>
        <v>-0.23951350001086058</v>
      </c>
      <c r="G413">
        <f>IF(VLOOKUP(A413,'Forecast Z Scores'!$A$1:$N$1541,14,FALSE)&gt;2,VLOOKUP(A413,'Forecast Z Scores'!$A$1:$N$1541,13,FALSE)/VLOOKUP(A413,'Forecast Z Scores'!$A$1:$N$1541,14,FALSE),"Not Enough Data")</f>
        <v>0.20346405069368936</v>
      </c>
      <c r="H413">
        <v>-0.19734882688415142</v>
      </c>
    </row>
    <row r="414" spans="1:8" x14ac:dyDescent="0.35">
      <c r="A414" t="str">
        <f t="shared" si="6"/>
        <v>18097340114_2026</v>
      </c>
      <c r="B414">
        <v>18097340114</v>
      </c>
      <c r="C414">
        <v>2026</v>
      </c>
      <c r="E414">
        <f>-(IF(VLOOKUP(B414,'2023 Z Scores'!$A$1:$K$309,11,FALSE)&gt;2,VLOOKUP(B414,'2023 Z Scores'!$A$1:$K$309,10,FALSE)/VLOOKUP(B414,'2023 Z Scores'!$A$1:$K$309,11,FALSE),"Not Enough data"))</f>
        <v>-0.51383235820857387</v>
      </c>
      <c r="F414">
        <f>IF(VLOOKUP(A414,'Delta Z Scores'!$A$1:$N$1541,14,FALSE)&gt;2,VLOOKUP(A414,'Delta Z Scores'!$A$1:$N$1541,13,FALSE)/VLOOKUP(A414,'Delta Z Scores'!$A$1:$N$1541,14,FALSE),"Not Enough Data")</f>
        <v>0.19446194637785733</v>
      </c>
      <c r="G414">
        <f>IF(VLOOKUP(A414,'Forecast Z Scores'!$A$1:$N$1541,14,FALSE)&gt;2,VLOOKUP(A414,'Forecast Z Scores'!$A$1:$N$1541,13,FALSE)/VLOOKUP(A414,'Forecast Z Scores'!$A$1:$N$1541,14,FALSE),"Not Enough Data")</f>
        <v>0.20755255264372549</v>
      </c>
      <c r="H414">
        <v>2.0661021797716561E-2</v>
      </c>
    </row>
    <row r="415" spans="1:8" x14ac:dyDescent="0.35">
      <c r="A415" t="str">
        <f t="shared" si="6"/>
        <v>18097340114_2027</v>
      </c>
      <c r="B415">
        <v>18097340114</v>
      </c>
      <c r="C415">
        <v>2027</v>
      </c>
      <c r="E415">
        <f>-(IF(VLOOKUP(B415,'2023 Z Scores'!$A$1:$K$309,11,FALSE)&gt;2,VLOOKUP(B415,'2023 Z Scores'!$A$1:$K$309,10,FALSE)/VLOOKUP(B415,'2023 Z Scores'!$A$1:$K$309,11,FALSE),"Not Enough data"))</f>
        <v>-0.51383235820857387</v>
      </c>
      <c r="F415">
        <f>IF(VLOOKUP(A415,'Delta Z Scores'!$A$1:$N$1541,14,FALSE)&gt;2,VLOOKUP(A415,'Delta Z Scores'!$A$1:$N$1541,13,FALSE)/VLOOKUP(A415,'Delta Z Scores'!$A$1:$N$1541,14,FALSE),"Not Enough Data")</f>
        <v>-0.1271467130805746</v>
      </c>
      <c r="G415">
        <f>IF(VLOOKUP(A415,'Forecast Z Scores'!$A$1:$N$1541,14,FALSE)&gt;2,VLOOKUP(A415,'Forecast Z Scores'!$A$1:$N$1541,13,FALSE)/VLOOKUP(A415,'Forecast Z Scores'!$A$1:$N$1541,14,FALSE),"Not Enough Data")</f>
        <v>0.16561876514726806</v>
      </c>
      <c r="H415">
        <v>-0.15062675480561374</v>
      </c>
    </row>
    <row r="416" spans="1:8" x14ac:dyDescent="0.35">
      <c r="A416" t="str">
        <f t="shared" si="6"/>
        <v>18097340114_2028</v>
      </c>
      <c r="B416">
        <v>18097340114</v>
      </c>
      <c r="C416">
        <v>2028</v>
      </c>
      <c r="E416">
        <f>-(IF(VLOOKUP(B416,'2023 Z Scores'!$A$1:$K$309,11,FALSE)&gt;2,VLOOKUP(B416,'2023 Z Scores'!$A$1:$K$309,10,FALSE)/VLOOKUP(B416,'2023 Z Scores'!$A$1:$K$309,11,FALSE),"Not Enough data"))</f>
        <v>-0.51383235820857387</v>
      </c>
      <c r="F416">
        <f>IF(VLOOKUP(A416,'Delta Z Scores'!$A$1:$N$1541,14,FALSE)&gt;2,VLOOKUP(A416,'Delta Z Scores'!$A$1:$N$1541,13,FALSE)/VLOOKUP(A416,'Delta Z Scores'!$A$1:$N$1541,14,FALSE),"Not Enough Data")</f>
        <v>0.25896252145819965</v>
      </c>
      <c r="G416">
        <f>IF(VLOOKUP(A416,'Forecast Z Scores'!$A$1:$N$1541,14,FALSE)&gt;2,VLOOKUP(A416,'Forecast Z Scores'!$A$1:$N$1541,13,FALSE)/VLOOKUP(A416,'Forecast Z Scores'!$A$1:$N$1541,14,FALSE),"Not Enough Data")</f>
        <v>0.15393312667841672</v>
      </c>
      <c r="H416">
        <v>3.9506452846560541E-2</v>
      </c>
    </row>
    <row r="417" spans="1:8" x14ac:dyDescent="0.35">
      <c r="A417" t="str">
        <f t="shared" si="6"/>
        <v>18097340115_2024</v>
      </c>
      <c r="B417">
        <v>18097340115</v>
      </c>
      <c r="C417">
        <v>2024</v>
      </c>
      <c r="E417">
        <f>-(IF(VLOOKUP(B417,'2023 Z Scores'!$A$1:$K$309,11,FALSE)&gt;2,VLOOKUP(B417,'2023 Z Scores'!$A$1:$K$309,10,FALSE)/VLOOKUP(B417,'2023 Z Scores'!$A$1:$K$309,11,FALSE),"Not Enough data"))</f>
        <v>0.16595839678982469</v>
      </c>
      <c r="F417">
        <f>IF(VLOOKUP(A417,'Delta Z Scores'!$A$1:$N$1541,14,FALSE)&gt;2,VLOOKUP(A417,'Delta Z Scores'!$A$1:$N$1541,13,FALSE)/VLOOKUP(A417,'Delta Z Scores'!$A$1:$N$1541,14,FALSE),"Not Enough Data")</f>
        <v>0.52077654036306031</v>
      </c>
      <c r="G417">
        <f>IF(VLOOKUP(A417,'Forecast Z Scores'!$A$1:$N$1541,14,FALSE)&gt;2,VLOOKUP(A417,'Forecast Z Scores'!$A$1:$N$1541,13,FALSE)/VLOOKUP(A417,'Forecast Z Scores'!$A$1:$N$1541,14,FALSE),"Not Enough Data")</f>
        <v>-4.3322304524146621E-2</v>
      </c>
      <c r="H417">
        <v>0.29104729324794965</v>
      </c>
    </row>
    <row r="418" spans="1:8" x14ac:dyDescent="0.35">
      <c r="A418" t="str">
        <f t="shared" si="6"/>
        <v>18097340115_2025</v>
      </c>
      <c r="B418">
        <v>18097340115</v>
      </c>
      <c r="C418">
        <v>2025</v>
      </c>
      <c r="E418">
        <f>-(IF(VLOOKUP(B418,'2023 Z Scores'!$A$1:$K$309,11,FALSE)&gt;2,VLOOKUP(B418,'2023 Z Scores'!$A$1:$K$309,10,FALSE)/VLOOKUP(B418,'2023 Z Scores'!$A$1:$K$309,11,FALSE),"Not Enough data"))</f>
        <v>0.16595839678982469</v>
      </c>
      <c r="F418">
        <f>IF(VLOOKUP(A418,'Delta Z Scores'!$A$1:$N$1541,14,FALSE)&gt;2,VLOOKUP(A418,'Delta Z Scores'!$A$1:$N$1541,13,FALSE)/VLOOKUP(A418,'Delta Z Scores'!$A$1:$N$1541,14,FALSE),"Not Enough Data")</f>
        <v>0.62931885666745779</v>
      </c>
      <c r="G418">
        <f>IF(VLOOKUP(A418,'Forecast Z Scores'!$A$1:$N$1541,14,FALSE)&gt;2,VLOOKUP(A418,'Forecast Z Scores'!$A$1:$N$1541,13,FALSE)/VLOOKUP(A418,'Forecast Z Scores'!$A$1:$N$1541,14,FALSE),"Not Enough Data")</f>
        <v>1.9629505164548373E-2</v>
      </c>
      <c r="H418">
        <v>0.36105640382232213</v>
      </c>
    </row>
    <row r="419" spans="1:8" x14ac:dyDescent="0.35">
      <c r="A419" t="str">
        <f t="shared" si="6"/>
        <v>18097340115_2026</v>
      </c>
      <c r="B419">
        <v>18097340115</v>
      </c>
      <c r="C419">
        <v>2026</v>
      </c>
      <c r="E419">
        <f>-(IF(VLOOKUP(B419,'2023 Z Scores'!$A$1:$K$309,11,FALSE)&gt;2,VLOOKUP(B419,'2023 Z Scores'!$A$1:$K$309,10,FALSE)/VLOOKUP(B419,'2023 Z Scores'!$A$1:$K$309,11,FALSE),"Not Enough data"))</f>
        <v>0.16595839678982469</v>
      </c>
      <c r="F419">
        <f>IF(VLOOKUP(A419,'Delta Z Scores'!$A$1:$N$1541,14,FALSE)&gt;2,VLOOKUP(A419,'Delta Z Scores'!$A$1:$N$1541,13,FALSE)/VLOOKUP(A419,'Delta Z Scores'!$A$1:$N$1541,14,FALSE),"Not Enough Data")</f>
        <v>0.31984211836379178</v>
      </c>
      <c r="G419">
        <f>IF(VLOOKUP(A419,'Forecast Z Scores'!$A$1:$N$1541,14,FALSE)&gt;2,VLOOKUP(A419,'Forecast Z Scores'!$A$1:$N$1541,13,FALSE)/VLOOKUP(A419,'Forecast Z Scores'!$A$1:$N$1541,14,FALSE),"Not Enough Data")</f>
        <v>3.0866980737814499E-2</v>
      </c>
      <c r="H419">
        <v>0.20912740356380569</v>
      </c>
    </row>
    <row r="420" spans="1:8" x14ac:dyDescent="0.35">
      <c r="A420" t="str">
        <f t="shared" si="6"/>
        <v>18097340115_2027</v>
      </c>
      <c r="B420">
        <v>18097340115</v>
      </c>
      <c r="C420">
        <v>2027</v>
      </c>
      <c r="E420">
        <f>-(IF(VLOOKUP(B420,'2023 Z Scores'!$A$1:$K$309,11,FALSE)&gt;2,VLOOKUP(B420,'2023 Z Scores'!$A$1:$K$309,10,FALSE)/VLOOKUP(B420,'2023 Z Scores'!$A$1:$K$309,11,FALSE),"Not Enough data"))</f>
        <v>0.16595839678982469</v>
      </c>
      <c r="F420">
        <f>IF(VLOOKUP(A420,'Delta Z Scores'!$A$1:$N$1541,14,FALSE)&gt;2,VLOOKUP(A420,'Delta Z Scores'!$A$1:$N$1541,13,FALSE)/VLOOKUP(A420,'Delta Z Scores'!$A$1:$N$1541,14,FALSE),"Not Enough Data")</f>
        <v>0.49586690079839163</v>
      </c>
      <c r="G420">
        <f>IF(VLOOKUP(A420,'Forecast Z Scores'!$A$1:$N$1541,14,FALSE)&gt;2,VLOOKUP(A420,'Forecast Z Scores'!$A$1:$N$1541,13,FALSE)/VLOOKUP(A420,'Forecast Z Scores'!$A$1:$N$1541,14,FALSE),"Not Enough Data")</f>
        <v>7.2413658450494009E-2</v>
      </c>
      <c r="H420">
        <v>0.30752646420927549</v>
      </c>
    </row>
    <row r="421" spans="1:8" x14ac:dyDescent="0.35">
      <c r="A421" t="str">
        <f t="shared" si="6"/>
        <v>18097340115_2028</v>
      </c>
      <c r="B421">
        <v>18097340115</v>
      </c>
      <c r="C421">
        <v>2028</v>
      </c>
      <c r="E421">
        <f>-(IF(VLOOKUP(B421,'2023 Z Scores'!$A$1:$K$309,11,FALSE)&gt;2,VLOOKUP(B421,'2023 Z Scores'!$A$1:$K$309,10,FALSE)/VLOOKUP(B421,'2023 Z Scores'!$A$1:$K$309,11,FALSE),"Not Enough data"))</f>
        <v>0.16595839678982469</v>
      </c>
      <c r="F421">
        <f>IF(VLOOKUP(A421,'Delta Z Scores'!$A$1:$N$1541,14,FALSE)&gt;2,VLOOKUP(A421,'Delta Z Scores'!$A$1:$N$1541,13,FALSE)/VLOOKUP(A421,'Delta Z Scores'!$A$1:$N$1541,14,FALSE),"Not Enough Data")</f>
        <v>0.26359121499774357</v>
      </c>
      <c r="G421">
        <f>IF(VLOOKUP(A421,'Forecast Z Scores'!$A$1:$N$1541,14,FALSE)&gt;2,VLOOKUP(A421,'Forecast Z Scores'!$A$1:$N$1541,13,FALSE)/VLOOKUP(A421,'Forecast Z Scores'!$A$1:$N$1541,14,FALSE),"Not Enough Data")</f>
        <v>9.447502710032793E-2</v>
      </c>
      <c r="H421">
        <v>0.19690396347140995</v>
      </c>
    </row>
    <row r="422" spans="1:8" x14ac:dyDescent="0.35">
      <c r="A422" t="str">
        <f t="shared" si="6"/>
        <v>18097340201_2024</v>
      </c>
      <c r="B422">
        <v>18097340201</v>
      </c>
      <c r="C422">
        <v>2024</v>
      </c>
      <c r="E422">
        <f>-(IF(VLOOKUP(B422,'2023 Z Scores'!$A$1:$K$309,11,FALSE)&gt;2,VLOOKUP(B422,'2023 Z Scores'!$A$1:$K$309,10,FALSE)/VLOOKUP(B422,'2023 Z Scores'!$A$1:$K$309,11,FALSE),"Not Enough data"))</f>
        <v>0.44823223279098273</v>
      </c>
      <c r="F422">
        <f>IF(VLOOKUP(A422,'Delta Z Scores'!$A$1:$N$1541,14,FALSE)&gt;2,VLOOKUP(A422,'Delta Z Scores'!$A$1:$N$1541,13,FALSE)/VLOOKUP(A422,'Delta Z Scores'!$A$1:$N$1541,14,FALSE),"Not Enough Data")</f>
        <v>-0.68880231214012366</v>
      </c>
      <c r="G422">
        <f>IF(VLOOKUP(A422,'Forecast Z Scores'!$A$1:$N$1541,14,FALSE)&gt;2,VLOOKUP(A422,'Forecast Z Scores'!$A$1:$N$1541,13,FALSE)/VLOOKUP(A422,'Forecast Z Scores'!$A$1:$N$1541,14,FALSE),"Not Enough Data")</f>
        <v>-0.61470204033543496</v>
      </c>
      <c r="H422">
        <v>-0.38601860795617488</v>
      </c>
    </row>
    <row r="423" spans="1:8" x14ac:dyDescent="0.35">
      <c r="A423" t="str">
        <f t="shared" si="6"/>
        <v>18097340201_2025</v>
      </c>
      <c r="B423">
        <v>18097340201</v>
      </c>
      <c r="C423">
        <v>2025</v>
      </c>
      <c r="E423">
        <f>-(IF(VLOOKUP(B423,'2023 Z Scores'!$A$1:$K$309,11,FALSE)&gt;2,VLOOKUP(B423,'2023 Z Scores'!$A$1:$K$309,10,FALSE)/VLOOKUP(B423,'2023 Z Scores'!$A$1:$K$309,11,FALSE),"Not Enough data"))</f>
        <v>0.44823223279098273</v>
      </c>
      <c r="F423">
        <f>IF(VLOOKUP(A423,'Delta Z Scores'!$A$1:$N$1541,14,FALSE)&gt;2,VLOOKUP(A423,'Delta Z Scores'!$A$1:$N$1541,13,FALSE)/VLOOKUP(A423,'Delta Z Scores'!$A$1:$N$1541,14,FALSE),"Not Enough Data")</f>
        <v>-0.36765525205683386</v>
      </c>
      <c r="G423">
        <f>IF(VLOOKUP(A423,'Forecast Z Scores'!$A$1:$N$1541,14,FALSE)&gt;2,VLOOKUP(A423,'Forecast Z Scores'!$A$1:$N$1541,13,FALSE)/VLOOKUP(A423,'Forecast Z Scores'!$A$1:$N$1541,14,FALSE),"Not Enough Data")</f>
        <v>-0.62024959805859747</v>
      </c>
      <c r="H423">
        <v>-0.22683196734532063</v>
      </c>
    </row>
    <row r="424" spans="1:8" x14ac:dyDescent="0.35">
      <c r="A424" t="str">
        <f t="shared" si="6"/>
        <v>18097340201_2026</v>
      </c>
      <c r="B424">
        <v>18097340201</v>
      </c>
      <c r="C424">
        <v>2026</v>
      </c>
      <c r="E424">
        <f>-(IF(VLOOKUP(B424,'2023 Z Scores'!$A$1:$K$309,11,FALSE)&gt;2,VLOOKUP(B424,'2023 Z Scores'!$A$1:$K$309,10,FALSE)/VLOOKUP(B424,'2023 Z Scores'!$A$1:$K$309,11,FALSE),"Not Enough data"))</f>
        <v>0.44823223279098273</v>
      </c>
      <c r="F424">
        <f>IF(VLOOKUP(A424,'Delta Z Scores'!$A$1:$N$1541,14,FALSE)&gt;2,VLOOKUP(A424,'Delta Z Scores'!$A$1:$N$1541,13,FALSE)/VLOOKUP(A424,'Delta Z Scores'!$A$1:$N$1541,14,FALSE),"Not Enough Data")</f>
        <v>-0.54319341026986501</v>
      </c>
      <c r="G424">
        <f>IF(VLOOKUP(A424,'Forecast Z Scores'!$A$1:$N$1541,14,FALSE)&gt;2,VLOOKUP(A424,'Forecast Z Scores'!$A$1:$N$1541,13,FALSE)/VLOOKUP(A424,'Forecast Z Scores'!$A$1:$N$1541,14,FALSE),"Not Enough Data")</f>
        <v>-0.62124037482701155</v>
      </c>
      <c r="H424">
        <v>-0.3148487406439397</v>
      </c>
    </row>
    <row r="425" spans="1:8" x14ac:dyDescent="0.35">
      <c r="A425" t="str">
        <f t="shared" si="6"/>
        <v>18097340201_2027</v>
      </c>
      <c r="B425">
        <v>18097340201</v>
      </c>
      <c r="C425">
        <v>2027</v>
      </c>
      <c r="E425">
        <f>-(IF(VLOOKUP(B425,'2023 Z Scores'!$A$1:$K$309,11,FALSE)&gt;2,VLOOKUP(B425,'2023 Z Scores'!$A$1:$K$309,10,FALSE)/VLOOKUP(B425,'2023 Z Scores'!$A$1:$K$309,11,FALSE),"Not Enough data"))</f>
        <v>0.44823223279098273</v>
      </c>
      <c r="F425">
        <f>IF(VLOOKUP(A425,'Delta Z Scores'!$A$1:$N$1541,14,FALSE)&gt;2,VLOOKUP(A425,'Delta Z Scores'!$A$1:$N$1541,13,FALSE)/VLOOKUP(A425,'Delta Z Scores'!$A$1:$N$1541,14,FALSE),"Not Enough Data")</f>
        <v>-0.42242149427655812</v>
      </c>
      <c r="G425">
        <f>IF(VLOOKUP(A425,'Forecast Z Scores'!$A$1:$N$1541,14,FALSE)&gt;2,VLOOKUP(A425,'Forecast Z Scores'!$A$1:$N$1541,13,FALSE)/VLOOKUP(A425,'Forecast Z Scores'!$A$1:$N$1541,14,FALSE),"Not Enough Data")</f>
        <v>-0.61808924974124912</v>
      </c>
      <c r="H425">
        <v>-0.2536750013758457</v>
      </c>
    </row>
    <row r="426" spans="1:8" x14ac:dyDescent="0.35">
      <c r="A426" t="str">
        <f t="shared" si="6"/>
        <v>18097340201_2028</v>
      </c>
      <c r="B426">
        <v>18097340201</v>
      </c>
      <c r="C426">
        <v>2028</v>
      </c>
      <c r="E426">
        <f>-(IF(VLOOKUP(B426,'2023 Z Scores'!$A$1:$K$309,11,FALSE)&gt;2,VLOOKUP(B426,'2023 Z Scores'!$A$1:$K$309,10,FALSE)/VLOOKUP(B426,'2023 Z Scores'!$A$1:$K$309,11,FALSE),"Not Enough data"))</f>
        <v>0.44823223279098273</v>
      </c>
      <c r="F426">
        <f>IF(VLOOKUP(A426,'Delta Z Scores'!$A$1:$N$1541,14,FALSE)&gt;2,VLOOKUP(A426,'Delta Z Scores'!$A$1:$N$1541,13,FALSE)/VLOOKUP(A426,'Delta Z Scores'!$A$1:$N$1541,14,FALSE),"Not Enough Data")</f>
        <v>-0.489410253113372</v>
      </c>
      <c r="G426">
        <f>IF(VLOOKUP(A426,'Forecast Z Scores'!$A$1:$N$1541,14,FALSE)&gt;2,VLOOKUP(A426,'Forecast Z Scores'!$A$1:$N$1541,13,FALSE)/VLOOKUP(A426,'Forecast Z Scores'!$A$1:$N$1541,14,FALSE),"Not Enough Data")</f>
        <v>-0.61187487903019322</v>
      </c>
      <c r="H426">
        <v>-0.28561578811648863</v>
      </c>
    </row>
    <row r="427" spans="1:8" x14ac:dyDescent="0.35">
      <c r="A427" t="str">
        <f t="shared" si="6"/>
        <v>18097340202_2024</v>
      </c>
      <c r="B427">
        <v>18097340202</v>
      </c>
      <c r="C427">
        <v>2024</v>
      </c>
      <c r="E427">
        <f>-(IF(VLOOKUP(B427,'2023 Z Scores'!$A$1:$K$309,11,FALSE)&gt;2,VLOOKUP(B427,'2023 Z Scores'!$A$1:$K$309,10,FALSE)/VLOOKUP(B427,'2023 Z Scores'!$A$1:$K$309,11,FALSE),"Not Enough data"))</f>
        <v>0.33962432859098091</v>
      </c>
      <c r="F427">
        <f>IF(VLOOKUP(A427,'Delta Z Scores'!$A$1:$N$1541,14,FALSE)&gt;2,VLOOKUP(A427,'Delta Z Scores'!$A$1:$N$1541,13,FALSE)/VLOOKUP(A427,'Delta Z Scores'!$A$1:$N$1541,14,FALSE),"Not Enough Data")</f>
        <v>0.10143082521536816</v>
      </c>
      <c r="G427">
        <f>IF(VLOOKUP(A427,'Forecast Z Scores'!$A$1:$N$1541,14,FALSE)&gt;2,VLOOKUP(A427,'Forecast Z Scores'!$A$1:$N$1541,13,FALSE)/VLOOKUP(A427,'Forecast Z Scores'!$A$1:$N$1541,14,FALSE),"Not Enough Data")</f>
        <v>-0.24729158652578159</v>
      </c>
      <c r="H427">
        <v>7.37985981239839E-2</v>
      </c>
    </row>
    <row r="428" spans="1:8" x14ac:dyDescent="0.35">
      <c r="A428" t="str">
        <f t="shared" si="6"/>
        <v>18097340202_2025</v>
      </c>
      <c r="B428">
        <v>18097340202</v>
      </c>
      <c r="C428">
        <v>2025</v>
      </c>
      <c r="E428">
        <f>-(IF(VLOOKUP(B428,'2023 Z Scores'!$A$1:$K$309,11,FALSE)&gt;2,VLOOKUP(B428,'2023 Z Scores'!$A$1:$K$309,10,FALSE)/VLOOKUP(B428,'2023 Z Scores'!$A$1:$K$309,11,FALSE),"Not Enough data"))</f>
        <v>0.33962432859098091</v>
      </c>
      <c r="F428">
        <f>IF(VLOOKUP(A428,'Delta Z Scores'!$A$1:$N$1541,14,FALSE)&gt;2,VLOOKUP(A428,'Delta Z Scores'!$A$1:$N$1541,13,FALSE)/VLOOKUP(A428,'Delta Z Scores'!$A$1:$N$1541,14,FALSE),"Not Enough Data")</f>
        <v>0.3165335705531388</v>
      </c>
      <c r="G428">
        <f>IF(VLOOKUP(A428,'Forecast Z Scores'!$A$1:$N$1541,14,FALSE)&gt;2,VLOOKUP(A428,'Forecast Z Scores'!$A$1:$N$1541,13,FALSE)/VLOOKUP(A428,'Forecast Z Scores'!$A$1:$N$1541,14,FALSE),"Not Enough Data")</f>
        <v>-0.23081506086827625</v>
      </c>
      <c r="H428">
        <v>0.18546910220724555</v>
      </c>
    </row>
    <row r="429" spans="1:8" x14ac:dyDescent="0.35">
      <c r="A429" t="str">
        <f t="shared" si="6"/>
        <v>18097340202_2026</v>
      </c>
      <c r="B429">
        <v>18097340202</v>
      </c>
      <c r="C429">
        <v>2026</v>
      </c>
      <c r="E429">
        <f>-(IF(VLOOKUP(B429,'2023 Z Scores'!$A$1:$K$309,11,FALSE)&gt;2,VLOOKUP(B429,'2023 Z Scores'!$A$1:$K$309,10,FALSE)/VLOOKUP(B429,'2023 Z Scores'!$A$1:$K$309,11,FALSE),"Not Enough data"))</f>
        <v>0.33962432859098091</v>
      </c>
      <c r="F429">
        <f>IF(VLOOKUP(A429,'Delta Z Scores'!$A$1:$N$1541,14,FALSE)&gt;2,VLOOKUP(A429,'Delta Z Scores'!$A$1:$N$1541,13,FALSE)/VLOOKUP(A429,'Delta Z Scores'!$A$1:$N$1541,14,FALSE),"Not Enough Data")</f>
        <v>-9.0189105288892166E-2</v>
      </c>
      <c r="G429">
        <f>IF(VLOOKUP(A429,'Forecast Z Scores'!$A$1:$N$1541,14,FALSE)&gt;2,VLOOKUP(A429,'Forecast Z Scores'!$A$1:$N$1541,13,FALSE)/VLOOKUP(A429,'Forecast Z Scores'!$A$1:$N$1541,14,FALSE),"Not Enough Data")</f>
        <v>-0.23483819035686279</v>
      </c>
      <c r="H429">
        <v>-1.8898018085916554E-2</v>
      </c>
    </row>
    <row r="430" spans="1:8" x14ac:dyDescent="0.35">
      <c r="A430" t="str">
        <f t="shared" si="6"/>
        <v>18097340202_2027</v>
      </c>
      <c r="B430">
        <v>18097340202</v>
      </c>
      <c r="C430">
        <v>2027</v>
      </c>
      <c r="E430">
        <f>-(IF(VLOOKUP(B430,'2023 Z Scores'!$A$1:$K$309,11,FALSE)&gt;2,VLOOKUP(B430,'2023 Z Scores'!$A$1:$K$309,10,FALSE)/VLOOKUP(B430,'2023 Z Scores'!$A$1:$K$309,11,FALSE),"Not Enough data"))</f>
        <v>0.33962432859098091</v>
      </c>
      <c r="F430">
        <f>IF(VLOOKUP(A430,'Delta Z Scores'!$A$1:$N$1541,14,FALSE)&gt;2,VLOOKUP(A430,'Delta Z Scores'!$A$1:$N$1541,13,FALSE)/VLOOKUP(A430,'Delta Z Scores'!$A$1:$N$1541,14,FALSE),"Not Enough Data")</f>
        <v>0.18743343908499974</v>
      </c>
      <c r="G430">
        <f>IF(VLOOKUP(A430,'Forecast Z Scores'!$A$1:$N$1541,14,FALSE)&gt;2,VLOOKUP(A430,'Forecast Z Scores'!$A$1:$N$1541,13,FALSE)/VLOOKUP(A430,'Forecast Z Scores'!$A$1:$N$1541,14,FALSE),"Not Enough Data")</f>
        <v>-0.21623205841285412</v>
      </c>
      <c r="H430">
        <v>0.12456478708703156</v>
      </c>
    </row>
    <row r="431" spans="1:8" x14ac:dyDescent="0.35">
      <c r="A431" t="str">
        <f t="shared" si="6"/>
        <v>18097340202_2028</v>
      </c>
      <c r="B431">
        <v>18097340202</v>
      </c>
      <c r="C431">
        <v>2028</v>
      </c>
      <c r="E431">
        <f>-(IF(VLOOKUP(B431,'2023 Z Scores'!$A$1:$K$309,11,FALSE)&gt;2,VLOOKUP(B431,'2023 Z Scores'!$A$1:$K$309,10,FALSE)/VLOOKUP(B431,'2023 Z Scores'!$A$1:$K$309,11,FALSE),"Not Enough data"))</f>
        <v>0.33962432859098091</v>
      </c>
      <c r="F431">
        <f>IF(VLOOKUP(A431,'Delta Z Scores'!$A$1:$N$1541,14,FALSE)&gt;2,VLOOKUP(A431,'Delta Z Scores'!$A$1:$N$1541,13,FALSE)/VLOOKUP(A431,'Delta Z Scores'!$A$1:$N$1541,14,FALSE),"Not Enough Data")</f>
        <v>-7.3569273400387408E-2</v>
      </c>
      <c r="G431">
        <f>IF(VLOOKUP(A431,'Forecast Z Scores'!$A$1:$N$1541,14,FALSE)&gt;2,VLOOKUP(A431,'Forecast Z Scores'!$A$1:$N$1541,13,FALSE)/VLOOKUP(A431,'Forecast Z Scores'!$A$1:$N$1541,14,FALSE),"Not Enough Data")</f>
        <v>-0.21153834078004102</v>
      </c>
      <c r="H431">
        <v>-4.7631397474587334E-3</v>
      </c>
    </row>
    <row r="432" spans="1:8" x14ac:dyDescent="0.35">
      <c r="A432" t="str">
        <f t="shared" si="6"/>
        <v>18097340301_2024</v>
      </c>
      <c r="B432">
        <v>18097340301</v>
      </c>
      <c r="C432">
        <v>2024</v>
      </c>
      <c r="E432">
        <f>-(IF(VLOOKUP(B432,'2023 Z Scores'!$A$1:$K$309,11,FALSE)&gt;2,VLOOKUP(B432,'2023 Z Scores'!$A$1:$K$309,10,FALSE)/VLOOKUP(B432,'2023 Z Scores'!$A$1:$K$309,11,FALSE),"Not Enough data"))</f>
        <v>0.45927065503521114</v>
      </c>
      <c r="F432">
        <f>IF(VLOOKUP(A432,'Delta Z Scores'!$A$1:$N$1541,14,FALSE)&gt;2,VLOOKUP(A432,'Delta Z Scores'!$A$1:$N$1541,13,FALSE)/VLOOKUP(A432,'Delta Z Scores'!$A$1:$N$1541,14,FALSE),"Not Enough Data")</f>
        <v>-3.5949929490750286E-2</v>
      </c>
      <c r="G432">
        <f>IF(VLOOKUP(A432,'Forecast Z Scores'!$A$1:$N$1541,14,FALSE)&gt;2,VLOOKUP(A432,'Forecast Z Scores'!$A$1:$N$1541,13,FALSE)/VLOOKUP(A432,'Forecast Z Scores'!$A$1:$N$1541,14,FALSE),"Not Enough Data")</f>
        <v>-0.61340693507762167</v>
      </c>
      <c r="H432">
        <v>-5.6509034755977766E-2</v>
      </c>
    </row>
    <row r="433" spans="1:8" x14ac:dyDescent="0.35">
      <c r="A433" t="str">
        <f t="shared" si="6"/>
        <v>18097340301_2025</v>
      </c>
      <c r="B433">
        <v>18097340301</v>
      </c>
      <c r="C433">
        <v>2025</v>
      </c>
      <c r="E433">
        <f>-(IF(VLOOKUP(B433,'2023 Z Scores'!$A$1:$K$309,11,FALSE)&gt;2,VLOOKUP(B433,'2023 Z Scores'!$A$1:$K$309,10,FALSE)/VLOOKUP(B433,'2023 Z Scores'!$A$1:$K$309,11,FALSE),"Not Enough data"))</f>
        <v>0.45927065503521114</v>
      </c>
      <c r="F433">
        <f>IF(VLOOKUP(A433,'Delta Z Scores'!$A$1:$N$1541,14,FALSE)&gt;2,VLOOKUP(A433,'Delta Z Scores'!$A$1:$N$1541,13,FALSE)/VLOOKUP(A433,'Delta Z Scores'!$A$1:$N$1541,14,FALSE),"Not Enough Data")</f>
        <v>0.10286480620317062</v>
      </c>
      <c r="G433">
        <f>IF(VLOOKUP(A433,'Forecast Z Scores'!$A$1:$N$1541,14,FALSE)&gt;2,VLOOKUP(A433,'Forecast Z Scores'!$A$1:$N$1541,13,FALSE)/VLOOKUP(A433,'Forecast Z Scores'!$A$1:$N$1541,14,FALSE),"Not Enough Data")</f>
        <v>-0.60126058590176923</v>
      </c>
      <c r="H433">
        <v>1.5934920384945789E-2</v>
      </c>
    </row>
    <row r="434" spans="1:8" x14ac:dyDescent="0.35">
      <c r="A434" t="str">
        <f t="shared" si="6"/>
        <v>18097340301_2026</v>
      </c>
      <c r="B434">
        <v>18097340301</v>
      </c>
      <c r="C434">
        <v>2026</v>
      </c>
      <c r="E434">
        <f>-(IF(VLOOKUP(B434,'2023 Z Scores'!$A$1:$K$309,11,FALSE)&gt;2,VLOOKUP(B434,'2023 Z Scores'!$A$1:$K$309,10,FALSE)/VLOOKUP(B434,'2023 Z Scores'!$A$1:$K$309,11,FALSE),"Not Enough data"))</f>
        <v>0.45927065503521114</v>
      </c>
      <c r="F434">
        <f>IF(VLOOKUP(A434,'Delta Z Scores'!$A$1:$N$1541,14,FALSE)&gt;2,VLOOKUP(A434,'Delta Z Scores'!$A$1:$N$1541,13,FALSE)/VLOOKUP(A434,'Delta Z Scores'!$A$1:$N$1541,14,FALSE),"Not Enough Data")</f>
        <v>-0.42397249501630091</v>
      </c>
      <c r="G434">
        <f>IF(VLOOKUP(A434,'Forecast Z Scores'!$A$1:$N$1541,14,FALSE)&gt;2,VLOOKUP(A434,'Forecast Z Scores'!$A$1:$N$1541,13,FALSE)/VLOOKUP(A434,'Forecast Z Scores'!$A$1:$N$1541,14,FALSE),"Not Enough Data")</f>
        <v>-0.6602572481014094</v>
      </c>
      <c r="H434">
        <v>-0.26223289577469999</v>
      </c>
    </row>
    <row r="435" spans="1:8" x14ac:dyDescent="0.35">
      <c r="A435" t="str">
        <f t="shared" si="6"/>
        <v>18097340301_2027</v>
      </c>
      <c r="B435">
        <v>18097340301</v>
      </c>
      <c r="C435">
        <v>2027</v>
      </c>
      <c r="E435">
        <f>-(IF(VLOOKUP(B435,'2023 Z Scores'!$A$1:$K$309,11,FALSE)&gt;2,VLOOKUP(B435,'2023 Z Scores'!$A$1:$K$309,10,FALSE)/VLOOKUP(B435,'2023 Z Scores'!$A$1:$K$309,11,FALSE),"Not Enough data"))</f>
        <v>0.45927065503521114</v>
      </c>
      <c r="F435">
        <f>IF(VLOOKUP(A435,'Delta Z Scores'!$A$1:$N$1541,14,FALSE)&gt;2,VLOOKUP(A435,'Delta Z Scores'!$A$1:$N$1541,13,FALSE)/VLOOKUP(A435,'Delta Z Scores'!$A$1:$N$1541,14,FALSE),"Not Enough Data")</f>
        <v>-7.1620258486054578E-2</v>
      </c>
      <c r="G435">
        <f>IF(VLOOKUP(A435,'Forecast Z Scores'!$A$1:$N$1541,14,FALSE)&gt;2,VLOOKUP(A435,'Forecast Z Scores'!$A$1:$N$1541,13,FALSE)/VLOOKUP(A435,'Forecast Z Scores'!$A$1:$N$1541,14,FALSE),"Not Enough Data")</f>
        <v>-0.64829283960463868</v>
      </c>
      <c r="H435">
        <v>-8.3065675385384175E-2</v>
      </c>
    </row>
    <row r="436" spans="1:8" x14ac:dyDescent="0.35">
      <c r="A436" t="str">
        <f t="shared" si="6"/>
        <v>18097340301_2028</v>
      </c>
      <c r="B436">
        <v>18097340301</v>
      </c>
      <c r="C436">
        <v>2028</v>
      </c>
      <c r="E436">
        <f>-(IF(VLOOKUP(B436,'2023 Z Scores'!$A$1:$K$309,11,FALSE)&gt;2,VLOOKUP(B436,'2023 Z Scores'!$A$1:$K$309,10,FALSE)/VLOOKUP(B436,'2023 Z Scores'!$A$1:$K$309,11,FALSE),"Not Enough data"))</f>
        <v>0.45927065503521114</v>
      </c>
      <c r="F436">
        <f>IF(VLOOKUP(A436,'Delta Z Scores'!$A$1:$N$1541,14,FALSE)&gt;2,VLOOKUP(A436,'Delta Z Scores'!$A$1:$N$1541,13,FALSE)/VLOOKUP(A436,'Delta Z Scores'!$A$1:$N$1541,14,FALSE),"Not Enough Data")</f>
        <v>-0.32509606394077195</v>
      </c>
      <c r="G436">
        <f>IF(VLOOKUP(A436,'Forecast Z Scores'!$A$1:$N$1541,14,FALSE)&gt;2,VLOOKUP(A436,'Forecast Z Scores'!$A$1:$N$1541,13,FALSE)/VLOOKUP(A436,'Forecast Z Scores'!$A$1:$N$1541,14,FALSE),"Not Enough Data")</f>
        <v>-0.67715216487555274</v>
      </c>
      <c r="H436">
        <v>-0.21701840943047138</v>
      </c>
    </row>
    <row r="437" spans="1:8" x14ac:dyDescent="0.35">
      <c r="A437" t="str">
        <f t="shared" si="6"/>
        <v>18097340302_2024</v>
      </c>
      <c r="B437">
        <v>18097340302</v>
      </c>
      <c r="C437">
        <v>2024</v>
      </c>
      <c r="E437">
        <f>-(IF(VLOOKUP(B437,'2023 Z Scores'!$A$1:$K$309,11,FALSE)&gt;2,VLOOKUP(B437,'2023 Z Scores'!$A$1:$K$309,10,FALSE)/VLOOKUP(B437,'2023 Z Scores'!$A$1:$K$309,11,FALSE),"Not Enough data"))</f>
        <v>0.40067269569512254</v>
      </c>
      <c r="F437">
        <f>IF(VLOOKUP(A437,'Delta Z Scores'!$A$1:$N$1541,14,FALSE)&gt;2,VLOOKUP(A437,'Delta Z Scores'!$A$1:$N$1541,13,FALSE)/VLOOKUP(A437,'Delta Z Scores'!$A$1:$N$1541,14,FALSE),"Not Enough Data")</f>
        <v>0.27719290700416988</v>
      </c>
      <c r="G437">
        <f>IF(VLOOKUP(A437,'Forecast Z Scores'!$A$1:$N$1541,14,FALSE)&gt;2,VLOOKUP(A437,'Forecast Z Scores'!$A$1:$N$1541,13,FALSE)/VLOOKUP(A437,'Forecast Z Scores'!$A$1:$N$1541,14,FALSE),"Not Enough Data")</f>
        <v>-3.6501916208239539E-2</v>
      </c>
      <c r="H437">
        <v>0.2296391483738057</v>
      </c>
    </row>
    <row r="438" spans="1:8" x14ac:dyDescent="0.35">
      <c r="A438" t="str">
        <f t="shared" si="6"/>
        <v>18097340302_2025</v>
      </c>
      <c r="B438">
        <v>18097340302</v>
      </c>
      <c r="C438">
        <v>2025</v>
      </c>
      <c r="E438">
        <f>-(IF(VLOOKUP(B438,'2023 Z Scores'!$A$1:$K$309,11,FALSE)&gt;2,VLOOKUP(B438,'2023 Z Scores'!$A$1:$K$309,10,FALSE)/VLOOKUP(B438,'2023 Z Scores'!$A$1:$K$309,11,FALSE),"Not Enough data"))</f>
        <v>0.40067269569512254</v>
      </c>
      <c r="F438">
        <f>IF(VLOOKUP(A438,'Delta Z Scores'!$A$1:$N$1541,14,FALSE)&gt;2,VLOOKUP(A438,'Delta Z Scores'!$A$1:$N$1541,13,FALSE)/VLOOKUP(A438,'Delta Z Scores'!$A$1:$N$1541,14,FALSE),"Not Enough Data")</f>
        <v>0.29545039114687577</v>
      </c>
      <c r="G438">
        <f>IF(VLOOKUP(A438,'Forecast Z Scores'!$A$1:$N$1541,14,FALSE)&gt;2,VLOOKUP(A438,'Forecast Z Scores'!$A$1:$N$1541,13,FALSE)/VLOOKUP(A438,'Forecast Z Scores'!$A$1:$N$1541,14,FALSE),"Not Enough Data")</f>
        <v>-3.70146800495611E-3</v>
      </c>
      <c r="H438">
        <v>0.2469680024959795</v>
      </c>
    </row>
    <row r="439" spans="1:8" x14ac:dyDescent="0.35">
      <c r="A439" t="str">
        <f t="shared" si="6"/>
        <v>18097340302_2026</v>
      </c>
      <c r="B439">
        <v>18097340302</v>
      </c>
      <c r="C439">
        <v>2026</v>
      </c>
      <c r="E439">
        <f>-(IF(VLOOKUP(B439,'2023 Z Scores'!$A$1:$K$309,11,FALSE)&gt;2,VLOOKUP(B439,'2023 Z Scores'!$A$1:$K$309,10,FALSE)/VLOOKUP(B439,'2023 Z Scores'!$A$1:$K$309,11,FALSE),"Not Enough data"))</f>
        <v>0.40067269569512254</v>
      </c>
      <c r="F439">
        <f>IF(VLOOKUP(A439,'Delta Z Scores'!$A$1:$N$1541,14,FALSE)&gt;2,VLOOKUP(A439,'Delta Z Scores'!$A$1:$N$1541,13,FALSE)/VLOOKUP(A439,'Delta Z Scores'!$A$1:$N$1541,14,FALSE),"Not Enough Data")</f>
        <v>0.55896096158461417</v>
      </c>
      <c r="G439">
        <f>IF(VLOOKUP(A439,'Forecast Z Scores'!$A$1:$N$1541,14,FALSE)&gt;2,VLOOKUP(A439,'Forecast Z Scores'!$A$1:$N$1541,13,FALSE)/VLOOKUP(A439,'Forecast Z Scores'!$A$1:$N$1541,14,FALSE),"Not Enough Data")</f>
        <v>4.8033986878485521E-2</v>
      </c>
      <c r="H439">
        <v>0.39165715143570912</v>
      </c>
    </row>
    <row r="440" spans="1:8" x14ac:dyDescent="0.35">
      <c r="A440" t="str">
        <f t="shared" si="6"/>
        <v>18097340302_2027</v>
      </c>
      <c r="B440">
        <v>18097340302</v>
      </c>
      <c r="C440">
        <v>2027</v>
      </c>
      <c r="E440">
        <f>-(IF(VLOOKUP(B440,'2023 Z Scores'!$A$1:$K$309,11,FALSE)&gt;2,VLOOKUP(B440,'2023 Z Scores'!$A$1:$K$309,10,FALSE)/VLOOKUP(B440,'2023 Z Scores'!$A$1:$K$309,11,FALSE),"Not Enough data"))</f>
        <v>0.40067269569512254</v>
      </c>
      <c r="F440">
        <f>IF(VLOOKUP(A440,'Delta Z Scores'!$A$1:$N$1541,14,FALSE)&gt;2,VLOOKUP(A440,'Delta Z Scores'!$A$1:$N$1541,13,FALSE)/VLOOKUP(A440,'Delta Z Scores'!$A$1:$N$1541,14,FALSE),"Not Enough Data")</f>
        <v>0.25294572839567558</v>
      </c>
      <c r="G440">
        <f>IF(VLOOKUP(A440,'Forecast Z Scores'!$A$1:$N$1541,14,FALSE)&gt;2,VLOOKUP(A440,'Forecast Z Scores'!$A$1:$N$1541,13,FALSE)/VLOOKUP(A440,'Forecast Z Scores'!$A$1:$N$1541,14,FALSE),"Not Enough Data")</f>
        <v>7.951293067621526E-2</v>
      </c>
      <c r="H440">
        <v>0.24651927079067223</v>
      </c>
    </row>
    <row r="441" spans="1:8" x14ac:dyDescent="0.35">
      <c r="A441" t="str">
        <f t="shared" si="6"/>
        <v>18097340302_2028</v>
      </c>
      <c r="B441">
        <v>18097340302</v>
      </c>
      <c r="C441">
        <v>2028</v>
      </c>
      <c r="E441">
        <f>-(IF(VLOOKUP(B441,'2023 Z Scores'!$A$1:$K$309,11,FALSE)&gt;2,VLOOKUP(B441,'2023 Z Scores'!$A$1:$K$309,10,FALSE)/VLOOKUP(B441,'2023 Z Scores'!$A$1:$K$309,11,FALSE),"Not Enough data"))</f>
        <v>0.40067269569512254</v>
      </c>
      <c r="F441">
        <f>IF(VLOOKUP(A441,'Delta Z Scores'!$A$1:$N$1541,14,FALSE)&gt;2,VLOOKUP(A441,'Delta Z Scores'!$A$1:$N$1541,13,FALSE)/VLOOKUP(A441,'Delta Z Scores'!$A$1:$N$1541,14,FALSE),"Not Enough Data")</f>
        <v>0.48817616563995347</v>
      </c>
      <c r="G441">
        <f>IF(VLOOKUP(A441,'Forecast Z Scores'!$A$1:$N$1541,14,FALSE)&gt;2,VLOOKUP(A441,'Forecast Z Scores'!$A$1:$N$1541,13,FALSE)/VLOOKUP(A441,'Forecast Z Scores'!$A$1:$N$1541,14,FALSE),"Not Enough Data")</f>
        <v>0.14910945280925719</v>
      </c>
      <c r="H441">
        <v>0.38153361994607166</v>
      </c>
    </row>
    <row r="442" spans="1:8" x14ac:dyDescent="0.35">
      <c r="A442" t="str">
        <f t="shared" si="6"/>
        <v>18097340400_2024</v>
      </c>
      <c r="B442">
        <v>18097340400</v>
      </c>
      <c r="C442">
        <v>2024</v>
      </c>
      <c r="E442">
        <f>-(IF(VLOOKUP(B442,'2023 Z Scores'!$A$1:$K$309,11,FALSE)&gt;2,VLOOKUP(B442,'2023 Z Scores'!$A$1:$K$309,10,FALSE)/VLOOKUP(B442,'2023 Z Scores'!$A$1:$K$309,11,FALSE),"Not Enough data"))</f>
        <v>0.63058499448691863</v>
      </c>
      <c r="F442">
        <f>IF(VLOOKUP(A442,'Delta Z Scores'!$A$1:$N$1541,14,FALSE)&gt;2,VLOOKUP(A442,'Delta Z Scores'!$A$1:$N$1541,13,FALSE)/VLOOKUP(A442,'Delta Z Scores'!$A$1:$N$1541,14,FALSE),"Not Enough Data")</f>
        <v>-0.29069017813943254</v>
      </c>
      <c r="G442">
        <f>IF(VLOOKUP(A442,'Forecast Z Scores'!$A$1:$N$1541,14,FALSE)&gt;2,VLOOKUP(A442,'Forecast Z Scores'!$A$1:$N$1541,13,FALSE)/VLOOKUP(A442,'Forecast Z Scores'!$A$1:$N$1541,14,FALSE),"Not Enough Data")</f>
        <v>-0.63433651694952253</v>
      </c>
      <c r="H442">
        <v>-0.14628296968536725</v>
      </c>
    </row>
    <row r="443" spans="1:8" x14ac:dyDescent="0.35">
      <c r="A443" t="str">
        <f t="shared" si="6"/>
        <v>18097340400_2025</v>
      </c>
      <c r="B443">
        <v>18097340400</v>
      </c>
      <c r="C443">
        <v>2025</v>
      </c>
      <c r="E443">
        <f>-(IF(VLOOKUP(B443,'2023 Z Scores'!$A$1:$K$309,11,FALSE)&gt;2,VLOOKUP(B443,'2023 Z Scores'!$A$1:$K$309,10,FALSE)/VLOOKUP(B443,'2023 Z Scores'!$A$1:$K$309,11,FALSE),"Not Enough data"))</f>
        <v>0.63058499448691863</v>
      </c>
      <c r="F443">
        <f>IF(VLOOKUP(A443,'Delta Z Scores'!$A$1:$N$1541,14,FALSE)&gt;2,VLOOKUP(A443,'Delta Z Scores'!$A$1:$N$1541,13,FALSE)/VLOOKUP(A443,'Delta Z Scores'!$A$1:$N$1541,14,FALSE),"Not Enough Data")</f>
        <v>0.35365175207386534</v>
      </c>
      <c r="G443">
        <f>IF(VLOOKUP(A443,'Forecast Z Scores'!$A$1:$N$1541,14,FALSE)&gt;2,VLOOKUP(A443,'Forecast Z Scores'!$A$1:$N$1541,13,FALSE)/VLOOKUP(A443,'Forecast Z Scores'!$A$1:$N$1541,14,FALSE),"Not Enough Data")</f>
        <v>-0.5961017098132344</v>
      </c>
      <c r="H443">
        <v>0.18544669720535373</v>
      </c>
    </row>
    <row r="444" spans="1:8" x14ac:dyDescent="0.35">
      <c r="A444" t="str">
        <f t="shared" si="6"/>
        <v>18097340400_2026</v>
      </c>
      <c r="B444">
        <v>18097340400</v>
      </c>
      <c r="C444">
        <v>2026</v>
      </c>
      <c r="E444">
        <f>-(IF(VLOOKUP(B444,'2023 Z Scores'!$A$1:$K$309,11,FALSE)&gt;2,VLOOKUP(B444,'2023 Z Scores'!$A$1:$K$309,10,FALSE)/VLOOKUP(B444,'2023 Z Scores'!$A$1:$K$309,11,FALSE),"Not Enough data"))</f>
        <v>0.63058499448691863</v>
      </c>
      <c r="F444">
        <f>IF(VLOOKUP(A444,'Delta Z Scores'!$A$1:$N$1541,14,FALSE)&gt;2,VLOOKUP(A444,'Delta Z Scores'!$A$1:$N$1541,13,FALSE)/VLOOKUP(A444,'Delta Z Scores'!$A$1:$N$1541,14,FALSE),"Not Enough Data")</f>
        <v>-9.0354065432430256E-2</v>
      </c>
      <c r="G444">
        <f>IF(VLOOKUP(A444,'Forecast Z Scores'!$A$1:$N$1541,14,FALSE)&gt;2,VLOOKUP(A444,'Forecast Z Scores'!$A$1:$N$1541,13,FALSE)/VLOOKUP(A444,'Forecast Z Scores'!$A$1:$N$1541,14,FALSE),"Not Enough Data")</f>
        <v>-0.63488428265583985</v>
      </c>
      <c r="H444">
        <v>-4.6251854758445426E-2</v>
      </c>
    </row>
    <row r="445" spans="1:8" x14ac:dyDescent="0.35">
      <c r="A445" t="str">
        <f t="shared" si="6"/>
        <v>18097340400_2027</v>
      </c>
      <c r="B445">
        <v>18097340400</v>
      </c>
      <c r="C445">
        <v>2027</v>
      </c>
      <c r="E445">
        <f>-(IF(VLOOKUP(B445,'2023 Z Scores'!$A$1:$K$309,11,FALSE)&gt;2,VLOOKUP(B445,'2023 Z Scores'!$A$1:$K$309,10,FALSE)/VLOOKUP(B445,'2023 Z Scores'!$A$1:$K$309,11,FALSE),"Not Enough data"))</f>
        <v>0.63058499448691863</v>
      </c>
      <c r="F445">
        <f>IF(VLOOKUP(A445,'Delta Z Scores'!$A$1:$N$1541,14,FALSE)&gt;2,VLOOKUP(A445,'Delta Z Scores'!$A$1:$N$1541,13,FALSE)/VLOOKUP(A445,'Delta Z Scores'!$A$1:$N$1541,14,FALSE),"Not Enough Data")</f>
        <v>0.35233201191521946</v>
      </c>
      <c r="G445">
        <f>IF(VLOOKUP(A445,'Forecast Z Scores'!$A$1:$N$1541,14,FALSE)&gt;2,VLOOKUP(A445,'Forecast Z Scores'!$A$1:$N$1541,13,FALSE)/VLOOKUP(A445,'Forecast Z Scores'!$A$1:$N$1541,14,FALSE),"Not Enough Data")</f>
        <v>-0.60218604504857343</v>
      </c>
      <c r="H445">
        <v>0.18326574331719603</v>
      </c>
    </row>
    <row r="446" spans="1:8" x14ac:dyDescent="0.35">
      <c r="A446" t="str">
        <f t="shared" si="6"/>
        <v>18097340400_2028</v>
      </c>
      <c r="B446">
        <v>18097340400</v>
      </c>
      <c r="C446">
        <v>2028</v>
      </c>
      <c r="E446">
        <f>-(IF(VLOOKUP(B446,'2023 Z Scores'!$A$1:$K$309,11,FALSE)&gt;2,VLOOKUP(B446,'2023 Z Scores'!$A$1:$K$309,10,FALSE)/VLOOKUP(B446,'2023 Z Scores'!$A$1:$K$309,11,FALSE),"Not Enough data"))</f>
        <v>0.63058499448691863</v>
      </c>
      <c r="F446">
        <f>IF(VLOOKUP(A446,'Delta Z Scores'!$A$1:$N$1541,14,FALSE)&gt;2,VLOOKUP(A446,'Delta Z Scores'!$A$1:$N$1541,13,FALSE)/VLOOKUP(A446,'Delta Z Scores'!$A$1:$N$1541,14,FALSE),"Not Enough Data")</f>
        <v>-0.1338620491018821</v>
      </c>
      <c r="G446">
        <f>IF(VLOOKUP(A446,'Forecast Z Scores'!$A$1:$N$1541,14,FALSE)&gt;2,VLOOKUP(A446,'Forecast Z Scores'!$A$1:$N$1541,13,FALSE)/VLOOKUP(A446,'Forecast Z Scores'!$A$1:$N$1541,14,FALSE),"Not Enough Data")</f>
        <v>-0.62631592383389467</v>
      </c>
      <c r="H446">
        <v>-6.586375688768506E-2</v>
      </c>
    </row>
    <row r="447" spans="1:8" x14ac:dyDescent="0.35">
      <c r="A447" t="str">
        <f t="shared" si="6"/>
        <v>18097340500_2024</v>
      </c>
      <c r="B447">
        <v>18097340500</v>
      </c>
      <c r="C447">
        <v>2024</v>
      </c>
      <c r="E447">
        <f>-(IF(VLOOKUP(B447,'2023 Z Scores'!$A$1:$K$309,11,FALSE)&gt;2,VLOOKUP(B447,'2023 Z Scores'!$A$1:$K$309,10,FALSE)/VLOOKUP(B447,'2023 Z Scores'!$A$1:$K$309,11,FALSE),"Not Enough data"))</f>
        <v>0.60278621684835876</v>
      </c>
      <c r="F447">
        <f>IF(VLOOKUP(A447,'Delta Z Scores'!$A$1:$N$1541,14,FALSE)&gt;2,VLOOKUP(A447,'Delta Z Scores'!$A$1:$N$1541,13,FALSE)/VLOOKUP(A447,'Delta Z Scores'!$A$1:$N$1541,14,FALSE),"Not Enough Data")</f>
        <v>0.51173593046001409</v>
      </c>
      <c r="G447">
        <f>IF(VLOOKUP(A447,'Forecast Z Scores'!$A$1:$N$1541,14,FALSE)&gt;2,VLOOKUP(A447,'Forecast Z Scores'!$A$1:$N$1541,13,FALSE)/VLOOKUP(A447,'Forecast Z Scores'!$A$1:$N$1541,14,FALSE),"Not Enough Data")</f>
        <v>-0.18147551583573901</v>
      </c>
      <c r="H447">
        <v>0.36119564048316199</v>
      </c>
    </row>
    <row r="448" spans="1:8" x14ac:dyDescent="0.35">
      <c r="A448" t="str">
        <f t="shared" si="6"/>
        <v>18097340500_2025</v>
      </c>
      <c r="B448">
        <v>18097340500</v>
      </c>
      <c r="C448">
        <v>2025</v>
      </c>
      <c r="E448">
        <f>-(IF(VLOOKUP(B448,'2023 Z Scores'!$A$1:$K$309,11,FALSE)&gt;2,VLOOKUP(B448,'2023 Z Scores'!$A$1:$K$309,10,FALSE)/VLOOKUP(B448,'2023 Z Scores'!$A$1:$K$309,11,FALSE),"Not Enough data"))</f>
        <v>0.60278621684835876</v>
      </c>
      <c r="F448">
        <f>IF(VLOOKUP(A448,'Delta Z Scores'!$A$1:$N$1541,14,FALSE)&gt;2,VLOOKUP(A448,'Delta Z Scores'!$A$1:$N$1541,13,FALSE)/VLOOKUP(A448,'Delta Z Scores'!$A$1:$N$1541,14,FALSE),"Not Enough Data")</f>
        <v>0.61110863354430933</v>
      </c>
      <c r="G448">
        <f>IF(VLOOKUP(A448,'Forecast Z Scores'!$A$1:$N$1541,14,FALSE)&gt;2,VLOOKUP(A448,'Forecast Z Scores'!$A$1:$N$1541,13,FALSE)/VLOOKUP(A448,'Forecast Z Scores'!$A$1:$N$1541,14,FALSE),"Not Enough Data")</f>
        <v>-0.16504769773799349</v>
      </c>
      <c r="H448">
        <v>0.41498894654974594</v>
      </c>
    </row>
    <row r="449" spans="1:8" x14ac:dyDescent="0.35">
      <c r="A449" t="str">
        <f t="shared" si="6"/>
        <v>18097340500_2026</v>
      </c>
      <c r="B449">
        <v>18097340500</v>
      </c>
      <c r="C449">
        <v>2026</v>
      </c>
      <c r="E449">
        <f>-(IF(VLOOKUP(B449,'2023 Z Scores'!$A$1:$K$309,11,FALSE)&gt;2,VLOOKUP(B449,'2023 Z Scores'!$A$1:$K$309,10,FALSE)/VLOOKUP(B449,'2023 Z Scores'!$A$1:$K$309,11,FALSE),"Not Enough data"))</f>
        <v>0.60278621684835876</v>
      </c>
      <c r="F449">
        <f>IF(VLOOKUP(A449,'Delta Z Scores'!$A$1:$N$1541,14,FALSE)&gt;2,VLOOKUP(A449,'Delta Z Scores'!$A$1:$N$1541,13,FALSE)/VLOOKUP(A449,'Delta Z Scores'!$A$1:$N$1541,14,FALSE),"Not Enough Data")</f>
        <v>0.27053407398153012</v>
      </c>
      <c r="G449">
        <f>IF(VLOOKUP(A449,'Forecast Z Scores'!$A$1:$N$1541,14,FALSE)&gt;2,VLOOKUP(A449,'Forecast Z Scores'!$A$1:$N$1541,13,FALSE)/VLOOKUP(A449,'Forecast Z Scores'!$A$1:$N$1541,14,FALSE),"Not Enough Data")</f>
        <v>-0.1643712508945917</v>
      </c>
      <c r="H449">
        <v>0.24487077847920682</v>
      </c>
    </row>
    <row r="450" spans="1:8" x14ac:dyDescent="0.35">
      <c r="A450" t="str">
        <f t="shared" si="6"/>
        <v>18097340500_2027</v>
      </c>
      <c r="B450">
        <v>18097340500</v>
      </c>
      <c r="C450">
        <v>2027</v>
      </c>
      <c r="E450">
        <f>-(IF(VLOOKUP(B450,'2023 Z Scores'!$A$1:$K$309,11,FALSE)&gt;2,VLOOKUP(B450,'2023 Z Scores'!$A$1:$K$309,10,FALSE)/VLOOKUP(B450,'2023 Z Scores'!$A$1:$K$309,11,FALSE),"Not Enough data"))</f>
        <v>0.60278621684835876</v>
      </c>
      <c r="F450">
        <f>IF(VLOOKUP(A450,'Delta Z Scores'!$A$1:$N$1541,14,FALSE)&gt;2,VLOOKUP(A450,'Delta Z Scores'!$A$1:$N$1541,13,FALSE)/VLOOKUP(A450,'Delta Z Scores'!$A$1:$N$1541,14,FALSE),"Not Enough Data")</f>
        <v>0.39864822713888853</v>
      </c>
      <c r="G450">
        <f>IF(VLOOKUP(A450,'Forecast Z Scores'!$A$1:$N$1541,14,FALSE)&gt;2,VLOOKUP(A450,'Forecast Z Scores'!$A$1:$N$1541,13,FALSE)/VLOOKUP(A450,'Forecast Z Scores'!$A$1:$N$1541,14,FALSE),"Not Enough Data")</f>
        <v>-0.15972898378583544</v>
      </c>
      <c r="H450">
        <v>0.31008842183507512</v>
      </c>
    </row>
    <row r="451" spans="1:8" x14ac:dyDescent="0.35">
      <c r="A451" t="str">
        <f t="shared" ref="A451:A514" si="7">TEXT(B451,0)&amp;"_"&amp;TEXT(C451,0)</f>
        <v>18097340500_2028</v>
      </c>
      <c r="B451">
        <v>18097340500</v>
      </c>
      <c r="C451">
        <v>2028</v>
      </c>
      <c r="E451">
        <f>-(IF(VLOOKUP(B451,'2023 Z Scores'!$A$1:$K$309,11,FALSE)&gt;2,VLOOKUP(B451,'2023 Z Scores'!$A$1:$K$309,10,FALSE)/VLOOKUP(B451,'2023 Z Scores'!$A$1:$K$309,11,FALSE),"Not Enough data"))</f>
        <v>0.60278621684835876</v>
      </c>
      <c r="F451">
        <f>IF(VLOOKUP(A451,'Delta Z Scores'!$A$1:$N$1541,14,FALSE)&gt;2,VLOOKUP(A451,'Delta Z Scores'!$A$1:$N$1541,13,FALSE)/VLOOKUP(A451,'Delta Z Scores'!$A$1:$N$1541,14,FALSE),"Not Enough Data")</f>
        <v>0.24205508204625842</v>
      </c>
      <c r="G451">
        <f>IF(VLOOKUP(A451,'Forecast Z Scores'!$A$1:$N$1541,14,FALSE)&gt;2,VLOOKUP(A451,'Forecast Z Scores'!$A$1:$N$1541,13,FALSE)/VLOOKUP(A451,'Forecast Z Scores'!$A$1:$N$1541,14,FALSE),"Not Enough Data")</f>
        <v>-0.15709110849856134</v>
      </c>
      <c r="H451">
        <v>0.23245131811057856</v>
      </c>
    </row>
    <row r="452" spans="1:8" x14ac:dyDescent="0.35">
      <c r="A452" t="str">
        <f t="shared" si="7"/>
        <v>18097340600_2024</v>
      </c>
      <c r="B452">
        <v>18097340600</v>
      </c>
      <c r="C452">
        <v>2024</v>
      </c>
      <c r="E452">
        <f>-(IF(VLOOKUP(B452,'2023 Z Scores'!$A$1:$K$309,11,FALSE)&gt;2,VLOOKUP(B452,'2023 Z Scores'!$A$1:$K$309,10,FALSE)/VLOOKUP(B452,'2023 Z Scores'!$A$1:$K$309,11,FALSE),"Not Enough data"))</f>
        <v>0.71732758165017241</v>
      </c>
      <c r="F452">
        <f>IF(VLOOKUP(A452,'Delta Z Scores'!$A$1:$N$1541,14,FALSE)&gt;2,VLOOKUP(A452,'Delta Z Scores'!$A$1:$N$1541,13,FALSE)/VLOOKUP(A452,'Delta Z Scores'!$A$1:$N$1541,14,FALSE),"Not Enough Data")</f>
        <v>0.41799492853587811</v>
      </c>
      <c r="G452">
        <f>IF(VLOOKUP(A452,'Forecast Z Scores'!$A$1:$N$1541,14,FALSE)&gt;2,VLOOKUP(A452,'Forecast Z Scores'!$A$1:$N$1541,13,FALSE)/VLOOKUP(A452,'Forecast Z Scores'!$A$1:$N$1541,14,FALSE),"Not Enough Data")</f>
        <v>-0.37765890059457019</v>
      </c>
      <c r="H452">
        <v>0.29391463453183964</v>
      </c>
    </row>
    <row r="453" spans="1:8" x14ac:dyDescent="0.35">
      <c r="A453" t="str">
        <f t="shared" si="7"/>
        <v>18097340600_2025</v>
      </c>
      <c r="B453">
        <v>18097340600</v>
      </c>
      <c r="C453">
        <v>2025</v>
      </c>
      <c r="E453">
        <f>-(IF(VLOOKUP(B453,'2023 Z Scores'!$A$1:$K$309,11,FALSE)&gt;2,VLOOKUP(B453,'2023 Z Scores'!$A$1:$K$309,10,FALSE)/VLOOKUP(B453,'2023 Z Scores'!$A$1:$K$309,11,FALSE),"Not Enough data"))</f>
        <v>0.71732758165017241</v>
      </c>
      <c r="F453">
        <f>IF(VLOOKUP(A453,'Delta Z Scores'!$A$1:$N$1541,14,FALSE)&gt;2,VLOOKUP(A453,'Delta Z Scores'!$A$1:$N$1541,13,FALSE)/VLOOKUP(A453,'Delta Z Scores'!$A$1:$N$1541,14,FALSE),"Not Enough Data")</f>
        <v>0.447690398744155</v>
      </c>
      <c r="G453">
        <f>IF(VLOOKUP(A453,'Forecast Z Scores'!$A$1:$N$1541,14,FALSE)&gt;2,VLOOKUP(A453,'Forecast Z Scores'!$A$1:$N$1541,13,FALSE)/VLOOKUP(A453,'Forecast Z Scores'!$A$1:$N$1541,14,FALSE),"Not Enough Data")</f>
        <v>-0.37638436860645597</v>
      </c>
      <c r="H453">
        <v>0.30908100263300664</v>
      </c>
    </row>
    <row r="454" spans="1:8" x14ac:dyDescent="0.35">
      <c r="A454" t="str">
        <f t="shared" si="7"/>
        <v>18097340600_2026</v>
      </c>
      <c r="B454">
        <v>18097340600</v>
      </c>
      <c r="C454">
        <v>2026</v>
      </c>
      <c r="E454">
        <f>-(IF(VLOOKUP(B454,'2023 Z Scores'!$A$1:$K$309,11,FALSE)&gt;2,VLOOKUP(B454,'2023 Z Scores'!$A$1:$K$309,10,FALSE)/VLOOKUP(B454,'2023 Z Scores'!$A$1:$K$309,11,FALSE),"Not Enough data"))</f>
        <v>0.71732758165017241</v>
      </c>
      <c r="F454">
        <f>IF(VLOOKUP(A454,'Delta Z Scores'!$A$1:$N$1541,14,FALSE)&gt;2,VLOOKUP(A454,'Delta Z Scores'!$A$1:$N$1541,13,FALSE)/VLOOKUP(A454,'Delta Z Scores'!$A$1:$N$1541,14,FALSE),"Not Enough Data")</f>
        <v>0.26520421308607695</v>
      </c>
      <c r="G454">
        <f>IF(VLOOKUP(A454,'Forecast Z Scores'!$A$1:$N$1541,14,FALSE)&gt;2,VLOOKUP(A454,'Forecast Z Scores'!$A$1:$N$1541,13,FALSE)/VLOOKUP(A454,'Forecast Z Scores'!$A$1:$N$1541,14,FALSE),"Not Enough Data")</f>
        <v>-0.38365359023942924</v>
      </c>
      <c r="H454">
        <v>0.21602060439572426</v>
      </c>
    </row>
    <row r="455" spans="1:8" x14ac:dyDescent="0.35">
      <c r="A455" t="str">
        <f t="shared" si="7"/>
        <v>18097340600_2027</v>
      </c>
      <c r="B455">
        <v>18097340600</v>
      </c>
      <c r="C455">
        <v>2027</v>
      </c>
      <c r="E455">
        <f>-(IF(VLOOKUP(B455,'2023 Z Scores'!$A$1:$K$309,11,FALSE)&gt;2,VLOOKUP(B455,'2023 Z Scores'!$A$1:$K$309,10,FALSE)/VLOOKUP(B455,'2023 Z Scores'!$A$1:$K$309,11,FALSE),"Not Enough data"))</f>
        <v>0.71732758165017241</v>
      </c>
      <c r="F455">
        <f>IF(VLOOKUP(A455,'Delta Z Scores'!$A$1:$N$1541,14,FALSE)&gt;2,VLOOKUP(A455,'Delta Z Scores'!$A$1:$N$1541,13,FALSE)/VLOOKUP(A455,'Delta Z Scores'!$A$1:$N$1541,14,FALSE),"Not Enough Data")</f>
        <v>0.26701597544340311</v>
      </c>
      <c r="G455">
        <f>IF(VLOOKUP(A455,'Forecast Z Scores'!$A$1:$N$1541,14,FALSE)&gt;2,VLOOKUP(A455,'Forecast Z Scores'!$A$1:$N$1541,13,FALSE)/VLOOKUP(A455,'Forecast Z Scores'!$A$1:$N$1541,14,FALSE),"Not Enough Data")</f>
        <v>-0.38033490798344116</v>
      </c>
      <c r="H455">
        <v>0.21775615613838437</v>
      </c>
    </row>
    <row r="456" spans="1:8" x14ac:dyDescent="0.35">
      <c r="A456" t="str">
        <f t="shared" si="7"/>
        <v>18097340600_2028</v>
      </c>
      <c r="B456">
        <v>18097340600</v>
      </c>
      <c r="C456">
        <v>2028</v>
      </c>
      <c r="E456">
        <f>-(IF(VLOOKUP(B456,'2023 Z Scores'!$A$1:$K$309,11,FALSE)&gt;2,VLOOKUP(B456,'2023 Z Scores'!$A$1:$K$309,10,FALSE)/VLOOKUP(B456,'2023 Z Scores'!$A$1:$K$309,11,FALSE),"Not Enough data"))</f>
        <v>0.71732758165017241</v>
      </c>
      <c r="F456">
        <f>IF(VLOOKUP(A456,'Delta Z Scores'!$A$1:$N$1541,14,FALSE)&gt;2,VLOOKUP(A456,'Delta Z Scores'!$A$1:$N$1541,13,FALSE)/VLOOKUP(A456,'Delta Z Scores'!$A$1:$N$1541,14,FALSE),"Not Enough Data")</f>
        <v>0.14234610412036849</v>
      </c>
      <c r="G456">
        <f>IF(VLOOKUP(A456,'Forecast Z Scores'!$A$1:$N$1541,14,FALSE)&gt;2,VLOOKUP(A456,'Forecast Z Scores'!$A$1:$N$1541,13,FALSE)/VLOOKUP(A456,'Forecast Z Scores'!$A$1:$N$1541,14,FALSE),"Not Enough Data")</f>
        <v>-0.37624262523712937</v>
      </c>
      <c r="H456">
        <v>0.15644429116344499</v>
      </c>
    </row>
    <row r="457" spans="1:8" x14ac:dyDescent="0.35">
      <c r="A457" t="str">
        <f t="shared" si="7"/>
        <v>18097340700_2024</v>
      </c>
      <c r="B457">
        <v>18097340700</v>
      </c>
      <c r="C457">
        <v>2024</v>
      </c>
      <c r="E457">
        <f>-(IF(VLOOKUP(B457,'2023 Z Scores'!$A$1:$K$309,11,FALSE)&gt;2,VLOOKUP(B457,'2023 Z Scores'!$A$1:$K$309,10,FALSE)/VLOOKUP(B457,'2023 Z Scores'!$A$1:$K$309,11,FALSE),"Not Enough data"))</f>
        <v>0.63129255131713091</v>
      </c>
      <c r="F457">
        <f>IF(VLOOKUP(A457,'Delta Z Scores'!$A$1:$N$1541,14,FALSE)&gt;2,VLOOKUP(A457,'Delta Z Scores'!$A$1:$N$1541,13,FALSE)/VLOOKUP(A457,'Delta Z Scores'!$A$1:$N$1541,14,FALSE),"Not Enough Data")</f>
        <v>-0.20565961060634261</v>
      </c>
      <c r="G457">
        <f>IF(VLOOKUP(A457,'Forecast Z Scores'!$A$1:$N$1541,14,FALSE)&gt;2,VLOOKUP(A457,'Forecast Z Scores'!$A$1:$N$1541,13,FALSE)/VLOOKUP(A457,'Forecast Z Scores'!$A$1:$N$1541,14,FALSE),"Not Enough Data")</f>
        <v>-0.38914152453972189</v>
      </c>
      <c r="H457">
        <v>-4.2292048608819049E-2</v>
      </c>
    </row>
    <row r="458" spans="1:8" x14ac:dyDescent="0.35">
      <c r="A458" t="str">
        <f t="shared" si="7"/>
        <v>18097340700_2025</v>
      </c>
      <c r="B458">
        <v>18097340700</v>
      </c>
      <c r="C458">
        <v>2025</v>
      </c>
      <c r="E458">
        <f>-(IF(VLOOKUP(B458,'2023 Z Scores'!$A$1:$K$309,11,FALSE)&gt;2,VLOOKUP(B458,'2023 Z Scores'!$A$1:$K$309,10,FALSE)/VLOOKUP(B458,'2023 Z Scores'!$A$1:$K$309,11,FALSE),"Not Enough data"))</f>
        <v>0.63129255131713091</v>
      </c>
      <c r="F458">
        <f>IF(VLOOKUP(A458,'Delta Z Scores'!$A$1:$N$1541,14,FALSE)&gt;2,VLOOKUP(A458,'Delta Z Scores'!$A$1:$N$1541,13,FALSE)/VLOOKUP(A458,'Delta Z Scores'!$A$1:$N$1541,14,FALSE),"Not Enough Data")</f>
        <v>0.25849504215599273</v>
      </c>
      <c r="G458">
        <f>IF(VLOOKUP(A458,'Forecast Z Scores'!$A$1:$N$1541,14,FALSE)&gt;2,VLOOKUP(A458,'Forecast Z Scores'!$A$1:$N$1541,13,FALSE)/VLOOKUP(A458,'Forecast Z Scores'!$A$1:$N$1541,14,FALSE),"Not Enough Data")</f>
        <v>-0.39725508329017384</v>
      </c>
      <c r="H458">
        <v>0.18775688808473562</v>
      </c>
    </row>
    <row r="459" spans="1:8" x14ac:dyDescent="0.35">
      <c r="A459" t="str">
        <f t="shared" si="7"/>
        <v>18097340700_2026</v>
      </c>
      <c r="B459">
        <v>18097340700</v>
      </c>
      <c r="C459">
        <v>2026</v>
      </c>
      <c r="E459">
        <f>-(IF(VLOOKUP(B459,'2023 Z Scores'!$A$1:$K$309,11,FALSE)&gt;2,VLOOKUP(B459,'2023 Z Scores'!$A$1:$K$309,10,FALSE)/VLOOKUP(B459,'2023 Z Scores'!$A$1:$K$309,11,FALSE),"Not Enough data"))</f>
        <v>0.63129255131713091</v>
      </c>
      <c r="F459">
        <f>IF(VLOOKUP(A459,'Delta Z Scores'!$A$1:$N$1541,14,FALSE)&gt;2,VLOOKUP(A459,'Delta Z Scores'!$A$1:$N$1541,13,FALSE)/VLOOKUP(A459,'Delta Z Scores'!$A$1:$N$1541,14,FALSE),"Not Enough Data")</f>
        <v>0.17172500344534344</v>
      </c>
      <c r="G459">
        <f>IF(VLOOKUP(A459,'Forecast Z Scores'!$A$1:$N$1541,14,FALSE)&gt;2,VLOOKUP(A459,'Forecast Z Scores'!$A$1:$N$1541,13,FALSE)/VLOOKUP(A459,'Forecast Z Scores'!$A$1:$N$1541,14,FALSE),"Not Enough Data")</f>
        <v>-0.40814525034187893</v>
      </c>
      <c r="H459">
        <v>0.14164932696648472</v>
      </c>
    </row>
    <row r="460" spans="1:8" x14ac:dyDescent="0.35">
      <c r="A460" t="str">
        <f t="shared" si="7"/>
        <v>18097340700_2027</v>
      </c>
      <c r="B460">
        <v>18097340700</v>
      </c>
      <c r="C460">
        <v>2027</v>
      </c>
      <c r="E460">
        <f>-(IF(VLOOKUP(B460,'2023 Z Scores'!$A$1:$K$309,11,FALSE)&gt;2,VLOOKUP(B460,'2023 Z Scores'!$A$1:$K$309,10,FALSE)/VLOOKUP(B460,'2023 Z Scores'!$A$1:$K$309,11,FALSE),"Not Enough data"))</f>
        <v>0.63129255131713091</v>
      </c>
      <c r="F460">
        <f>IF(VLOOKUP(A460,'Delta Z Scores'!$A$1:$N$1541,14,FALSE)&gt;2,VLOOKUP(A460,'Delta Z Scores'!$A$1:$N$1541,13,FALSE)/VLOOKUP(A460,'Delta Z Scores'!$A$1:$N$1541,14,FALSE),"Not Enough Data")</f>
        <v>0.22226729173103946</v>
      </c>
      <c r="G460">
        <f>IF(VLOOKUP(A460,'Forecast Z Scores'!$A$1:$N$1541,14,FALSE)&gt;2,VLOOKUP(A460,'Forecast Z Scores'!$A$1:$N$1541,13,FALSE)/VLOOKUP(A460,'Forecast Z Scores'!$A$1:$N$1541,14,FALSE),"Not Enough Data")</f>
        <v>-0.41317084170022417</v>
      </c>
      <c r="H460">
        <v>0.16566407326974641</v>
      </c>
    </row>
    <row r="461" spans="1:8" x14ac:dyDescent="0.35">
      <c r="A461" t="str">
        <f t="shared" si="7"/>
        <v>18097340700_2028</v>
      </c>
      <c r="B461">
        <v>18097340700</v>
      </c>
      <c r="C461">
        <v>2028</v>
      </c>
      <c r="E461">
        <f>-(IF(VLOOKUP(B461,'2023 Z Scores'!$A$1:$K$309,11,FALSE)&gt;2,VLOOKUP(B461,'2023 Z Scores'!$A$1:$K$309,10,FALSE)/VLOOKUP(B461,'2023 Z Scores'!$A$1:$K$309,11,FALSE),"Not Enough data"))</f>
        <v>0.63129255131713091</v>
      </c>
      <c r="F461">
        <f>IF(VLOOKUP(A461,'Delta Z Scores'!$A$1:$N$1541,14,FALSE)&gt;2,VLOOKUP(A461,'Delta Z Scores'!$A$1:$N$1541,13,FALSE)/VLOOKUP(A461,'Delta Z Scores'!$A$1:$N$1541,14,FALSE),"Not Enough Data")</f>
        <v>0.1415361481061885</v>
      </c>
      <c r="G461">
        <f>IF(VLOOKUP(A461,'Forecast Z Scores'!$A$1:$N$1541,14,FALSE)&gt;2,VLOOKUP(A461,'Forecast Z Scores'!$A$1:$N$1541,13,FALSE)/VLOOKUP(A461,'Forecast Z Scores'!$A$1:$N$1541,14,FALSE),"Not Enough Data")</f>
        <v>-0.41570044447884896</v>
      </c>
      <c r="H461">
        <v>0.12466610076266474</v>
      </c>
    </row>
    <row r="462" spans="1:8" x14ac:dyDescent="0.35">
      <c r="A462" t="str">
        <f t="shared" si="7"/>
        <v>18097340800_2024</v>
      </c>
      <c r="B462">
        <v>18097340800</v>
      </c>
      <c r="C462">
        <v>2024</v>
      </c>
      <c r="E462">
        <f>-(IF(VLOOKUP(B462,'2023 Z Scores'!$A$1:$K$309,11,FALSE)&gt;2,VLOOKUP(B462,'2023 Z Scores'!$A$1:$K$309,10,FALSE)/VLOOKUP(B462,'2023 Z Scores'!$A$1:$K$309,11,FALSE),"Not Enough data"))</f>
        <v>6.6542633251131952E-2</v>
      </c>
      <c r="F462">
        <f>IF(VLOOKUP(A462,'Delta Z Scores'!$A$1:$N$1541,14,FALSE)&gt;2,VLOOKUP(A462,'Delta Z Scores'!$A$1:$N$1541,13,FALSE)/VLOOKUP(A462,'Delta Z Scores'!$A$1:$N$1541,14,FALSE),"Not Enough Data")</f>
        <v>-0.11636251481490534</v>
      </c>
      <c r="G462">
        <f>IF(VLOOKUP(A462,'Forecast Z Scores'!$A$1:$N$1541,14,FALSE)&gt;2,VLOOKUP(A462,'Forecast Z Scores'!$A$1:$N$1541,13,FALSE)/VLOOKUP(A462,'Forecast Z Scores'!$A$1:$N$1541,14,FALSE),"Not Enough Data")</f>
        <v>-0.16426400641124816</v>
      </c>
      <c r="H462">
        <v>-8.2611600697481719E-2</v>
      </c>
    </row>
    <row r="463" spans="1:8" x14ac:dyDescent="0.35">
      <c r="A463" t="str">
        <f t="shared" si="7"/>
        <v>18097340800_2025</v>
      </c>
      <c r="B463">
        <v>18097340800</v>
      </c>
      <c r="C463">
        <v>2025</v>
      </c>
      <c r="E463">
        <f>-(IF(VLOOKUP(B463,'2023 Z Scores'!$A$1:$K$309,11,FALSE)&gt;2,VLOOKUP(B463,'2023 Z Scores'!$A$1:$K$309,10,FALSE)/VLOOKUP(B463,'2023 Z Scores'!$A$1:$K$309,11,FALSE),"Not Enough data"))</f>
        <v>6.6542633251131952E-2</v>
      </c>
      <c r="F463">
        <f>IF(VLOOKUP(A463,'Delta Z Scores'!$A$1:$N$1541,14,FALSE)&gt;2,VLOOKUP(A463,'Delta Z Scores'!$A$1:$N$1541,13,FALSE)/VLOOKUP(A463,'Delta Z Scores'!$A$1:$N$1541,14,FALSE),"Not Enough Data")</f>
        <v>3.540606436799606E-3</v>
      </c>
      <c r="G463">
        <f>IF(VLOOKUP(A463,'Forecast Z Scores'!$A$1:$N$1541,14,FALSE)&gt;2,VLOOKUP(A463,'Forecast Z Scores'!$A$1:$N$1541,13,FALSE)/VLOOKUP(A463,'Forecast Z Scores'!$A$1:$N$1541,14,FALSE),"Not Enough Data")</f>
        <v>-0.1614987431056818</v>
      </c>
      <c r="H463">
        <v>-2.1968724245237655E-2</v>
      </c>
    </row>
    <row r="464" spans="1:8" x14ac:dyDescent="0.35">
      <c r="A464" t="str">
        <f t="shared" si="7"/>
        <v>18097340800_2026</v>
      </c>
      <c r="B464">
        <v>18097340800</v>
      </c>
      <c r="C464">
        <v>2026</v>
      </c>
      <c r="E464">
        <f>-(IF(VLOOKUP(B464,'2023 Z Scores'!$A$1:$K$309,11,FALSE)&gt;2,VLOOKUP(B464,'2023 Z Scores'!$A$1:$K$309,10,FALSE)/VLOOKUP(B464,'2023 Z Scores'!$A$1:$K$309,11,FALSE),"Not Enough data"))</f>
        <v>6.6542633251131952E-2</v>
      </c>
      <c r="F464">
        <f>IF(VLOOKUP(A464,'Delta Z Scores'!$A$1:$N$1541,14,FALSE)&gt;2,VLOOKUP(A464,'Delta Z Scores'!$A$1:$N$1541,13,FALSE)/VLOOKUP(A464,'Delta Z Scores'!$A$1:$N$1541,14,FALSE),"Not Enough Data")</f>
        <v>-0.1269934486276382</v>
      </c>
      <c r="G464">
        <f>IF(VLOOKUP(A464,'Forecast Z Scores'!$A$1:$N$1541,14,FALSE)&gt;2,VLOOKUP(A464,'Forecast Z Scores'!$A$1:$N$1541,13,FALSE)/VLOOKUP(A464,'Forecast Z Scores'!$A$1:$N$1541,14,FALSE),"Not Enough Data")</f>
        <v>-0.15385890030141627</v>
      </c>
      <c r="H464">
        <v>-8.5325791076390184E-2</v>
      </c>
    </row>
    <row r="465" spans="1:8" x14ac:dyDescent="0.35">
      <c r="A465" t="str">
        <f t="shared" si="7"/>
        <v>18097340800_2027</v>
      </c>
      <c r="B465">
        <v>18097340800</v>
      </c>
      <c r="C465">
        <v>2027</v>
      </c>
      <c r="E465">
        <f>-(IF(VLOOKUP(B465,'2023 Z Scores'!$A$1:$K$309,11,FALSE)&gt;2,VLOOKUP(B465,'2023 Z Scores'!$A$1:$K$309,10,FALSE)/VLOOKUP(B465,'2023 Z Scores'!$A$1:$K$309,11,FALSE),"Not Enough data"))</f>
        <v>6.6542633251131952E-2</v>
      </c>
      <c r="F465">
        <f>IF(VLOOKUP(A465,'Delta Z Scores'!$A$1:$N$1541,14,FALSE)&gt;2,VLOOKUP(A465,'Delta Z Scores'!$A$1:$N$1541,13,FALSE)/VLOOKUP(A465,'Delta Z Scores'!$A$1:$N$1541,14,FALSE),"Not Enough Data")</f>
        <v>-4.8240801273148115E-2</v>
      </c>
      <c r="G465">
        <f>IF(VLOOKUP(A465,'Forecast Z Scores'!$A$1:$N$1541,14,FALSE)&gt;2,VLOOKUP(A465,'Forecast Z Scores'!$A$1:$N$1541,13,FALSE)/VLOOKUP(A465,'Forecast Z Scores'!$A$1:$N$1541,14,FALSE),"Not Enough Data")</f>
        <v>-0.14179471963125473</v>
      </c>
      <c r="H465">
        <v>-4.2933422231604748E-2</v>
      </c>
    </row>
    <row r="466" spans="1:8" x14ac:dyDescent="0.35">
      <c r="A466" t="str">
        <f t="shared" si="7"/>
        <v>18097340800_2028</v>
      </c>
      <c r="B466">
        <v>18097340800</v>
      </c>
      <c r="C466">
        <v>2028</v>
      </c>
      <c r="E466">
        <f>-(IF(VLOOKUP(B466,'2023 Z Scores'!$A$1:$K$309,11,FALSE)&gt;2,VLOOKUP(B466,'2023 Z Scores'!$A$1:$K$309,10,FALSE)/VLOOKUP(B466,'2023 Z Scores'!$A$1:$K$309,11,FALSE),"Not Enough data"))</f>
        <v>6.6542633251131952E-2</v>
      </c>
      <c r="F466">
        <f>IF(VLOOKUP(A466,'Delta Z Scores'!$A$1:$N$1541,14,FALSE)&gt;2,VLOOKUP(A466,'Delta Z Scores'!$A$1:$N$1541,13,FALSE)/VLOOKUP(A466,'Delta Z Scores'!$A$1:$N$1541,14,FALSE),"Not Enough Data")</f>
        <v>-0.16467484154246945</v>
      </c>
      <c r="G466">
        <f>IF(VLOOKUP(A466,'Forecast Z Scores'!$A$1:$N$1541,14,FALSE)&gt;2,VLOOKUP(A466,'Forecast Z Scores'!$A$1:$N$1541,13,FALSE)/VLOOKUP(A466,'Forecast Z Scores'!$A$1:$N$1541,14,FALSE),"Not Enough Data")</f>
        <v>-0.13071517240573785</v>
      </c>
      <c r="H466">
        <v>-9.8380555559886201E-2</v>
      </c>
    </row>
    <row r="467" spans="1:8" x14ac:dyDescent="0.35">
      <c r="A467" t="str">
        <f t="shared" si="7"/>
        <v>18097340901_2024</v>
      </c>
      <c r="B467">
        <v>18097340901</v>
      </c>
      <c r="C467">
        <v>2024</v>
      </c>
      <c r="E467">
        <f>-(IF(VLOOKUP(B467,'2023 Z Scores'!$A$1:$K$309,11,FALSE)&gt;2,VLOOKUP(B467,'2023 Z Scores'!$A$1:$K$309,10,FALSE)/VLOOKUP(B467,'2023 Z Scores'!$A$1:$K$309,11,FALSE),"Not Enough data"))</f>
        <v>7.8034895269270182E-2</v>
      </c>
      <c r="F467">
        <f>IF(VLOOKUP(A467,'Delta Z Scores'!$A$1:$N$1541,14,FALSE)&gt;2,VLOOKUP(A467,'Delta Z Scores'!$A$1:$N$1541,13,FALSE)/VLOOKUP(A467,'Delta Z Scores'!$A$1:$N$1541,14,FALSE),"Not Enough Data")</f>
        <v>-0.14090233037459951</v>
      </c>
      <c r="G467">
        <f>IF(VLOOKUP(A467,'Forecast Z Scores'!$A$1:$N$1541,14,FALSE)&gt;2,VLOOKUP(A467,'Forecast Z Scores'!$A$1:$N$1541,13,FALSE)/VLOOKUP(A467,'Forecast Z Scores'!$A$1:$N$1541,14,FALSE),"Not Enough Data")</f>
        <v>-7.8022171130615922E-2</v>
      </c>
      <c r="H467">
        <v>-7.0447984152636201E-2</v>
      </c>
    </row>
    <row r="468" spans="1:8" x14ac:dyDescent="0.35">
      <c r="A468" t="str">
        <f t="shared" si="7"/>
        <v>18097340901_2025</v>
      </c>
      <c r="B468">
        <v>18097340901</v>
      </c>
      <c r="C468">
        <v>2025</v>
      </c>
      <c r="E468">
        <f>-(IF(VLOOKUP(B468,'2023 Z Scores'!$A$1:$K$309,11,FALSE)&gt;2,VLOOKUP(B468,'2023 Z Scores'!$A$1:$K$309,10,FALSE)/VLOOKUP(B468,'2023 Z Scores'!$A$1:$K$309,11,FALSE),"Not Enough data"))</f>
        <v>7.8034895269270182E-2</v>
      </c>
      <c r="F468">
        <f>IF(VLOOKUP(A468,'Delta Z Scores'!$A$1:$N$1541,14,FALSE)&gt;2,VLOOKUP(A468,'Delta Z Scores'!$A$1:$N$1541,13,FALSE)/VLOOKUP(A468,'Delta Z Scores'!$A$1:$N$1541,14,FALSE),"Not Enough Data")</f>
        <v>-0.23336122730026296</v>
      </c>
      <c r="G468">
        <f>IF(VLOOKUP(A468,'Forecast Z Scores'!$A$1:$N$1541,14,FALSE)&gt;2,VLOOKUP(A468,'Forecast Z Scores'!$A$1:$N$1541,13,FALSE)/VLOOKUP(A468,'Forecast Z Scores'!$A$1:$N$1541,14,FALSE),"Not Enough Data")</f>
        <v>-0.12233639977023307</v>
      </c>
      <c r="H468">
        <v>-0.1277559897753722</v>
      </c>
    </row>
    <row r="469" spans="1:8" x14ac:dyDescent="0.35">
      <c r="A469" t="str">
        <f t="shared" si="7"/>
        <v>18097340901_2026</v>
      </c>
      <c r="B469">
        <v>18097340901</v>
      </c>
      <c r="C469">
        <v>2026</v>
      </c>
      <c r="E469">
        <f>-(IF(VLOOKUP(B469,'2023 Z Scores'!$A$1:$K$309,11,FALSE)&gt;2,VLOOKUP(B469,'2023 Z Scores'!$A$1:$K$309,10,FALSE)/VLOOKUP(B469,'2023 Z Scores'!$A$1:$K$309,11,FALSE),"Not Enough data"))</f>
        <v>7.8034895269270182E-2</v>
      </c>
      <c r="F469">
        <f>IF(VLOOKUP(A469,'Delta Z Scores'!$A$1:$N$1541,14,FALSE)&gt;2,VLOOKUP(A469,'Delta Z Scores'!$A$1:$N$1541,13,FALSE)/VLOOKUP(A469,'Delta Z Scores'!$A$1:$N$1541,14,FALSE),"Not Enough Data")</f>
        <v>0.1649110271926417</v>
      </c>
      <c r="G469">
        <f>IF(VLOOKUP(A469,'Forecast Z Scores'!$A$1:$N$1541,14,FALSE)&gt;2,VLOOKUP(A469,'Forecast Z Scores'!$A$1:$N$1541,13,FALSE)/VLOOKUP(A469,'Forecast Z Scores'!$A$1:$N$1541,14,FALSE),"Not Enough Data")</f>
        <v>-0.10640688335931626</v>
      </c>
      <c r="H469">
        <v>7.5362516573809324E-2</v>
      </c>
    </row>
    <row r="470" spans="1:8" x14ac:dyDescent="0.35">
      <c r="A470" t="str">
        <f t="shared" si="7"/>
        <v>18097340901_2027</v>
      </c>
      <c r="B470">
        <v>18097340901</v>
      </c>
      <c r="C470">
        <v>2027</v>
      </c>
      <c r="E470">
        <f>-(IF(VLOOKUP(B470,'2023 Z Scores'!$A$1:$K$309,11,FALSE)&gt;2,VLOOKUP(B470,'2023 Z Scores'!$A$1:$K$309,10,FALSE)/VLOOKUP(B470,'2023 Z Scores'!$A$1:$K$309,11,FALSE),"Not Enough data"))</f>
        <v>7.8034895269270182E-2</v>
      </c>
      <c r="F470">
        <f>IF(VLOOKUP(A470,'Delta Z Scores'!$A$1:$N$1541,14,FALSE)&gt;2,VLOOKUP(A470,'Delta Z Scores'!$A$1:$N$1541,13,FALSE)/VLOOKUP(A470,'Delta Z Scores'!$A$1:$N$1541,14,FALSE),"Not Enough Data")</f>
        <v>-0.15723777135258016</v>
      </c>
      <c r="G470">
        <f>IF(VLOOKUP(A470,'Forecast Z Scores'!$A$1:$N$1541,14,FALSE)&gt;2,VLOOKUP(A470,'Forecast Z Scores'!$A$1:$N$1541,13,FALSE)/VLOOKUP(A470,'Forecast Z Scores'!$A$1:$N$1541,14,FALSE),"Not Enough Data")</f>
        <v>-0.14210505328369621</v>
      </c>
      <c r="H470">
        <v>-9.4636425179896594E-2</v>
      </c>
    </row>
    <row r="471" spans="1:8" x14ac:dyDescent="0.35">
      <c r="A471" t="str">
        <f t="shared" si="7"/>
        <v>18097340901_2028</v>
      </c>
      <c r="B471">
        <v>18097340901</v>
      </c>
      <c r="C471">
        <v>2028</v>
      </c>
      <c r="E471">
        <f>-(IF(VLOOKUP(B471,'2023 Z Scores'!$A$1:$K$309,11,FALSE)&gt;2,VLOOKUP(B471,'2023 Z Scores'!$A$1:$K$309,10,FALSE)/VLOOKUP(B471,'2023 Z Scores'!$A$1:$K$309,11,FALSE),"Not Enough data"))</f>
        <v>7.8034895269270182E-2</v>
      </c>
      <c r="F471">
        <f>IF(VLOOKUP(A471,'Delta Z Scores'!$A$1:$N$1541,14,FALSE)&gt;2,VLOOKUP(A471,'Delta Z Scores'!$A$1:$N$1541,13,FALSE)/VLOOKUP(A471,'Delta Z Scores'!$A$1:$N$1541,14,FALSE),"Not Enough Data")</f>
        <v>0.25405421098169839</v>
      </c>
      <c r="G471">
        <f>IF(VLOOKUP(A471,'Forecast Z Scores'!$A$1:$N$1541,14,FALSE)&gt;2,VLOOKUP(A471,'Forecast Z Scores'!$A$1:$N$1541,13,FALSE)/VLOOKUP(A471,'Forecast Z Scores'!$A$1:$N$1541,14,FALSE),"Not Enough Data")</f>
        <v>-0.13449095734503172</v>
      </c>
      <c r="H471">
        <v>0.11291308997190883</v>
      </c>
    </row>
    <row r="472" spans="1:8" x14ac:dyDescent="0.35">
      <c r="A472" t="str">
        <f t="shared" si="7"/>
        <v>18097340903_2024</v>
      </c>
      <c r="B472">
        <v>18097340903</v>
      </c>
      <c r="C472">
        <v>2024</v>
      </c>
      <c r="E472">
        <f>-(IF(VLOOKUP(B472,'2023 Z Scores'!$A$1:$K$309,11,FALSE)&gt;2,VLOOKUP(B472,'2023 Z Scores'!$A$1:$K$309,10,FALSE)/VLOOKUP(B472,'2023 Z Scores'!$A$1:$K$309,11,FALSE),"Not Enough data"))</f>
        <v>0.22482791096483329</v>
      </c>
      <c r="F472">
        <f>IF(VLOOKUP(A472,'Delta Z Scores'!$A$1:$N$1541,14,FALSE)&gt;2,VLOOKUP(A472,'Delta Z Scores'!$A$1:$N$1541,13,FALSE)/VLOOKUP(A472,'Delta Z Scores'!$A$1:$N$1541,14,FALSE),"Not Enough Data")</f>
        <v>0.27194933289158357</v>
      </c>
      <c r="G472">
        <f>IF(VLOOKUP(A472,'Forecast Z Scores'!$A$1:$N$1541,14,FALSE)&gt;2,VLOOKUP(A472,'Forecast Z Scores'!$A$1:$N$1541,13,FALSE)/VLOOKUP(A472,'Forecast Z Scores'!$A$1:$N$1541,14,FALSE),"Not Enough Data")</f>
        <v>-0.15173682943001093</v>
      </c>
      <c r="H472">
        <v>0.15424743682949738</v>
      </c>
    </row>
    <row r="473" spans="1:8" x14ac:dyDescent="0.35">
      <c r="A473" t="str">
        <f t="shared" si="7"/>
        <v>18097340903_2025</v>
      </c>
      <c r="B473">
        <v>18097340903</v>
      </c>
      <c r="C473">
        <v>2025</v>
      </c>
      <c r="E473">
        <f>-(IF(VLOOKUP(B473,'2023 Z Scores'!$A$1:$K$309,11,FALSE)&gt;2,VLOOKUP(B473,'2023 Z Scores'!$A$1:$K$309,10,FALSE)/VLOOKUP(B473,'2023 Z Scores'!$A$1:$K$309,11,FALSE),"Not Enough data"))</f>
        <v>0.22482791096483329</v>
      </c>
      <c r="F473">
        <f>IF(VLOOKUP(A473,'Delta Z Scores'!$A$1:$N$1541,14,FALSE)&gt;2,VLOOKUP(A473,'Delta Z Scores'!$A$1:$N$1541,13,FALSE)/VLOOKUP(A473,'Delta Z Scores'!$A$1:$N$1541,14,FALSE),"Not Enough Data")</f>
        <v>9.3748393157821713E-2</v>
      </c>
      <c r="G473">
        <f>IF(VLOOKUP(A473,'Forecast Z Scores'!$A$1:$N$1541,14,FALSE)&gt;2,VLOOKUP(A473,'Forecast Z Scores'!$A$1:$N$1541,13,FALSE)/VLOOKUP(A473,'Forecast Z Scores'!$A$1:$N$1541,14,FALSE),"Not Enough Data")</f>
        <v>-6.1562845177740591E-2</v>
      </c>
      <c r="H473">
        <v>8.7690463025684035E-2</v>
      </c>
    </row>
    <row r="474" spans="1:8" x14ac:dyDescent="0.35">
      <c r="A474" t="str">
        <f t="shared" si="7"/>
        <v>18097340903_2026</v>
      </c>
      <c r="B474">
        <v>18097340903</v>
      </c>
      <c r="C474">
        <v>2026</v>
      </c>
      <c r="E474">
        <f>-(IF(VLOOKUP(B474,'2023 Z Scores'!$A$1:$K$309,11,FALSE)&gt;2,VLOOKUP(B474,'2023 Z Scores'!$A$1:$K$309,10,FALSE)/VLOOKUP(B474,'2023 Z Scores'!$A$1:$K$309,11,FALSE),"Not Enough data"))</f>
        <v>0.22482791096483329</v>
      </c>
      <c r="F474">
        <f>IF(VLOOKUP(A474,'Delta Z Scores'!$A$1:$N$1541,14,FALSE)&gt;2,VLOOKUP(A474,'Delta Z Scores'!$A$1:$N$1541,13,FALSE)/VLOOKUP(A474,'Delta Z Scores'!$A$1:$N$1541,14,FALSE),"Not Enough Data")</f>
        <v>-0.16974288181357433</v>
      </c>
      <c r="G474">
        <f>IF(VLOOKUP(A474,'Forecast Z Scores'!$A$1:$N$1541,14,FALSE)&gt;2,VLOOKUP(A474,'Forecast Z Scores'!$A$1:$N$1541,13,FALSE)/VLOOKUP(A474,'Forecast Z Scores'!$A$1:$N$1541,14,FALSE),"Not Enough Data")</f>
        <v>3.2526406399534011E-2</v>
      </c>
      <c r="H474">
        <v>-2.0532861565695337E-2</v>
      </c>
    </row>
    <row r="475" spans="1:8" x14ac:dyDescent="0.35">
      <c r="A475" t="str">
        <f t="shared" si="7"/>
        <v>18097340903_2027</v>
      </c>
      <c r="B475">
        <v>18097340903</v>
      </c>
      <c r="C475">
        <v>2027</v>
      </c>
      <c r="E475">
        <f>-(IF(VLOOKUP(B475,'2023 Z Scores'!$A$1:$K$309,11,FALSE)&gt;2,VLOOKUP(B475,'2023 Z Scores'!$A$1:$K$309,10,FALSE)/VLOOKUP(B475,'2023 Z Scores'!$A$1:$K$309,11,FALSE),"Not Enough data"))</f>
        <v>0.22482791096483329</v>
      </c>
      <c r="F475">
        <f>IF(VLOOKUP(A475,'Delta Z Scores'!$A$1:$N$1541,14,FALSE)&gt;2,VLOOKUP(A475,'Delta Z Scores'!$A$1:$N$1541,13,FALSE)/VLOOKUP(A475,'Delta Z Scores'!$A$1:$N$1541,14,FALSE),"Not Enough Data")</f>
        <v>6.3268397901358603E-2</v>
      </c>
      <c r="G475">
        <f>IF(VLOOKUP(A475,'Forecast Z Scores'!$A$1:$N$1541,14,FALSE)&gt;2,VLOOKUP(A475,'Forecast Z Scores'!$A$1:$N$1541,13,FALSE)/VLOOKUP(A475,'Forecast Z Scores'!$A$1:$N$1541,14,FALSE),"Not Enough Data")</f>
        <v>0.13006249095315381</v>
      </c>
      <c r="H475">
        <v>0.12035679943017608</v>
      </c>
    </row>
    <row r="476" spans="1:8" x14ac:dyDescent="0.35">
      <c r="A476" t="str">
        <f t="shared" si="7"/>
        <v>18097340903_2028</v>
      </c>
      <c r="B476">
        <v>18097340903</v>
      </c>
      <c r="C476">
        <v>2028</v>
      </c>
      <c r="E476">
        <f>-(IF(VLOOKUP(B476,'2023 Z Scores'!$A$1:$K$309,11,FALSE)&gt;2,VLOOKUP(B476,'2023 Z Scores'!$A$1:$K$309,10,FALSE)/VLOOKUP(B476,'2023 Z Scores'!$A$1:$K$309,11,FALSE),"Not Enough data"))</f>
        <v>0.22482791096483329</v>
      </c>
      <c r="F476">
        <f>IF(VLOOKUP(A476,'Delta Z Scores'!$A$1:$N$1541,14,FALSE)&gt;2,VLOOKUP(A476,'Delta Z Scores'!$A$1:$N$1541,13,FALSE)/VLOOKUP(A476,'Delta Z Scores'!$A$1:$N$1541,14,FALSE),"Not Enough Data")</f>
        <v>-7.7806581795699478E-2</v>
      </c>
      <c r="G476">
        <f>IF(VLOOKUP(A476,'Forecast Z Scores'!$A$1:$N$1541,14,FALSE)&gt;2,VLOOKUP(A476,'Forecast Z Scores'!$A$1:$N$1541,13,FALSE)/VLOOKUP(A476,'Forecast Z Scores'!$A$1:$N$1541,14,FALSE),"Not Enough Data")</f>
        <v>0.24152194803649304</v>
      </c>
      <c r="H476">
        <v>7.7684173852481844E-2</v>
      </c>
    </row>
    <row r="477" spans="1:8" x14ac:dyDescent="0.35">
      <c r="A477" t="str">
        <f t="shared" si="7"/>
        <v>18097340904_2024</v>
      </c>
      <c r="B477">
        <v>18097340904</v>
      </c>
      <c r="C477">
        <v>2024</v>
      </c>
      <c r="E477">
        <f>-(IF(VLOOKUP(B477,'2023 Z Scores'!$A$1:$K$309,11,FALSE)&gt;2,VLOOKUP(B477,'2023 Z Scores'!$A$1:$K$309,10,FALSE)/VLOOKUP(B477,'2023 Z Scores'!$A$1:$K$309,11,FALSE),"Not Enough data"))</f>
        <v>0.21441863379975068</v>
      </c>
      <c r="F477">
        <f>IF(VLOOKUP(A477,'Delta Z Scores'!$A$1:$N$1541,14,FALSE)&gt;2,VLOOKUP(A477,'Delta Z Scores'!$A$1:$N$1541,13,FALSE)/VLOOKUP(A477,'Delta Z Scores'!$A$1:$N$1541,14,FALSE),"Not Enough Data")</f>
        <v>1.2390612805476851E-2</v>
      </c>
      <c r="G477">
        <f>IF(VLOOKUP(A477,'Forecast Z Scores'!$A$1:$N$1541,14,FALSE)&gt;2,VLOOKUP(A477,'Forecast Z Scores'!$A$1:$N$1541,13,FALSE)/VLOOKUP(A477,'Forecast Z Scores'!$A$1:$N$1541,14,FALSE),"Not Enough Data")</f>
        <v>-0.14687371467821045</v>
      </c>
      <c r="H477">
        <v>2.3081536183123481E-2</v>
      </c>
    </row>
    <row r="478" spans="1:8" x14ac:dyDescent="0.35">
      <c r="A478" t="str">
        <f t="shared" si="7"/>
        <v>18097340904_2025</v>
      </c>
      <c r="B478">
        <v>18097340904</v>
      </c>
      <c r="C478">
        <v>2025</v>
      </c>
      <c r="E478">
        <f>-(IF(VLOOKUP(B478,'2023 Z Scores'!$A$1:$K$309,11,FALSE)&gt;2,VLOOKUP(B478,'2023 Z Scores'!$A$1:$K$309,10,FALSE)/VLOOKUP(B478,'2023 Z Scores'!$A$1:$K$309,11,FALSE),"Not Enough data"))</f>
        <v>0.21441863379975068</v>
      </c>
      <c r="F478">
        <f>IF(VLOOKUP(A478,'Delta Z Scores'!$A$1:$N$1541,14,FALSE)&gt;2,VLOOKUP(A478,'Delta Z Scores'!$A$1:$N$1541,13,FALSE)/VLOOKUP(A478,'Delta Z Scores'!$A$1:$N$1541,14,FALSE),"Not Enough Data")</f>
        <v>-9.9516381714996785E-2</v>
      </c>
      <c r="G478">
        <f>IF(VLOOKUP(A478,'Forecast Z Scores'!$A$1:$N$1541,14,FALSE)&gt;2,VLOOKUP(A478,'Forecast Z Scores'!$A$1:$N$1541,13,FALSE)/VLOOKUP(A478,'Forecast Z Scores'!$A$1:$N$1541,14,FALSE),"Not Enough Data")</f>
        <v>-0.14366494162897106</v>
      </c>
      <c r="H478">
        <v>-3.2069767814803488E-2</v>
      </c>
    </row>
    <row r="479" spans="1:8" x14ac:dyDescent="0.35">
      <c r="A479" t="str">
        <f t="shared" si="7"/>
        <v>18097340904_2026</v>
      </c>
      <c r="B479">
        <v>18097340904</v>
      </c>
      <c r="C479">
        <v>2026</v>
      </c>
      <c r="E479">
        <f>-(IF(VLOOKUP(B479,'2023 Z Scores'!$A$1:$K$309,11,FALSE)&gt;2,VLOOKUP(B479,'2023 Z Scores'!$A$1:$K$309,10,FALSE)/VLOOKUP(B479,'2023 Z Scores'!$A$1:$K$309,11,FALSE),"Not Enough data"))</f>
        <v>0.21441863379975068</v>
      </c>
      <c r="F479">
        <f>IF(VLOOKUP(A479,'Delta Z Scores'!$A$1:$N$1541,14,FALSE)&gt;2,VLOOKUP(A479,'Delta Z Scores'!$A$1:$N$1541,13,FALSE)/VLOOKUP(A479,'Delta Z Scores'!$A$1:$N$1541,14,FALSE),"Not Enough Data")</f>
        <v>-0.28558305190797112</v>
      </c>
      <c r="G479">
        <f>IF(VLOOKUP(A479,'Forecast Z Scores'!$A$1:$N$1541,14,FALSE)&gt;2,VLOOKUP(A479,'Forecast Z Scores'!$A$1:$N$1541,13,FALSE)/VLOOKUP(A479,'Forecast Z Scores'!$A$1:$N$1541,14,FALSE),"Not Enough Data")</f>
        <v>-0.16766682034114705</v>
      </c>
      <c r="H479">
        <v>-0.13110357258933464</v>
      </c>
    </row>
    <row r="480" spans="1:8" x14ac:dyDescent="0.35">
      <c r="A480" t="str">
        <f t="shared" si="7"/>
        <v>18097340904_2027</v>
      </c>
      <c r="B480">
        <v>18097340904</v>
      </c>
      <c r="C480">
        <v>2027</v>
      </c>
      <c r="E480">
        <f>-(IF(VLOOKUP(B480,'2023 Z Scores'!$A$1:$K$309,11,FALSE)&gt;2,VLOOKUP(B480,'2023 Z Scores'!$A$1:$K$309,10,FALSE)/VLOOKUP(B480,'2023 Z Scores'!$A$1:$K$309,11,FALSE),"Not Enough data"))</f>
        <v>0.21441863379975068</v>
      </c>
      <c r="F480">
        <f>IF(VLOOKUP(A480,'Delta Z Scores'!$A$1:$N$1541,14,FALSE)&gt;2,VLOOKUP(A480,'Delta Z Scores'!$A$1:$N$1541,13,FALSE)/VLOOKUP(A480,'Delta Z Scores'!$A$1:$N$1541,14,FALSE),"Not Enough Data")</f>
        <v>-5.6982304186066722E-2</v>
      </c>
      <c r="G480">
        <f>IF(VLOOKUP(A480,'Forecast Z Scores'!$A$1:$N$1541,14,FALSE)&gt;2,VLOOKUP(A480,'Forecast Z Scores'!$A$1:$N$1541,13,FALSE)/VLOOKUP(A480,'Forecast Z Scores'!$A$1:$N$1541,14,FALSE),"Not Enough Data")</f>
        <v>-0.16008421355996244</v>
      </c>
      <c r="H480">
        <v>-1.4907547033086305E-2</v>
      </c>
    </row>
    <row r="481" spans="1:8" x14ac:dyDescent="0.35">
      <c r="A481" t="str">
        <f t="shared" si="7"/>
        <v>18097340904_2028</v>
      </c>
      <c r="B481">
        <v>18097340904</v>
      </c>
      <c r="C481">
        <v>2028</v>
      </c>
      <c r="E481">
        <f>-(IF(VLOOKUP(B481,'2023 Z Scores'!$A$1:$K$309,11,FALSE)&gt;2,VLOOKUP(B481,'2023 Z Scores'!$A$1:$K$309,10,FALSE)/VLOOKUP(B481,'2023 Z Scores'!$A$1:$K$309,11,FALSE),"Not Enough data"))</f>
        <v>0.21441863379975068</v>
      </c>
      <c r="F481">
        <f>IF(VLOOKUP(A481,'Delta Z Scores'!$A$1:$N$1541,14,FALSE)&gt;2,VLOOKUP(A481,'Delta Z Scores'!$A$1:$N$1541,13,FALSE)/VLOOKUP(A481,'Delta Z Scores'!$A$1:$N$1541,14,FALSE),"Not Enough Data")</f>
        <v>-0.20971908632398484</v>
      </c>
      <c r="G481">
        <f>IF(VLOOKUP(A481,'Forecast Z Scores'!$A$1:$N$1541,14,FALSE)&gt;2,VLOOKUP(A481,'Forecast Z Scores'!$A$1:$N$1541,13,FALSE)/VLOOKUP(A481,'Forecast Z Scores'!$A$1:$N$1541,14,FALSE),"Not Enough Data")</f>
        <v>-0.1768192865396698</v>
      </c>
      <c r="H481">
        <v>-9.5459706346972206E-2</v>
      </c>
    </row>
    <row r="482" spans="1:8" x14ac:dyDescent="0.35">
      <c r="A482" t="str">
        <f t="shared" si="7"/>
        <v>18097341000_2024</v>
      </c>
      <c r="B482">
        <v>18097341000</v>
      </c>
      <c r="C482">
        <v>2024</v>
      </c>
      <c r="E482">
        <f>-(IF(VLOOKUP(B482,'2023 Z Scores'!$A$1:$K$309,11,FALSE)&gt;2,VLOOKUP(B482,'2023 Z Scores'!$A$1:$K$309,10,FALSE)/VLOOKUP(B482,'2023 Z Scores'!$A$1:$K$309,11,FALSE),"Not Enough data"))</f>
        <v>-0.18406456294557735</v>
      </c>
      <c r="F482">
        <f>IF(VLOOKUP(A482,'Delta Z Scores'!$A$1:$N$1541,14,FALSE)&gt;2,VLOOKUP(A482,'Delta Z Scores'!$A$1:$N$1541,13,FALSE)/VLOOKUP(A482,'Delta Z Scores'!$A$1:$N$1541,14,FALSE),"Not Enough Data")</f>
        <v>-0.20832747789665224</v>
      </c>
      <c r="G482">
        <f>IF(VLOOKUP(A482,'Forecast Z Scores'!$A$1:$N$1541,14,FALSE)&gt;2,VLOOKUP(A482,'Forecast Z Scores'!$A$1:$N$1541,13,FALSE)/VLOOKUP(A482,'Forecast Z Scores'!$A$1:$N$1541,14,FALSE),"Not Enough Data")</f>
        <v>3.7322999519048237E-2</v>
      </c>
      <c r="H482">
        <v>-0.1408491298049584</v>
      </c>
    </row>
    <row r="483" spans="1:8" x14ac:dyDescent="0.35">
      <c r="A483" t="str">
        <f t="shared" si="7"/>
        <v>18097341000_2025</v>
      </c>
      <c r="B483">
        <v>18097341000</v>
      </c>
      <c r="C483">
        <v>2025</v>
      </c>
      <c r="E483">
        <f>-(IF(VLOOKUP(B483,'2023 Z Scores'!$A$1:$K$309,11,FALSE)&gt;2,VLOOKUP(B483,'2023 Z Scores'!$A$1:$K$309,10,FALSE)/VLOOKUP(B483,'2023 Z Scores'!$A$1:$K$309,11,FALSE),"Not Enough data"))</f>
        <v>-0.18406456294557735</v>
      </c>
      <c r="F483">
        <f>IF(VLOOKUP(A483,'Delta Z Scores'!$A$1:$N$1541,14,FALSE)&gt;2,VLOOKUP(A483,'Delta Z Scores'!$A$1:$N$1541,13,FALSE)/VLOOKUP(A483,'Delta Z Scores'!$A$1:$N$1541,14,FALSE),"Not Enough Data")</f>
        <v>4.1119896183376539E-2</v>
      </c>
      <c r="G483">
        <f>IF(VLOOKUP(A483,'Forecast Z Scores'!$A$1:$N$1541,14,FALSE)&gt;2,VLOOKUP(A483,'Forecast Z Scores'!$A$1:$N$1541,13,FALSE)/VLOOKUP(A483,'Forecast Z Scores'!$A$1:$N$1541,14,FALSE),"Not Enough Data")</f>
        <v>5.3863759165986291E-2</v>
      </c>
      <c r="H483">
        <v>-1.1990252853209496E-2</v>
      </c>
    </row>
    <row r="484" spans="1:8" x14ac:dyDescent="0.35">
      <c r="A484" t="str">
        <f t="shared" si="7"/>
        <v>18097341000_2026</v>
      </c>
      <c r="B484">
        <v>18097341000</v>
      </c>
      <c r="C484">
        <v>2026</v>
      </c>
      <c r="E484">
        <f>-(IF(VLOOKUP(B484,'2023 Z Scores'!$A$1:$K$309,11,FALSE)&gt;2,VLOOKUP(B484,'2023 Z Scores'!$A$1:$K$309,10,FALSE)/VLOOKUP(B484,'2023 Z Scores'!$A$1:$K$309,11,FALSE),"Not Enough data"))</f>
        <v>-0.18406456294557735</v>
      </c>
      <c r="F484">
        <f>IF(VLOOKUP(A484,'Delta Z Scores'!$A$1:$N$1541,14,FALSE)&gt;2,VLOOKUP(A484,'Delta Z Scores'!$A$1:$N$1541,13,FALSE)/VLOOKUP(A484,'Delta Z Scores'!$A$1:$N$1541,14,FALSE),"Not Enough Data")</f>
        <v>-0.60893763212666641</v>
      </c>
      <c r="G484">
        <f>IF(VLOOKUP(A484,'Forecast Z Scores'!$A$1:$N$1541,14,FALSE)&gt;2,VLOOKUP(A484,'Forecast Z Scores'!$A$1:$N$1541,13,FALSE)/VLOOKUP(A484,'Forecast Z Scores'!$A$1:$N$1541,14,FALSE),"Not Enough Data")</f>
        <v>1.4474329209937995E-2</v>
      </c>
      <c r="H484">
        <v>-0.346866374497243</v>
      </c>
    </row>
    <row r="485" spans="1:8" x14ac:dyDescent="0.35">
      <c r="A485" t="str">
        <f t="shared" si="7"/>
        <v>18097341000_2027</v>
      </c>
      <c r="B485">
        <v>18097341000</v>
      </c>
      <c r="C485">
        <v>2027</v>
      </c>
      <c r="E485">
        <f>-(IF(VLOOKUP(B485,'2023 Z Scores'!$A$1:$K$309,11,FALSE)&gt;2,VLOOKUP(B485,'2023 Z Scores'!$A$1:$K$309,10,FALSE)/VLOOKUP(B485,'2023 Z Scores'!$A$1:$K$309,11,FALSE),"Not Enough data"))</f>
        <v>-0.18406456294557735</v>
      </c>
      <c r="F485">
        <f>IF(VLOOKUP(A485,'Delta Z Scores'!$A$1:$N$1541,14,FALSE)&gt;2,VLOOKUP(A485,'Delta Z Scores'!$A$1:$N$1541,13,FALSE)/VLOOKUP(A485,'Delta Z Scores'!$A$1:$N$1541,14,FALSE),"Not Enough Data")</f>
        <v>-0.1006932168322235</v>
      </c>
      <c r="G485">
        <f>IF(VLOOKUP(A485,'Forecast Z Scores'!$A$1:$N$1541,14,FALSE)&gt;2,VLOOKUP(A485,'Forecast Z Scores'!$A$1:$N$1541,13,FALSE)/VLOOKUP(A485,'Forecast Z Scores'!$A$1:$N$1541,14,FALSE),"Not Enough Data")</f>
        <v>1.9128794973978791E-2</v>
      </c>
      <c r="H485">
        <v>-9.1580550409011391E-2</v>
      </c>
    </row>
    <row r="486" spans="1:8" x14ac:dyDescent="0.35">
      <c r="A486" t="str">
        <f t="shared" si="7"/>
        <v>18097341000_2028</v>
      </c>
      <c r="B486">
        <v>18097341000</v>
      </c>
      <c r="C486">
        <v>2028</v>
      </c>
      <c r="E486">
        <f>-(IF(VLOOKUP(B486,'2023 Z Scores'!$A$1:$K$309,11,FALSE)&gt;2,VLOOKUP(B486,'2023 Z Scores'!$A$1:$K$309,10,FALSE)/VLOOKUP(B486,'2023 Z Scores'!$A$1:$K$309,11,FALSE),"Not Enough data"))</f>
        <v>-0.18406456294557735</v>
      </c>
      <c r="F486">
        <f>IF(VLOOKUP(A486,'Delta Z Scores'!$A$1:$N$1541,14,FALSE)&gt;2,VLOOKUP(A486,'Delta Z Scores'!$A$1:$N$1541,13,FALSE)/VLOOKUP(A486,'Delta Z Scores'!$A$1:$N$1541,14,FALSE),"Not Enough Data")</f>
        <v>-3.2720155131363407E-2</v>
      </c>
      <c r="G486">
        <f>IF(VLOOKUP(A486,'Forecast Z Scores'!$A$1:$N$1541,14,FALSE)&gt;2,VLOOKUP(A486,'Forecast Z Scores'!$A$1:$N$1541,13,FALSE)/VLOOKUP(A486,'Forecast Z Scores'!$A$1:$N$1541,14,FALSE),"Not Enough Data")</f>
        <v>4.4747023017290492E-2</v>
      </c>
      <c r="H486">
        <v>-5.1189462547753417E-2</v>
      </c>
    </row>
    <row r="487" spans="1:8" x14ac:dyDescent="0.35">
      <c r="A487" t="str">
        <f t="shared" si="7"/>
        <v>18097341100_2024</v>
      </c>
      <c r="B487">
        <v>18097341100</v>
      </c>
      <c r="C487">
        <v>2024</v>
      </c>
      <c r="E487">
        <f>-(IF(VLOOKUP(B487,'2023 Z Scores'!$A$1:$K$309,11,FALSE)&gt;2,VLOOKUP(B487,'2023 Z Scores'!$A$1:$K$309,10,FALSE)/VLOOKUP(B487,'2023 Z Scores'!$A$1:$K$309,11,FALSE),"Not Enough data"))</f>
        <v>0.83032566883155567</v>
      </c>
      <c r="F487">
        <f>IF(VLOOKUP(A487,'Delta Z Scores'!$A$1:$N$1541,14,FALSE)&gt;2,VLOOKUP(A487,'Delta Z Scores'!$A$1:$N$1541,13,FALSE)/VLOOKUP(A487,'Delta Z Scores'!$A$1:$N$1541,14,FALSE),"Not Enough Data")</f>
        <v>0.16391373236643281</v>
      </c>
      <c r="G487">
        <f>IF(VLOOKUP(A487,'Forecast Z Scores'!$A$1:$N$1541,14,FALSE)&gt;2,VLOOKUP(A487,'Forecast Z Scores'!$A$1:$N$1541,13,FALSE)/VLOOKUP(A487,'Forecast Z Scores'!$A$1:$N$1541,14,FALSE),"Not Enough Data")</f>
        <v>-0.74906409538502883</v>
      </c>
      <c r="H487">
        <v>0.10227225954484812</v>
      </c>
    </row>
    <row r="488" spans="1:8" x14ac:dyDescent="0.35">
      <c r="A488" t="str">
        <f t="shared" si="7"/>
        <v>18097341100_2025</v>
      </c>
      <c r="B488">
        <v>18097341100</v>
      </c>
      <c r="C488">
        <v>2025</v>
      </c>
      <c r="E488">
        <f>-(IF(VLOOKUP(B488,'2023 Z Scores'!$A$1:$K$309,11,FALSE)&gt;2,VLOOKUP(B488,'2023 Z Scores'!$A$1:$K$309,10,FALSE)/VLOOKUP(B488,'2023 Z Scores'!$A$1:$K$309,11,FALSE),"Not Enough data"))</f>
        <v>0.83032566883155567</v>
      </c>
      <c r="F488">
        <f>IF(VLOOKUP(A488,'Delta Z Scores'!$A$1:$N$1541,14,FALSE)&gt;2,VLOOKUP(A488,'Delta Z Scores'!$A$1:$N$1541,13,FALSE)/VLOOKUP(A488,'Delta Z Scores'!$A$1:$N$1541,14,FALSE),"Not Enough Data")</f>
        <v>0.35336235734833699</v>
      </c>
      <c r="G488">
        <f>IF(VLOOKUP(A488,'Forecast Z Scores'!$A$1:$N$1541,14,FALSE)&gt;2,VLOOKUP(A488,'Forecast Z Scores'!$A$1:$N$1541,13,FALSE)/VLOOKUP(A488,'Forecast Z Scores'!$A$1:$N$1541,14,FALSE),"Not Enough Data")</f>
        <v>-0.70008563660497114</v>
      </c>
      <c r="H488">
        <v>0.20924118673081463</v>
      </c>
    </row>
    <row r="489" spans="1:8" x14ac:dyDescent="0.35">
      <c r="A489" t="str">
        <f t="shared" si="7"/>
        <v>18097341100_2026</v>
      </c>
      <c r="B489">
        <v>18097341100</v>
      </c>
      <c r="C489">
        <v>2026</v>
      </c>
      <c r="E489">
        <f>-(IF(VLOOKUP(B489,'2023 Z Scores'!$A$1:$K$309,11,FALSE)&gt;2,VLOOKUP(B489,'2023 Z Scores'!$A$1:$K$309,10,FALSE)/VLOOKUP(B489,'2023 Z Scores'!$A$1:$K$309,11,FALSE),"Not Enough data"))</f>
        <v>0.83032566883155567</v>
      </c>
      <c r="F489">
        <f>IF(VLOOKUP(A489,'Delta Z Scores'!$A$1:$N$1541,14,FALSE)&gt;2,VLOOKUP(A489,'Delta Z Scores'!$A$1:$N$1541,13,FALSE)/VLOOKUP(A489,'Delta Z Scores'!$A$1:$N$1541,14,FALSE),"Not Enough Data")</f>
        <v>-9.3882780922249533E-3</v>
      </c>
      <c r="G489">
        <f>IF(VLOOKUP(A489,'Forecast Z Scores'!$A$1:$N$1541,14,FALSE)&gt;2,VLOOKUP(A489,'Forecast Z Scores'!$A$1:$N$1541,13,FALSE)/VLOOKUP(A489,'Forecast Z Scores'!$A$1:$N$1541,14,FALSE),"Not Enough Data")</f>
        <v>-0.7284858113871624</v>
      </c>
      <c r="H489">
        <v>2.0765825314985831E-2</v>
      </c>
    </row>
    <row r="490" spans="1:8" x14ac:dyDescent="0.35">
      <c r="A490" t="str">
        <f t="shared" si="7"/>
        <v>18097341100_2027</v>
      </c>
      <c r="B490">
        <v>18097341100</v>
      </c>
      <c r="C490">
        <v>2027</v>
      </c>
      <c r="E490">
        <f>-(IF(VLOOKUP(B490,'2023 Z Scores'!$A$1:$K$309,11,FALSE)&gt;2,VLOOKUP(B490,'2023 Z Scores'!$A$1:$K$309,10,FALSE)/VLOOKUP(B490,'2023 Z Scores'!$A$1:$K$309,11,FALSE),"Not Enough data"))</f>
        <v>0.83032566883155567</v>
      </c>
      <c r="F490">
        <f>IF(VLOOKUP(A490,'Delta Z Scores'!$A$1:$N$1541,14,FALSE)&gt;2,VLOOKUP(A490,'Delta Z Scores'!$A$1:$N$1541,13,FALSE)/VLOOKUP(A490,'Delta Z Scores'!$A$1:$N$1541,14,FALSE),"Not Enough Data")</f>
        <v>0.23398246044875382</v>
      </c>
      <c r="G490">
        <f>IF(VLOOKUP(A490,'Forecast Z Scores'!$A$1:$N$1541,14,FALSE)&gt;2,VLOOKUP(A490,'Forecast Z Scores'!$A$1:$N$1541,13,FALSE)/VLOOKUP(A490,'Forecast Z Scores'!$A$1:$N$1541,14,FALSE),"Not Enough Data")</f>
        <v>-0.69392845653073998</v>
      </c>
      <c r="H490">
        <v>0.15109053329958083</v>
      </c>
    </row>
    <row r="491" spans="1:8" x14ac:dyDescent="0.35">
      <c r="A491" t="str">
        <f t="shared" si="7"/>
        <v>18097341100_2028</v>
      </c>
      <c r="B491">
        <v>18097341100</v>
      </c>
      <c r="C491">
        <v>2028</v>
      </c>
      <c r="E491">
        <f>-(IF(VLOOKUP(B491,'2023 Z Scores'!$A$1:$K$309,11,FALSE)&gt;2,VLOOKUP(B491,'2023 Z Scores'!$A$1:$K$309,10,FALSE)/VLOOKUP(B491,'2023 Z Scores'!$A$1:$K$309,11,FALSE),"Not Enough data"))</f>
        <v>0.83032566883155567</v>
      </c>
      <c r="F491">
        <f>IF(VLOOKUP(A491,'Delta Z Scores'!$A$1:$N$1541,14,FALSE)&gt;2,VLOOKUP(A491,'Delta Z Scores'!$A$1:$N$1541,13,FALSE)/VLOOKUP(A491,'Delta Z Scores'!$A$1:$N$1541,14,FALSE),"Not Enough Data")</f>
        <v>5.9968740977913382E-2</v>
      </c>
      <c r="G491">
        <f>IF(VLOOKUP(A491,'Forecast Z Scores'!$A$1:$N$1541,14,FALSE)&gt;2,VLOOKUP(A491,'Forecast Z Scores'!$A$1:$N$1541,13,FALSE)/VLOOKUP(A491,'Forecast Z Scores'!$A$1:$N$1541,14,FALSE),"Not Enough Data")</f>
        <v>-0.69425733543673995</v>
      </c>
      <c r="H491">
        <v>6.4001453837660621E-2</v>
      </c>
    </row>
    <row r="492" spans="1:8" x14ac:dyDescent="0.35">
      <c r="A492" t="str">
        <f t="shared" si="7"/>
        <v>18097341200_2024</v>
      </c>
      <c r="B492">
        <v>18097341200</v>
      </c>
      <c r="C492">
        <v>2024</v>
      </c>
      <c r="E492">
        <f>-(IF(VLOOKUP(B492,'2023 Z Scores'!$A$1:$K$309,11,FALSE)&gt;2,VLOOKUP(B492,'2023 Z Scores'!$A$1:$K$309,10,FALSE)/VLOOKUP(B492,'2023 Z Scores'!$A$1:$K$309,11,FALSE),"Not Enough data"))</f>
        <v>0.91978064303662976</v>
      </c>
      <c r="F492">
        <f>IF(VLOOKUP(A492,'Delta Z Scores'!$A$1:$N$1541,14,FALSE)&gt;2,VLOOKUP(A492,'Delta Z Scores'!$A$1:$N$1541,13,FALSE)/VLOOKUP(A492,'Delta Z Scores'!$A$1:$N$1541,14,FALSE),"Not Enough Data")</f>
        <v>-0.54096233490746082</v>
      </c>
      <c r="G492">
        <f>IF(VLOOKUP(A492,'Forecast Z Scores'!$A$1:$N$1541,14,FALSE)&gt;2,VLOOKUP(A492,'Forecast Z Scores'!$A$1:$N$1541,13,FALSE)/VLOOKUP(A492,'Forecast Z Scores'!$A$1:$N$1541,14,FALSE),"Not Enough Data")</f>
        <v>-0.86844509140405057</v>
      </c>
      <c r="H492">
        <v>-0.25764727954558558</v>
      </c>
    </row>
    <row r="493" spans="1:8" x14ac:dyDescent="0.35">
      <c r="A493" t="str">
        <f t="shared" si="7"/>
        <v>18097341200_2025</v>
      </c>
      <c r="B493">
        <v>18097341200</v>
      </c>
      <c r="C493">
        <v>2025</v>
      </c>
      <c r="E493">
        <f>-(IF(VLOOKUP(B493,'2023 Z Scores'!$A$1:$K$309,11,FALSE)&gt;2,VLOOKUP(B493,'2023 Z Scores'!$A$1:$K$309,10,FALSE)/VLOOKUP(B493,'2023 Z Scores'!$A$1:$K$309,11,FALSE),"Not Enough data"))</f>
        <v>0.91978064303662976</v>
      </c>
      <c r="F493">
        <f>IF(VLOOKUP(A493,'Delta Z Scores'!$A$1:$N$1541,14,FALSE)&gt;2,VLOOKUP(A493,'Delta Z Scores'!$A$1:$N$1541,13,FALSE)/VLOOKUP(A493,'Delta Z Scores'!$A$1:$N$1541,14,FALSE),"Not Enough Data")</f>
        <v>0.30904270727380073</v>
      </c>
      <c r="G493">
        <f>IF(VLOOKUP(A493,'Forecast Z Scores'!$A$1:$N$1541,14,FALSE)&gt;2,VLOOKUP(A493,'Forecast Z Scores'!$A$1:$N$1541,13,FALSE)/VLOOKUP(A493,'Forecast Z Scores'!$A$1:$N$1541,14,FALSE),"Not Enough Data")</f>
        <v>-0.83855202566232034</v>
      </c>
      <c r="H493">
        <v>0.17482850798047772</v>
      </c>
    </row>
    <row r="494" spans="1:8" x14ac:dyDescent="0.35">
      <c r="A494" t="str">
        <f t="shared" si="7"/>
        <v>18097341200_2026</v>
      </c>
      <c r="B494">
        <v>18097341200</v>
      </c>
      <c r="C494">
        <v>2026</v>
      </c>
      <c r="E494">
        <f>-(IF(VLOOKUP(B494,'2023 Z Scores'!$A$1:$K$309,11,FALSE)&gt;2,VLOOKUP(B494,'2023 Z Scores'!$A$1:$K$309,10,FALSE)/VLOOKUP(B494,'2023 Z Scores'!$A$1:$K$309,11,FALSE),"Not Enough data"))</f>
        <v>0.91978064303662976</v>
      </c>
      <c r="F494">
        <f>IF(VLOOKUP(A494,'Delta Z Scores'!$A$1:$N$1541,14,FALSE)&gt;2,VLOOKUP(A494,'Delta Z Scores'!$A$1:$N$1541,13,FALSE)/VLOOKUP(A494,'Delta Z Scores'!$A$1:$N$1541,14,FALSE),"Not Enough Data")</f>
        <v>0.20454200291871966</v>
      </c>
      <c r="G494">
        <f>IF(VLOOKUP(A494,'Forecast Z Scores'!$A$1:$N$1541,14,FALSE)&gt;2,VLOOKUP(A494,'Forecast Z Scores'!$A$1:$N$1541,13,FALSE)/VLOOKUP(A494,'Forecast Z Scores'!$A$1:$N$1541,14,FALSE),"Not Enough Data")</f>
        <v>-0.8054655095216543</v>
      </c>
      <c r="H494">
        <v>0.13084978483810369</v>
      </c>
    </row>
    <row r="495" spans="1:8" x14ac:dyDescent="0.35">
      <c r="A495" t="str">
        <f t="shared" si="7"/>
        <v>18097341200_2027</v>
      </c>
      <c r="B495">
        <v>18097341200</v>
      </c>
      <c r="C495">
        <v>2027</v>
      </c>
      <c r="E495">
        <f>-(IF(VLOOKUP(B495,'2023 Z Scores'!$A$1:$K$309,11,FALSE)&gt;2,VLOOKUP(B495,'2023 Z Scores'!$A$1:$K$309,10,FALSE)/VLOOKUP(B495,'2023 Z Scores'!$A$1:$K$309,11,FALSE),"Not Enough data"))</f>
        <v>0.91978064303662976</v>
      </c>
      <c r="F495">
        <f>IF(VLOOKUP(A495,'Delta Z Scores'!$A$1:$N$1541,14,FALSE)&gt;2,VLOOKUP(A495,'Delta Z Scores'!$A$1:$N$1541,13,FALSE)/VLOOKUP(A495,'Delta Z Scores'!$A$1:$N$1541,14,FALSE),"Not Enough Data")</f>
        <v>0.28652004615038984</v>
      </c>
      <c r="G495">
        <f>IF(VLOOKUP(A495,'Forecast Z Scores'!$A$1:$N$1541,14,FALSE)&gt;2,VLOOKUP(A495,'Forecast Z Scores'!$A$1:$N$1541,13,FALSE)/VLOOKUP(A495,'Forecast Z Scores'!$A$1:$N$1541,14,FALSE),"Not Enough Data")</f>
        <v>-0.77311754573332003</v>
      </c>
      <c r="H495">
        <v>0.17992579740102235</v>
      </c>
    </row>
    <row r="496" spans="1:8" x14ac:dyDescent="0.35">
      <c r="A496" t="str">
        <f t="shared" si="7"/>
        <v>18097341200_2028</v>
      </c>
      <c r="B496">
        <v>18097341200</v>
      </c>
      <c r="C496">
        <v>2028</v>
      </c>
      <c r="E496">
        <f>-(IF(VLOOKUP(B496,'2023 Z Scores'!$A$1:$K$309,11,FALSE)&gt;2,VLOOKUP(B496,'2023 Z Scores'!$A$1:$K$309,10,FALSE)/VLOOKUP(B496,'2023 Z Scores'!$A$1:$K$309,11,FALSE),"Not Enough data"))</f>
        <v>0.91978064303662976</v>
      </c>
      <c r="F496">
        <f>IF(VLOOKUP(A496,'Delta Z Scores'!$A$1:$N$1541,14,FALSE)&gt;2,VLOOKUP(A496,'Delta Z Scores'!$A$1:$N$1541,13,FALSE)/VLOOKUP(A496,'Delta Z Scores'!$A$1:$N$1541,14,FALSE),"Not Enough Data")</f>
        <v>0.22413392168244137</v>
      </c>
      <c r="G496">
        <f>IF(VLOOKUP(A496,'Forecast Z Scores'!$A$1:$N$1541,14,FALSE)&gt;2,VLOOKUP(A496,'Forecast Z Scores'!$A$1:$N$1541,13,FALSE)/VLOOKUP(A496,'Forecast Z Scores'!$A$1:$N$1541,14,FALSE),"Not Enough Data")</f>
        <v>-0.73314434248009697</v>
      </c>
      <c r="H496">
        <v>0.1587260359803539</v>
      </c>
    </row>
    <row r="497" spans="1:8" x14ac:dyDescent="0.35">
      <c r="A497" t="str">
        <f t="shared" si="7"/>
        <v>18097341600_2024</v>
      </c>
      <c r="B497">
        <v>18097341600</v>
      </c>
      <c r="C497">
        <v>2024</v>
      </c>
      <c r="E497">
        <f>-(IF(VLOOKUP(B497,'2023 Z Scores'!$A$1:$K$309,11,FALSE)&gt;2,VLOOKUP(B497,'2023 Z Scores'!$A$1:$K$309,10,FALSE)/VLOOKUP(B497,'2023 Z Scores'!$A$1:$K$309,11,FALSE),"Not Enough data"))</f>
        <v>0.83486708248327535</v>
      </c>
      <c r="F497">
        <f>IF(VLOOKUP(A497,'Delta Z Scores'!$A$1:$N$1541,14,FALSE)&gt;2,VLOOKUP(A497,'Delta Z Scores'!$A$1:$N$1541,13,FALSE)/VLOOKUP(A497,'Delta Z Scores'!$A$1:$N$1541,14,FALSE),"Not Enough Data")</f>
        <v>0.45655199930391627</v>
      </c>
      <c r="G497">
        <f>IF(VLOOKUP(A497,'Forecast Z Scores'!$A$1:$N$1541,14,FALSE)&gt;2,VLOOKUP(A497,'Forecast Z Scores'!$A$1:$N$1541,13,FALSE)/VLOOKUP(A497,'Forecast Z Scores'!$A$1:$N$1541,14,FALSE),"Not Enough Data")</f>
        <v>-0.74582474255580089</v>
      </c>
      <c r="H497">
        <v>0.25053658463382678</v>
      </c>
    </row>
    <row r="498" spans="1:8" x14ac:dyDescent="0.35">
      <c r="A498" t="str">
        <f t="shared" si="7"/>
        <v>18097341600_2025</v>
      </c>
      <c r="B498">
        <v>18097341600</v>
      </c>
      <c r="C498">
        <v>2025</v>
      </c>
      <c r="E498">
        <f>-(IF(VLOOKUP(B498,'2023 Z Scores'!$A$1:$K$309,11,FALSE)&gt;2,VLOOKUP(B498,'2023 Z Scores'!$A$1:$K$309,10,FALSE)/VLOOKUP(B498,'2023 Z Scores'!$A$1:$K$309,11,FALSE),"Not Enough data"))</f>
        <v>0.83486708248327535</v>
      </c>
      <c r="F498">
        <f>IF(VLOOKUP(A498,'Delta Z Scores'!$A$1:$N$1541,14,FALSE)&gt;2,VLOOKUP(A498,'Delta Z Scores'!$A$1:$N$1541,13,FALSE)/VLOOKUP(A498,'Delta Z Scores'!$A$1:$N$1541,14,FALSE),"Not Enough Data")</f>
        <v>0.36737708829031973</v>
      </c>
      <c r="G498">
        <f>IF(VLOOKUP(A498,'Forecast Z Scores'!$A$1:$N$1541,14,FALSE)&gt;2,VLOOKUP(A498,'Forecast Z Scores'!$A$1:$N$1541,13,FALSE)/VLOOKUP(A498,'Forecast Z Scores'!$A$1:$N$1541,14,FALSE),"Not Enough Data")</f>
        <v>-0.72665977438850227</v>
      </c>
      <c r="H498">
        <v>0.21074037116885314</v>
      </c>
    </row>
    <row r="499" spans="1:8" x14ac:dyDescent="0.35">
      <c r="A499" t="str">
        <f t="shared" si="7"/>
        <v>18097341600_2026</v>
      </c>
      <c r="B499">
        <v>18097341600</v>
      </c>
      <c r="C499">
        <v>2026</v>
      </c>
      <c r="E499">
        <f>-(IF(VLOOKUP(B499,'2023 Z Scores'!$A$1:$K$309,11,FALSE)&gt;2,VLOOKUP(B499,'2023 Z Scores'!$A$1:$K$309,10,FALSE)/VLOOKUP(B499,'2023 Z Scores'!$A$1:$K$309,11,FALSE),"Not Enough data"))</f>
        <v>0.83486708248327535</v>
      </c>
      <c r="F499">
        <f>IF(VLOOKUP(A499,'Delta Z Scores'!$A$1:$N$1541,14,FALSE)&gt;2,VLOOKUP(A499,'Delta Z Scores'!$A$1:$N$1541,13,FALSE)/VLOOKUP(A499,'Delta Z Scores'!$A$1:$N$1541,14,FALSE),"Not Enough Data")</f>
        <v>0.32491601510812224</v>
      </c>
      <c r="G499">
        <f>IF(VLOOKUP(A499,'Forecast Z Scores'!$A$1:$N$1541,14,FALSE)&gt;2,VLOOKUP(A499,'Forecast Z Scores'!$A$1:$N$1541,13,FALSE)/VLOOKUP(A499,'Forecast Z Scores'!$A$1:$N$1541,14,FALSE),"Not Enough Data")</f>
        <v>-0.6964206264038868</v>
      </c>
      <c r="H499">
        <v>0.19706962157390825</v>
      </c>
    </row>
    <row r="500" spans="1:8" x14ac:dyDescent="0.35">
      <c r="A500" t="str">
        <f t="shared" si="7"/>
        <v>18097341600_2027</v>
      </c>
      <c r="B500">
        <v>18097341600</v>
      </c>
      <c r="C500">
        <v>2027</v>
      </c>
      <c r="E500">
        <f>-(IF(VLOOKUP(B500,'2023 Z Scores'!$A$1:$K$309,11,FALSE)&gt;2,VLOOKUP(B500,'2023 Z Scores'!$A$1:$K$309,10,FALSE)/VLOOKUP(B500,'2023 Z Scores'!$A$1:$K$309,11,FALSE),"Not Enough data"))</f>
        <v>0.83486708248327535</v>
      </c>
      <c r="F500">
        <f>IF(VLOOKUP(A500,'Delta Z Scores'!$A$1:$N$1541,14,FALSE)&gt;2,VLOOKUP(A500,'Delta Z Scores'!$A$1:$N$1541,13,FALSE)/VLOOKUP(A500,'Delta Z Scores'!$A$1:$N$1541,14,FALSE),"Not Enough Data")</f>
        <v>0.26537109366548073</v>
      </c>
      <c r="G500">
        <f>IF(VLOOKUP(A500,'Forecast Z Scores'!$A$1:$N$1541,14,FALSE)&gt;2,VLOOKUP(A500,'Forecast Z Scores'!$A$1:$N$1541,13,FALSE)/VLOOKUP(A500,'Forecast Z Scores'!$A$1:$N$1541,14,FALSE),"Not Enough Data")</f>
        <v>-0.67050110492751047</v>
      </c>
      <c r="H500">
        <v>0.17377704122168158</v>
      </c>
    </row>
    <row r="501" spans="1:8" x14ac:dyDescent="0.35">
      <c r="A501" t="str">
        <f t="shared" si="7"/>
        <v>18097341600_2028</v>
      </c>
      <c r="B501">
        <v>18097341600</v>
      </c>
      <c r="C501">
        <v>2028</v>
      </c>
      <c r="E501">
        <f>-(IF(VLOOKUP(B501,'2023 Z Scores'!$A$1:$K$309,11,FALSE)&gt;2,VLOOKUP(B501,'2023 Z Scores'!$A$1:$K$309,10,FALSE)/VLOOKUP(B501,'2023 Z Scores'!$A$1:$K$309,11,FALSE),"Not Enough data"))</f>
        <v>0.83486708248327535</v>
      </c>
      <c r="F501">
        <f>IF(VLOOKUP(A501,'Delta Z Scores'!$A$1:$N$1541,14,FALSE)&gt;2,VLOOKUP(A501,'Delta Z Scores'!$A$1:$N$1541,13,FALSE)/VLOOKUP(A501,'Delta Z Scores'!$A$1:$N$1541,14,FALSE),"Not Enough Data")</f>
        <v>0.17300333959336461</v>
      </c>
      <c r="G501">
        <f>IF(VLOOKUP(A501,'Forecast Z Scores'!$A$1:$N$1541,14,FALSE)&gt;2,VLOOKUP(A501,'Forecast Z Scores'!$A$1:$N$1541,13,FALSE)/VLOOKUP(A501,'Forecast Z Scores'!$A$1:$N$1541,14,FALSE),"Not Enough Data")</f>
        <v>-0.63764129983231643</v>
      </c>
      <c r="H501">
        <v>0.13580811545942204</v>
      </c>
    </row>
    <row r="502" spans="1:8" x14ac:dyDescent="0.35">
      <c r="A502" t="str">
        <f t="shared" si="7"/>
        <v>18097341701_2024</v>
      </c>
      <c r="B502">
        <v>18097341701</v>
      </c>
      <c r="C502">
        <v>2024</v>
      </c>
      <c r="E502">
        <f>-(IF(VLOOKUP(B502,'2023 Z Scores'!$A$1:$K$309,11,FALSE)&gt;2,VLOOKUP(B502,'2023 Z Scores'!$A$1:$K$309,10,FALSE)/VLOOKUP(B502,'2023 Z Scores'!$A$1:$K$309,11,FALSE),"Not Enough data"))</f>
        <v>0.95074932618627395</v>
      </c>
      <c r="F502">
        <f>IF(VLOOKUP(A502,'Delta Z Scores'!$A$1:$N$1541,14,FALSE)&gt;2,VLOOKUP(A502,'Delta Z Scores'!$A$1:$N$1541,13,FALSE)/VLOOKUP(A502,'Delta Z Scores'!$A$1:$N$1541,14,FALSE),"Not Enough Data")</f>
        <v>0.52365852436012483</v>
      </c>
      <c r="G502">
        <f>IF(VLOOKUP(A502,'Forecast Z Scores'!$A$1:$N$1541,14,FALSE)&gt;2,VLOOKUP(A502,'Forecast Z Scores'!$A$1:$N$1541,13,FALSE)/VLOOKUP(A502,'Forecast Z Scores'!$A$1:$N$1541,14,FALSE),"Not Enough Data")</f>
        <v>-0.80650387069005613</v>
      </c>
      <c r="H502">
        <v>0.29789062605411687</v>
      </c>
    </row>
    <row r="503" spans="1:8" x14ac:dyDescent="0.35">
      <c r="A503" t="str">
        <f t="shared" si="7"/>
        <v>18097341701_2025</v>
      </c>
      <c r="B503">
        <v>18097341701</v>
      </c>
      <c r="C503">
        <v>2025</v>
      </c>
      <c r="E503">
        <f>-(IF(VLOOKUP(B503,'2023 Z Scores'!$A$1:$K$309,11,FALSE)&gt;2,VLOOKUP(B503,'2023 Z Scores'!$A$1:$K$309,10,FALSE)/VLOOKUP(B503,'2023 Z Scores'!$A$1:$K$309,11,FALSE),"Not Enough data"))</f>
        <v>0.95074932618627395</v>
      </c>
      <c r="F503">
        <f>IF(VLOOKUP(A503,'Delta Z Scores'!$A$1:$N$1541,14,FALSE)&gt;2,VLOOKUP(A503,'Delta Z Scores'!$A$1:$N$1541,13,FALSE)/VLOOKUP(A503,'Delta Z Scores'!$A$1:$N$1541,14,FALSE),"Not Enough Data")</f>
        <v>0.18168545393835306</v>
      </c>
      <c r="G503">
        <f>IF(VLOOKUP(A503,'Forecast Z Scores'!$A$1:$N$1541,14,FALSE)&gt;2,VLOOKUP(A503,'Forecast Z Scores'!$A$1:$N$1541,13,FALSE)/VLOOKUP(A503,'Forecast Z Scores'!$A$1:$N$1541,14,FALSE),"Not Enough Data")</f>
        <v>-0.79703322165437573</v>
      </c>
      <c r="H503">
        <v>0.12927175310215108</v>
      </c>
    </row>
    <row r="504" spans="1:8" x14ac:dyDescent="0.35">
      <c r="A504" t="str">
        <f t="shared" si="7"/>
        <v>18097341701_2026</v>
      </c>
      <c r="B504">
        <v>18097341701</v>
      </c>
      <c r="C504">
        <v>2026</v>
      </c>
      <c r="E504">
        <f>-(IF(VLOOKUP(B504,'2023 Z Scores'!$A$1:$K$309,11,FALSE)&gt;2,VLOOKUP(B504,'2023 Z Scores'!$A$1:$K$309,10,FALSE)/VLOOKUP(B504,'2023 Z Scores'!$A$1:$K$309,11,FALSE),"Not Enough data"))</f>
        <v>0.95074932618627395</v>
      </c>
      <c r="F504">
        <f>IF(VLOOKUP(A504,'Delta Z Scores'!$A$1:$N$1541,14,FALSE)&gt;2,VLOOKUP(A504,'Delta Z Scores'!$A$1:$N$1541,13,FALSE)/VLOOKUP(A504,'Delta Z Scores'!$A$1:$N$1541,14,FALSE),"Not Enough Data")</f>
        <v>0.2881630487480944</v>
      </c>
      <c r="G504">
        <f>IF(VLOOKUP(A504,'Forecast Z Scores'!$A$1:$N$1541,14,FALSE)&gt;2,VLOOKUP(A504,'Forecast Z Scores'!$A$1:$N$1541,13,FALSE)/VLOOKUP(A504,'Forecast Z Scores'!$A$1:$N$1541,14,FALSE),"Not Enough Data")</f>
        <v>-0.79545232293452706</v>
      </c>
      <c r="H504">
        <v>0.18290577518698392</v>
      </c>
    </row>
    <row r="505" spans="1:8" x14ac:dyDescent="0.35">
      <c r="A505" t="str">
        <f t="shared" si="7"/>
        <v>18097341701_2027</v>
      </c>
      <c r="B505">
        <v>18097341701</v>
      </c>
      <c r="C505">
        <v>2027</v>
      </c>
      <c r="E505">
        <f>-(IF(VLOOKUP(B505,'2023 Z Scores'!$A$1:$K$309,11,FALSE)&gt;2,VLOOKUP(B505,'2023 Z Scores'!$A$1:$K$309,10,FALSE)/VLOOKUP(B505,'2023 Z Scores'!$A$1:$K$309,11,FALSE),"Not Enough data"))</f>
        <v>0.95074932618627395</v>
      </c>
      <c r="F505">
        <f>IF(VLOOKUP(A505,'Delta Z Scores'!$A$1:$N$1541,14,FALSE)&gt;2,VLOOKUP(A505,'Delta Z Scores'!$A$1:$N$1541,13,FALSE)/VLOOKUP(A505,'Delta Z Scores'!$A$1:$N$1541,14,FALSE),"Not Enough Data")</f>
        <v>0.1903163655441468</v>
      </c>
      <c r="G505">
        <f>IF(VLOOKUP(A505,'Forecast Z Scores'!$A$1:$N$1541,14,FALSE)&gt;2,VLOOKUP(A505,'Forecast Z Scores'!$A$1:$N$1541,13,FALSE)/VLOOKUP(A505,'Forecast Z Scores'!$A$1:$N$1541,14,FALSE),"Not Enough Data")</f>
        <v>-0.76625112074929036</v>
      </c>
      <c r="H505">
        <v>0.14128273413131931</v>
      </c>
    </row>
    <row r="506" spans="1:8" x14ac:dyDescent="0.35">
      <c r="A506" t="str">
        <f t="shared" si="7"/>
        <v>18097341701_2028</v>
      </c>
      <c r="B506">
        <v>18097341701</v>
      </c>
      <c r="C506">
        <v>2028</v>
      </c>
      <c r="E506">
        <f>-(IF(VLOOKUP(B506,'2023 Z Scores'!$A$1:$K$309,11,FALSE)&gt;2,VLOOKUP(B506,'2023 Z Scores'!$A$1:$K$309,10,FALSE)/VLOOKUP(B506,'2023 Z Scores'!$A$1:$K$309,11,FALSE),"Not Enough data"))</f>
        <v>0.95074932618627395</v>
      </c>
      <c r="F506">
        <f>IF(VLOOKUP(A506,'Delta Z Scores'!$A$1:$N$1541,14,FALSE)&gt;2,VLOOKUP(A506,'Delta Z Scores'!$A$1:$N$1541,13,FALSE)/VLOOKUP(A506,'Delta Z Scores'!$A$1:$N$1541,14,FALSE),"Not Enough Data")</f>
        <v>8.3903346948911883E-2</v>
      </c>
      <c r="G506">
        <f>IF(VLOOKUP(A506,'Forecast Z Scores'!$A$1:$N$1541,14,FALSE)&gt;2,VLOOKUP(A506,'Forecast Z Scores'!$A$1:$N$1541,13,FALSE)/VLOOKUP(A506,'Forecast Z Scores'!$A$1:$N$1541,14,FALSE),"Not Enough Data")</f>
        <v>-0.72395845423358718</v>
      </c>
      <c r="H506">
        <v>9.8649391462627634E-2</v>
      </c>
    </row>
    <row r="507" spans="1:8" x14ac:dyDescent="0.35">
      <c r="A507" t="str">
        <f t="shared" si="7"/>
        <v>18097341702_2024</v>
      </c>
      <c r="B507">
        <v>18097341702</v>
      </c>
      <c r="C507">
        <v>2024</v>
      </c>
      <c r="E507">
        <f>-(IF(VLOOKUP(B507,'2023 Z Scores'!$A$1:$K$309,11,FALSE)&gt;2,VLOOKUP(B507,'2023 Z Scores'!$A$1:$K$309,10,FALSE)/VLOOKUP(B507,'2023 Z Scores'!$A$1:$K$309,11,FALSE),"Not Enough data"))</f>
        <v>0.39290122832705832</v>
      </c>
      <c r="F507">
        <f>IF(VLOOKUP(A507,'Delta Z Scores'!$A$1:$N$1541,14,FALSE)&gt;2,VLOOKUP(A507,'Delta Z Scores'!$A$1:$N$1541,13,FALSE)/VLOOKUP(A507,'Delta Z Scores'!$A$1:$N$1541,14,FALSE),"Not Enough Data")</f>
        <v>-6.0418361136208576E-3</v>
      </c>
      <c r="G507">
        <f>IF(VLOOKUP(A507,'Forecast Z Scores'!$A$1:$N$1541,14,FALSE)&gt;2,VLOOKUP(A507,'Forecast Z Scores'!$A$1:$N$1541,13,FALSE)/VLOOKUP(A507,'Forecast Z Scores'!$A$1:$N$1541,14,FALSE),"Not Enough Data")</f>
        <v>-0.5550485917857616</v>
      </c>
      <c r="H507">
        <v>-4.355775892148625E-2</v>
      </c>
    </row>
    <row r="508" spans="1:8" x14ac:dyDescent="0.35">
      <c r="A508" t="str">
        <f t="shared" si="7"/>
        <v>18097341702_2025</v>
      </c>
      <c r="B508">
        <v>18097341702</v>
      </c>
      <c r="C508">
        <v>2025</v>
      </c>
      <c r="E508">
        <f>-(IF(VLOOKUP(B508,'2023 Z Scores'!$A$1:$K$309,11,FALSE)&gt;2,VLOOKUP(B508,'2023 Z Scores'!$A$1:$K$309,10,FALSE)/VLOOKUP(B508,'2023 Z Scores'!$A$1:$K$309,11,FALSE),"Not Enough data"))</f>
        <v>0.39290122832705832</v>
      </c>
      <c r="F508">
        <f>IF(VLOOKUP(A508,'Delta Z Scores'!$A$1:$N$1541,14,FALSE)&gt;2,VLOOKUP(A508,'Delta Z Scores'!$A$1:$N$1541,13,FALSE)/VLOOKUP(A508,'Delta Z Scores'!$A$1:$N$1541,14,FALSE),"Not Enough Data")</f>
        <v>0.12100481367665979</v>
      </c>
      <c r="G508">
        <f>IF(VLOOKUP(A508,'Forecast Z Scores'!$A$1:$N$1541,14,FALSE)&gt;2,VLOOKUP(A508,'Forecast Z Scores'!$A$1:$N$1541,13,FALSE)/VLOOKUP(A508,'Forecast Z Scores'!$A$1:$N$1541,14,FALSE),"Not Enough Data")</f>
        <v>-0.53663409759579073</v>
      </c>
      <c r="H508">
        <v>2.4569189521146784E-2</v>
      </c>
    </row>
    <row r="509" spans="1:8" x14ac:dyDescent="0.35">
      <c r="A509" t="str">
        <f t="shared" si="7"/>
        <v>18097341702_2026</v>
      </c>
      <c r="B509">
        <v>18097341702</v>
      </c>
      <c r="C509">
        <v>2026</v>
      </c>
      <c r="E509">
        <f>-(IF(VLOOKUP(B509,'2023 Z Scores'!$A$1:$K$309,11,FALSE)&gt;2,VLOOKUP(B509,'2023 Z Scores'!$A$1:$K$309,10,FALSE)/VLOOKUP(B509,'2023 Z Scores'!$A$1:$K$309,11,FALSE),"Not Enough data"))</f>
        <v>0.39290122832705832</v>
      </c>
      <c r="F509">
        <f>IF(VLOOKUP(A509,'Delta Z Scores'!$A$1:$N$1541,14,FALSE)&gt;2,VLOOKUP(A509,'Delta Z Scores'!$A$1:$N$1541,13,FALSE)/VLOOKUP(A509,'Delta Z Scores'!$A$1:$N$1541,14,FALSE),"Not Enough Data")</f>
        <v>-0.13092911461856108</v>
      </c>
      <c r="G509">
        <f>IF(VLOOKUP(A509,'Forecast Z Scores'!$A$1:$N$1541,14,FALSE)&gt;2,VLOOKUP(A509,'Forecast Z Scores'!$A$1:$N$1541,13,FALSE)/VLOOKUP(A509,'Forecast Z Scores'!$A$1:$N$1541,14,FALSE),"Not Enough Data")</f>
        <v>-0.50376201354539385</v>
      </c>
      <c r="H509">
        <v>-9.3179753613864436E-2</v>
      </c>
    </row>
    <row r="510" spans="1:8" x14ac:dyDescent="0.35">
      <c r="A510" t="str">
        <f t="shared" si="7"/>
        <v>18097341702_2027</v>
      </c>
      <c r="B510">
        <v>18097341702</v>
      </c>
      <c r="C510">
        <v>2027</v>
      </c>
      <c r="E510">
        <f>-(IF(VLOOKUP(B510,'2023 Z Scores'!$A$1:$K$309,11,FALSE)&gt;2,VLOOKUP(B510,'2023 Z Scores'!$A$1:$K$309,10,FALSE)/VLOOKUP(B510,'2023 Z Scores'!$A$1:$K$309,11,FALSE),"Not Enough data"))</f>
        <v>0.39290122832705832</v>
      </c>
      <c r="F510">
        <f>IF(VLOOKUP(A510,'Delta Z Scores'!$A$1:$N$1541,14,FALSE)&gt;2,VLOOKUP(A510,'Delta Z Scores'!$A$1:$N$1541,13,FALSE)/VLOOKUP(A510,'Delta Z Scores'!$A$1:$N$1541,14,FALSE),"Not Enough Data")</f>
        <v>-6.630803104651295E-2</v>
      </c>
      <c r="G510">
        <f>IF(VLOOKUP(A510,'Forecast Z Scores'!$A$1:$N$1541,14,FALSE)&gt;2,VLOOKUP(A510,'Forecast Z Scores'!$A$1:$N$1541,13,FALSE)/VLOOKUP(A510,'Forecast Z Scores'!$A$1:$N$1541,14,FALSE),"Not Enough Data")</f>
        <v>-0.46935870268430163</v>
      </c>
      <c r="H510">
        <v>-5.226838411256729E-2</v>
      </c>
    </row>
    <row r="511" spans="1:8" x14ac:dyDescent="0.35">
      <c r="A511" t="str">
        <f t="shared" si="7"/>
        <v>18097341702_2028</v>
      </c>
      <c r="B511">
        <v>18097341702</v>
      </c>
      <c r="C511">
        <v>2028</v>
      </c>
      <c r="E511">
        <f>-(IF(VLOOKUP(B511,'2023 Z Scores'!$A$1:$K$309,11,FALSE)&gt;2,VLOOKUP(B511,'2023 Z Scores'!$A$1:$K$309,10,FALSE)/VLOOKUP(B511,'2023 Z Scores'!$A$1:$K$309,11,FALSE),"Not Enough data"))</f>
        <v>0.39290122832705832</v>
      </c>
      <c r="F511">
        <f>IF(VLOOKUP(A511,'Delta Z Scores'!$A$1:$N$1541,14,FALSE)&gt;2,VLOOKUP(A511,'Delta Z Scores'!$A$1:$N$1541,13,FALSE)/VLOOKUP(A511,'Delta Z Scores'!$A$1:$N$1541,14,FALSE),"Not Enough Data")</f>
        <v>-0.28107001538049664</v>
      </c>
      <c r="G511">
        <f>IF(VLOOKUP(A511,'Forecast Z Scores'!$A$1:$N$1541,14,FALSE)&gt;2,VLOOKUP(A511,'Forecast Z Scores'!$A$1:$N$1541,13,FALSE)/VLOOKUP(A511,'Forecast Z Scores'!$A$1:$N$1541,14,FALSE),"Not Enough Data")</f>
        <v>-0.44339659346003257</v>
      </c>
      <c r="H511">
        <v>-0.15315884897349186</v>
      </c>
    </row>
    <row r="512" spans="1:8" x14ac:dyDescent="0.35">
      <c r="A512" t="str">
        <f t="shared" si="7"/>
        <v>18097341902_2024</v>
      </c>
      <c r="B512">
        <v>18097341902</v>
      </c>
      <c r="C512">
        <v>2024</v>
      </c>
      <c r="E512">
        <f>-(IF(VLOOKUP(B512,'2023 Z Scores'!$A$1:$K$309,11,FALSE)&gt;2,VLOOKUP(B512,'2023 Z Scores'!$A$1:$K$309,10,FALSE)/VLOOKUP(B512,'2023 Z Scores'!$A$1:$K$309,11,FALSE),"Not Enough data"))</f>
        <v>-1.7270760242810219E-2</v>
      </c>
      <c r="F512">
        <f>IF(VLOOKUP(A512,'Delta Z Scores'!$A$1:$N$1541,14,FALSE)&gt;2,VLOOKUP(A512,'Delta Z Scores'!$A$1:$N$1541,13,FALSE)/VLOOKUP(A512,'Delta Z Scores'!$A$1:$N$1541,14,FALSE),"Not Enough Data")</f>
        <v>-0.22913706137454967</v>
      </c>
      <c r="G512">
        <f>IF(VLOOKUP(A512,'Forecast Z Scores'!$A$1:$N$1541,14,FALSE)&gt;2,VLOOKUP(A512,'Forecast Z Scores'!$A$1:$N$1541,13,FALSE)/VLOOKUP(A512,'Forecast Z Scores'!$A$1:$N$1541,14,FALSE),"Not Enough Data")</f>
        <v>-0.3536350470794925</v>
      </c>
      <c r="H512">
        <v>-0.20729498251785053</v>
      </c>
    </row>
    <row r="513" spans="1:8" x14ac:dyDescent="0.35">
      <c r="A513" t="str">
        <f t="shared" si="7"/>
        <v>18097341902_2025</v>
      </c>
      <c r="B513">
        <v>18097341902</v>
      </c>
      <c r="C513">
        <v>2025</v>
      </c>
      <c r="E513">
        <f>-(IF(VLOOKUP(B513,'2023 Z Scores'!$A$1:$K$309,11,FALSE)&gt;2,VLOOKUP(B513,'2023 Z Scores'!$A$1:$K$309,10,FALSE)/VLOOKUP(B513,'2023 Z Scores'!$A$1:$K$309,11,FALSE),"Not Enough data"))</f>
        <v>-1.7270760242810219E-2</v>
      </c>
      <c r="F513">
        <f>IF(VLOOKUP(A513,'Delta Z Scores'!$A$1:$N$1541,14,FALSE)&gt;2,VLOOKUP(A513,'Delta Z Scores'!$A$1:$N$1541,13,FALSE)/VLOOKUP(A513,'Delta Z Scores'!$A$1:$N$1541,14,FALSE),"Not Enough Data")</f>
        <v>-0.17949184100209734</v>
      </c>
      <c r="G513">
        <f>IF(VLOOKUP(A513,'Forecast Z Scores'!$A$1:$N$1541,14,FALSE)&gt;2,VLOOKUP(A513,'Forecast Z Scores'!$A$1:$N$1541,13,FALSE)/VLOOKUP(A513,'Forecast Z Scores'!$A$1:$N$1541,14,FALSE),"Not Enough Data")</f>
        <v>-0.36704250853373527</v>
      </c>
      <c r="H513">
        <v>-0.18582423769518505</v>
      </c>
    </row>
    <row r="514" spans="1:8" x14ac:dyDescent="0.35">
      <c r="A514" t="str">
        <f t="shared" si="7"/>
        <v>18097341902_2026</v>
      </c>
      <c r="B514">
        <v>18097341902</v>
      </c>
      <c r="C514">
        <v>2026</v>
      </c>
      <c r="E514">
        <f>-(IF(VLOOKUP(B514,'2023 Z Scores'!$A$1:$K$309,11,FALSE)&gt;2,VLOOKUP(B514,'2023 Z Scores'!$A$1:$K$309,10,FALSE)/VLOOKUP(B514,'2023 Z Scores'!$A$1:$K$309,11,FALSE),"Not Enough data"))</f>
        <v>-1.7270760242810219E-2</v>
      </c>
      <c r="F514">
        <f>IF(VLOOKUP(A514,'Delta Z Scores'!$A$1:$N$1541,14,FALSE)&gt;2,VLOOKUP(A514,'Delta Z Scores'!$A$1:$N$1541,13,FALSE)/VLOOKUP(A514,'Delta Z Scores'!$A$1:$N$1541,14,FALSE),"Not Enough Data")</f>
        <v>-0.17024459179575321</v>
      </c>
      <c r="G514">
        <f>IF(VLOOKUP(A514,'Forecast Z Scores'!$A$1:$N$1541,14,FALSE)&gt;2,VLOOKUP(A514,'Forecast Z Scores'!$A$1:$N$1541,13,FALSE)/VLOOKUP(A514,'Forecast Z Scores'!$A$1:$N$1541,14,FALSE),"Not Enough Data")</f>
        <v>-0.38247473671240106</v>
      </c>
      <c r="H514">
        <v>-0.18505867013667945</v>
      </c>
    </row>
    <row r="515" spans="1:8" x14ac:dyDescent="0.35">
      <c r="A515" t="str">
        <f t="shared" ref="A515:A578" si="8">TEXT(B515,0)&amp;"_"&amp;TEXT(C515,0)</f>
        <v>18097341902_2027</v>
      </c>
      <c r="B515">
        <v>18097341902</v>
      </c>
      <c r="C515">
        <v>2027</v>
      </c>
      <c r="E515">
        <f>-(IF(VLOOKUP(B515,'2023 Z Scores'!$A$1:$K$309,11,FALSE)&gt;2,VLOOKUP(B515,'2023 Z Scores'!$A$1:$K$309,10,FALSE)/VLOOKUP(B515,'2023 Z Scores'!$A$1:$K$309,11,FALSE),"Not Enough data"))</f>
        <v>-1.7270760242810219E-2</v>
      </c>
      <c r="F515">
        <f>IF(VLOOKUP(A515,'Delta Z Scores'!$A$1:$N$1541,14,FALSE)&gt;2,VLOOKUP(A515,'Delta Z Scores'!$A$1:$N$1541,13,FALSE)/VLOOKUP(A515,'Delta Z Scores'!$A$1:$N$1541,14,FALSE),"Not Enough Data")</f>
        <v>-0.13139194357521844</v>
      </c>
      <c r="G515">
        <f>IF(VLOOKUP(A515,'Forecast Z Scores'!$A$1:$N$1541,14,FALSE)&gt;2,VLOOKUP(A515,'Forecast Z Scores'!$A$1:$N$1541,13,FALSE)/VLOOKUP(A515,'Forecast Z Scores'!$A$1:$N$1541,14,FALSE),"Not Enough Data")</f>
        <v>-0.39656490223524354</v>
      </c>
      <c r="H515">
        <v>-0.16915488740712267</v>
      </c>
    </row>
    <row r="516" spans="1:8" x14ac:dyDescent="0.35">
      <c r="A516" t="str">
        <f t="shared" si="8"/>
        <v>18097341902_2028</v>
      </c>
      <c r="B516">
        <v>18097341902</v>
      </c>
      <c r="C516">
        <v>2028</v>
      </c>
      <c r="E516">
        <f>-(IF(VLOOKUP(B516,'2023 Z Scores'!$A$1:$K$309,11,FALSE)&gt;2,VLOOKUP(B516,'2023 Z Scores'!$A$1:$K$309,10,FALSE)/VLOOKUP(B516,'2023 Z Scores'!$A$1:$K$309,11,FALSE),"Not Enough data"))</f>
        <v>-1.7270760242810219E-2</v>
      </c>
      <c r="F516">
        <f>IF(VLOOKUP(A516,'Delta Z Scores'!$A$1:$N$1541,14,FALSE)&gt;2,VLOOKUP(A516,'Delta Z Scores'!$A$1:$N$1541,13,FALSE)/VLOOKUP(A516,'Delta Z Scores'!$A$1:$N$1541,14,FALSE),"Not Enough Data")</f>
        <v>-7.7062590961328378E-2</v>
      </c>
      <c r="G516">
        <f>IF(VLOOKUP(A516,'Forecast Z Scores'!$A$1:$N$1541,14,FALSE)&gt;2,VLOOKUP(A516,'Forecast Z Scores'!$A$1:$N$1541,13,FALSE)/VLOOKUP(A516,'Forecast Z Scores'!$A$1:$N$1541,14,FALSE),"Not Enough Data")</f>
        <v>-0.41143957606626574</v>
      </c>
      <c r="H516">
        <v>-0.14570887955793319</v>
      </c>
    </row>
    <row r="517" spans="1:8" x14ac:dyDescent="0.35">
      <c r="A517" t="str">
        <f t="shared" si="8"/>
        <v>18097341903_2024</v>
      </c>
      <c r="B517">
        <v>18097341903</v>
      </c>
      <c r="C517">
        <v>2024</v>
      </c>
      <c r="E517">
        <f>-(IF(VLOOKUP(B517,'2023 Z Scores'!$A$1:$K$309,11,FALSE)&gt;2,VLOOKUP(B517,'2023 Z Scores'!$A$1:$K$309,10,FALSE)/VLOOKUP(B517,'2023 Z Scores'!$A$1:$K$309,11,FALSE),"Not Enough data"))</f>
        <v>0.76841048256214839</v>
      </c>
      <c r="F517">
        <f>IF(VLOOKUP(A517,'Delta Z Scores'!$A$1:$N$1541,14,FALSE)&gt;2,VLOOKUP(A517,'Delta Z Scores'!$A$1:$N$1541,13,FALSE)/VLOOKUP(A517,'Delta Z Scores'!$A$1:$N$1541,14,FALSE),"Not Enough Data")</f>
        <v>2.2549925602123926E-2</v>
      </c>
      <c r="G517">
        <f>IF(VLOOKUP(A517,'Forecast Z Scores'!$A$1:$N$1541,14,FALSE)&gt;2,VLOOKUP(A517,'Forecast Z Scores'!$A$1:$N$1541,13,FALSE)/VLOOKUP(A517,'Forecast Z Scores'!$A$1:$N$1541,14,FALSE),"Not Enough Data")</f>
        <v>-0.70065594122288566</v>
      </c>
      <c r="H517">
        <v>2.8213598135877649E-2</v>
      </c>
    </row>
    <row r="518" spans="1:8" x14ac:dyDescent="0.35">
      <c r="A518" t="str">
        <f t="shared" si="8"/>
        <v>18097341903_2025</v>
      </c>
      <c r="B518">
        <v>18097341903</v>
      </c>
      <c r="C518">
        <v>2025</v>
      </c>
      <c r="E518">
        <f>-(IF(VLOOKUP(B518,'2023 Z Scores'!$A$1:$K$309,11,FALSE)&gt;2,VLOOKUP(B518,'2023 Z Scores'!$A$1:$K$309,10,FALSE)/VLOOKUP(B518,'2023 Z Scores'!$A$1:$K$309,11,FALSE),"Not Enough data"))</f>
        <v>0.76841048256214839</v>
      </c>
      <c r="F518">
        <f>IF(VLOOKUP(A518,'Delta Z Scores'!$A$1:$N$1541,14,FALSE)&gt;2,VLOOKUP(A518,'Delta Z Scores'!$A$1:$N$1541,13,FALSE)/VLOOKUP(A518,'Delta Z Scores'!$A$1:$N$1541,14,FALSE),"Not Enough Data")</f>
        <v>-0.16064010851855723</v>
      </c>
      <c r="G518">
        <f>IF(VLOOKUP(A518,'Forecast Z Scores'!$A$1:$N$1541,14,FALSE)&gt;2,VLOOKUP(A518,'Forecast Z Scores'!$A$1:$N$1541,13,FALSE)/VLOOKUP(A518,'Forecast Z Scores'!$A$1:$N$1541,14,FALSE),"Not Enough Data")</f>
        <v>-0.75338107776871244</v>
      </c>
      <c r="H518">
        <v>-7.656270306091964E-2</v>
      </c>
    </row>
    <row r="519" spans="1:8" x14ac:dyDescent="0.35">
      <c r="A519" t="str">
        <f t="shared" si="8"/>
        <v>18097341903_2026</v>
      </c>
      <c r="B519">
        <v>18097341903</v>
      </c>
      <c r="C519">
        <v>2026</v>
      </c>
      <c r="E519">
        <f>-(IF(VLOOKUP(B519,'2023 Z Scores'!$A$1:$K$309,11,FALSE)&gt;2,VLOOKUP(B519,'2023 Z Scores'!$A$1:$K$309,10,FALSE)/VLOOKUP(B519,'2023 Z Scores'!$A$1:$K$309,11,FALSE),"Not Enough data"))</f>
        <v>0.76841048256214839</v>
      </c>
      <c r="F519">
        <f>IF(VLOOKUP(A519,'Delta Z Scores'!$A$1:$N$1541,14,FALSE)&gt;2,VLOOKUP(A519,'Delta Z Scores'!$A$1:$N$1541,13,FALSE)/VLOOKUP(A519,'Delta Z Scores'!$A$1:$N$1541,14,FALSE),"Not Enough Data")</f>
        <v>-0.39168830767914919</v>
      </c>
      <c r="G519">
        <f>IF(VLOOKUP(A519,'Forecast Z Scores'!$A$1:$N$1541,14,FALSE)&gt;2,VLOOKUP(A519,'Forecast Z Scores'!$A$1:$N$1541,13,FALSE)/VLOOKUP(A519,'Forecast Z Scores'!$A$1:$N$1541,14,FALSE),"Not Enough Data")</f>
        <v>-0.78800562339645508</v>
      </c>
      <c r="H519">
        <v>-0.2007429390481513</v>
      </c>
    </row>
    <row r="520" spans="1:8" x14ac:dyDescent="0.35">
      <c r="A520" t="str">
        <f t="shared" si="8"/>
        <v>18097341903_2027</v>
      </c>
      <c r="B520">
        <v>18097341903</v>
      </c>
      <c r="C520">
        <v>2027</v>
      </c>
      <c r="E520">
        <f>-(IF(VLOOKUP(B520,'2023 Z Scores'!$A$1:$K$309,11,FALSE)&gt;2,VLOOKUP(B520,'2023 Z Scores'!$A$1:$K$309,10,FALSE)/VLOOKUP(B520,'2023 Z Scores'!$A$1:$K$309,11,FALSE),"Not Enough data"))</f>
        <v>0.76841048256214839</v>
      </c>
      <c r="F520">
        <f>IF(VLOOKUP(A520,'Delta Z Scores'!$A$1:$N$1541,14,FALSE)&gt;2,VLOOKUP(A520,'Delta Z Scores'!$A$1:$N$1541,13,FALSE)/VLOOKUP(A520,'Delta Z Scores'!$A$1:$N$1541,14,FALSE),"Not Enough Data")</f>
        <v>-0.16625759692651224</v>
      </c>
      <c r="G520">
        <f>IF(VLOOKUP(A520,'Forecast Z Scores'!$A$1:$N$1541,14,FALSE)&gt;2,VLOOKUP(A520,'Forecast Z Scores'!$A$1:$N$1541,13,FALSE)/VLOOKUP(A520,'Forecast Z Scores'!$A$1:$N$1541,14,FALSE),"Not Enough Data")</f>
        <v>-0.81354545745146289</v>
      </c>
      <c r="H520">
        <v>-9.441254218558473E-2</v>
      </c>
    </row>
    <row r="521" spans="1:8" x14ac:dyDescent="0.35">
      <c r="A521" t="str">
        <f t="shared" si="8"/>
        <v>18097341903_2028</v>
      </c>
      <c r="B521">
        <v>18097341903</v>
      </c>
      <c r="C521">
        <v>2028</v>
      </c>
      <c r="E521">
        <f>-(IF(VLOOKUP(B521,'2023 Z Scores'!$A$1:$K$309,11,FALSE)&gt;2,VLOOKUP(B521,'2023 Z Scores'!$A$1:$K$309,10,FALSE)/VLOOKUP(B521,'2023 Z Scores'!$A$1:$K$309,11,FALSE),"Not Enough data"))</f>
        <v>0.76841048256214839</v>
      </c>
      <c r="F521">
        <f>IF(VLOOKUP(A521,'Delta Z Scores'!$A$1:$N$1541,14,FALSE)&gt;2,VLOOKUP(A521,'Delta Z Scores'!$A$1:$N$1541,13,FALSE)/VLOOKUP(A521,'Delta Z Scores'!$A$1:$N$1541,14,FALSE),"Not Enough Data")</f>
        <v>-0.30580490994026455</v>
      </c>
      <c r="G521">
        <f>IF(VLOOKUP(A521,'Forecast Z Scores'!$A$1:$N$1541,14,FALSE)&gt;2,VLOOKUP(A521,'Forecast Z Scores'!$A$1:$N$1541,13,FALSE)/VLOOKUP(A521,'Forecast Z Scores'!$A$1:$N$1541,14,FALSE),"Not Enough Data")</f>
        <v>-0.82436264269102899</v>
      </c>
      <c r="H521">
        <v>-0.1668904950023524</v>
      </c>
    </row>
    <row r="522" spans="1:8" x14ac:dyDescent="0.35">
      <c r="A522" t="str">
        <f t="shared" si="8"/>
        <v>18097341904_2024</v>
      </c>
      <c r="B522">
        <v>18097341904</v>
      </c>
      <c r="C522">
        <v>2024</v>
      </c>
      <c r="E522">
        <f>-(IF(VLOOKUP(B522,'2023 Z Scores'!$A$1:$K$309,11,FALSE)&gt;2,VLOOKUP(B522,'2023 Z Scores'!$A$1:$K$309,10,FALSE)/VLOOKUP(B522,'2023 Z Scores'!$A$1:$K$309,11,FALSE),"Not Enough data"))</f>
        <v>0.21248755145431478</v>
      </c>
      <c r="F522">
        <f>IF(VLOOKUP(A522,'Delta Z Scores'!$A$1:$N$1541,14,FALSE)&gt;2,VLOOKUP(A522,'Delta Z Scores'!$A$1:$N$1541,13,FALSE)/VLOOKUP(A522,'Delta Z Scores'!$A$1:$N$1541,14,FALSE),"Not Enough Data")</f>
        <v>0.48297456833644631</v>
      </c>
      <c r="G522">
        <f>IF(VLOOKUP(A522,'Forecast Z Scores'!$A$1:$N$1541,14,FALSE)&gt;2,VLOOKUP(A522,'Forecast Z Scores'!$A$1:$N$1541,13,FALSE)/VLOOKUP(A522,'Forecast Z Scores'!$A$1:$N$1541,14,FALSE),"Not Enough Data")</f>
        <v>-0.16615016125210141</v>
      </c>
      <c r="H522">
        <v>0.2530716317187765</v>
      </c>
    </row>
    <row r="523" spans="1:8" x14ac:dyDescent="0.35">
      <c r="A523" t="str">
        <f t="shared" si="8"/>
        <v>18097341904_2025</v>
      </c>
      <c r="B523">
        <v>18097341904</v>
      </c>
      <c r="C523">
        <v>2025</v>
      </c>
      <c r="E523">
        <f>-(IF(VLOOKUP(B523,'2023 Z Scores'!$A$1:$K$309,11,FALSE)&gt;2,VLOOKUP(B523,'2023 Z Scores'!$A$1:$K$309,10,FALSE)/VLOOKUP(B523,'2023 Z Scores'!$A$1:$K$309,11,FALSE),"Not Enough data"))</f>
        <v>0.21248755145431478</v>
      </c>
      <c r="F523">
        <f>IF(VLOOKUP(A523,'Delta Z Scores'!$A$1:$N$1541,14,FALSE)&gt;2,VLOOKUP(A523,'Delta Z Scores'!$A$1:$N$1541,13,FALSE)/VLOOKUP(A523,'Delta Z Scores'!$A$1:$N$1541,14,FALSE),"Not Enough Data")</f>
        <v>0.58843211082209534</v>
      </c>
      <c r="G523">
        <f>IF(VLOOKUP(A523,'Forecast Z Scores'!$A$1:$N$1541,14,FALSE)&gt;2,VLOOKUP(A523,'Forecast Z Scores'!$A$1:$N$1541,13,FALSE)/VLOOKUP(A523,'Forecast Z Scores'!$A$1:$N$1541,14,FALSE),"Not Enough Data")</f>
        <v>-8.8150378518361203E-2</v>
      </c>
      <c r="H523">
        <v>0.32530034864503604</v>
      </c>
    </row>
    <row r="524" spans="1:8" x14ac:dyDescent="0.35">
      <c r="A524" t="str">
        <f t="shared" si="8"/>
        <v>18097341904_2026</v>
      </c>
      <c r="B524">
        <v>18097341904</v>
      </c>
      <c r="C524">
        <v>2026</v>
      </c>
      <c r="E524">
        <f>-(IF(VLOOKUP(B524,'2023 Z Scores'!$A$1:$K$309,11,FALSE)&gt;2,VLOOKUP(B524,'2023 Z Scores'!$A$1:$K$309,10,FALSE)/VLOOKUP(B524,'2023 Z Scores'!$A$1:$K$309,11,FALSE),"Not Enough data"))</f>
        <v>0.21248755145431478</v>
      </c>
      <c r="F524">
        <f>IF(VLOOKUP(A524,'Delta Z Scores'!$A$1:$N$1541,14,FALSE)&gt;2,VLOOKUP(A524,'Delta Z Scores'!$A$1:$N$1541,13,FALSE)/VLOOKUP(A524,'Delta Z Scores'!$A$1:$N$1541,14,FALSE),"Not Enough Data")</f>
        <v>0.45205302233670147</v>
      </c>
      <c r="G524">
        <f>IF(VLOOKUP(A524,'Forecast Z Scores'!$A$1:$N$1541,14,FALSE)&gt;2,VLOOKUP(A524,'Forecast Z Scores'!$A$1:$N$1541,13,FALSE)/VLOOKUP(A524,'Forecast Z Scores'!$A$1:$N$1541,14,FALSE),"Not Enough Data")</f>
        <v>-9.4836864014810217E-4</v>
      </c>
      <c r="H524">
        <v>0.27891130687189242</v>
      </c>
    </row>
    <row r="525" spans="1:8" x14ac:dyDescent="0.35">
      <c r="A525" t="str">
        <f t="shared" si="8"/>
        <v>18097341904_2027</v>
      </c>
      <c r="B525">
        <v>18097341904</v>
      </c>
      <c r="C525">
        <v>2027</v>
      </c>
      <c r="E525">
        <f>-(IF(VLOOKUP(B525,'2023 Z Scores'!$A$1:$K$309,11,FALSE)&gt;2,VLOOKUP(B525,'2023 Z Scores'!$A$1:$K$309,10,FALSE)/VLOOKUP(B525,'2023 Z Scores'!$A$1:$K$309,11,FALSE),"Not Enough data"))</f>
        <v>0.21248755145431478</v>
      </c>
      <c r="F525">
        <f>IF(VLOOKUP(A525,'Delta Z Scores'!$A$1:$N$1541,14,FALSE)&gt;2,VLOOKUP(A525,'Delta Z Scores'!$A$1:$N$1541,13,FALSE)/VLOOKUP(A525,'Delta Z Scores'!$A$1:$N$1541,14,FALSE),"Not Enough Data")</f>
        <v>0.54254940639711424</v>
      </c>
      <c r="G525">
        <f>IF(VLOOKUP(A525,'Forecast Z Scores'!$A$1:$N$1541,14,FALSE)&gt;2,VLOOKUP(A525,'Forecast Z Scores'!$A$1:$N$1541,13,FALSE)/VLOOKUP(A525,'Forecast Z Scores'!$A$1:$N$1541,14,FALSE),"Not Enough Data")</f>
        <v>9.0356196041853895E-2</v>
      </c>
      <c r="H525">
        <v>0.3469856400725993</v>
      </c>
    </row>
    <row r="526" spans="1:8" x14ac:dyDescent="0.35">
      <c r="A526" t="str">
        <f t="shared" si="8"/>
        <v>18097341904_2028</v>
      </c>
      <c r="B526">
        <v>18097341904</v>
      </c>
      <c r="C526">
        <v>2028</v>
      </c>
      <c r="E526">
        <f>-(IF(VLOOKUP(B526,'2023 Z Scores'!$A$1:$K$309,11,FALSE)&gt;2,VLOOKUP(B526,'2023 Z Scores'!$A$1:$K$309,10,FALSE)/VLOOKUP(B526,'2023 Z Scores'!$A$1:$K$309,11,FALSE),"Not Enough data"))</f>
        <v>0.21248755145431478</v>
      </c>
      <c r="F526">
        <f>IF(VLOOKUP(A526,'Delta Z Scores'!$A$1:$N$1541,14,FALSE)&gt;2,VLOOKUP(A526,'Delta Z Scores'!$A$1:$N$1541,13,FALSE)/VLOOKUP(A526,'Delta Z Scores'!$A$1:$N$1541,14,FALSE),"Not Enough Data")</f>
        <v>0.35593098321027139</v>
      </c>
      <c r="G526">
        <f>IF(VLOOKUP(A526,'Forecast Z Scores'!$A$1:$N$1541,14,FALSE)&gt;2,VLOOKUP(A526,'Forecast Z Scores'!$A$1:$N$1541,13,FALSE)/VLOOKUP(A526,'Forecast Z Scores'!$A$1:$N$1541,14,FALSE),"Not Enough Data")</f>
        <v>0.17641956755221508</v>
      </c>
      <c r="H526">
        <v>0.27519227135676816</v>
      </c>
    </row>
    <row r="527" spans="1:8" x14ac:dyDescent="0.35">
      <c r="A527" t="str">
        <f t="shared" si="8"/>
        <v>18097342000_2024</v>
      </c>
      <c r="B527">
        <v>18097342000</v>
      </c>
      <c r="C527">
        <v>2024</v>
      </c>
      <c r="E527">
        <f>-(IF(VLOOKUP(B527,'2023 Z Scores'!$A$1:$K$309,11,FALSE)&gt;2,VLOOKUP(B527,'2023 Z Scores'!$A$1:$K$309,10,FALSE)/VLOOKUP(B527,'2023 Z Scores'!$A$1:$K$309,11,FALSE),"Not Enough data"))</f>
        <v>0.24374031562934509</v>
      </c>
      <c r="F527">
        <f>IF(VLOOKUP(A527,'Delta Z Scores'!$A$1:$N$1541,14,FALSE)&gt;2,VLOOKUP(A527,'Delta Z Scores'!$A$1:$N$1541,13,FALSE)/VLOOKUP(A527,'Delta Z Scores'!$A$1:$N$1541,14,FALSE),"Not Enough Data")</f>
        <v>-0.17110719597057475</v>
      </c>
      <c r="G527">
        <f>IF(VLOOKUP(A527,'Forecast Z Scores'!$A$1:$N$1541,14,FALSE)&gt;2,VLOOKUP(A527,'Forecast Z Scores'!$A$1:$N$1541,13,FALSE)/VLOOKUP(A527,'Forecast Z Scores'!$A$1:$N$1541,14,FALSE),"Not Enough Data")</f>
        <v>-0.24940606164947357</v>
      </c>
      <c r="H527">
        <v>-8.6970034490319509E-2</v>
      </c>
    </row>
    <row r="528" spans="1:8" x14ac:dyDescent="0.35">
      <c r="A528" t="str">
        <f t="shared" si="8"/>
        <v>18097342000_2025</v>
      </c>
      <c r="B528">
        <v>18097342000</v>
      </c>
      <c r="C528">
        <v>2025</v>
      </c>
      <c r="E528">
        <f>-(IF(VLOOKUP(B528,'2023 Z Scores'!$A$1:$K$309,11,FALSE)&gt;2,VLOOKUP(B528,'2023 Z Scores'!$A$1:$K$309,10,FALSE)/VLOOKUP(B528,'2023 Z Scores'!$A$1:$K$309,11,FALSE),"Not Enough data"))</f>
        <v>0.24374031562934509</v>
      </c>
      <c r="F528">
        <f>IF(VLOOKUP(A528,'Delta Z Scores'!$A$1:$N$1541,14,FALSE)&gt;2,VLOOKUP(A528,'Delta Z Scores'!$A$1:$N$1541,13,FALSE)/VLOOKUP(A528,'Delta Z Scores'!$A$1:$N$1541,14,FALSE),"Not Enough Data")</f>
        <v>-0.81746733632453805</v>
      </c>
      <c r="G528">
        <f>IF(VLOOKUP(A528,'Forecast Z Scores'!$A$1:$N$1541,14,FALSE)&gt;2,VLOOKUP(A528,'Forecast Z Scores'!$A$1:$N$1541,13,FALSE)/VLOOKUP(A528,'Forecast Z Scores'!$A$1:$N$1541,14,FALSE),"Not Enough Data")</f>
        <v>-0.29498358866494051</v>
      </c>
      <c r="H528">
        <v>-0.42154448642116787</v>
      </c>
    </row>
    <row r="529" spans="1:8" x14ac:dyDescent="0.35">
      <c r="A529" t="str">
        <f t="shared" si="8"/>
        <v>18097342000_2026</v>
      </c>
      <c r="B529">
        <v>18097342000</v>
      </c>
      <c r="C529">
        <v>2026</v>
      </c>
      <c r="E529">
        <f>-(IF(VLOOKUP(B529,'2023 Z Scores'!$A$1:$K$309,11,FALSE)&gt;2,VLOOKUP(B529,'2023 Z Scores'!$A$1:$K$309,10,FALSE)/VLOOKUP(B529,'2023 Z Scores'!$A$1:$K$309,11,FALSE),"Not Enough data"))</f>
        <v>0.24374031562934509</v>
      </c>
      <c r="F529">
        <f>IF(VLOOKUP(A529,'Delta Z Scores'!$A$1:$N$1541,14,FALSE)&gt;2,VLOOKUP(A529,'Delta Z Scores'!$A$1:$N$1541,13,FALSE)/VLOOKUP(A529,'Delta Z Scores'!$A$1:$N$1541,14,FALSE),"Not Enough Data")</f>
        <v>-0.56890115932250229</v>
      </c>
      <c r="G529">
        <f>IF(VLOOKUP(A529,'Forecast Z Scores'!$A$1:$N$1541,14,FALSE)&gt;2,VLOOKUP(A529,'Forecast Z Scores'!$A$1:$N$1541,13,FALSE)/VLOOKUP(A529,'Forecast Z Scores'!$A$1:$N$1541,14,FALSE),"Not Enough Data")</f>
        <v>-0.31277084033973734</v>
      </c>
      <c r="H529">
        <v>-0.30170821083884919</v>
      </c>
    </row>
    <row r="530" spans="1:8" x14ac:dyDescent="0.35">
      <c r="A530" t="str">
        <f t="shared" si="8"/>
        <v>18097342000_2027</v>
      </c>
      <c r="B530">
        <v>18097342000</v>
      </c>
      <c r="C530">
        <v>2027</v>
      </c>
      <c r="E530">
        <f>-(IF(VLOOKUP(B530,'2023 Z Scores'!$A$1:$K$309,11,FALSE)&gt;2,VLOOKUP(B530,'2023 Z Scores'!$A$1:$K$309,10,FALSE)/VLOOKUP(B530,'2023 Z Scores'!$A$1:$K$309,11,FALSE),"Not Enough data"))</f>
        <v>0.24374031562934509</v>
      </c>
      <c r="F530">
        <f>IF(VLOOKUP(A530,'Delta Z Scores'!$A$1:$N$1541,14,FALSE)&gt;2,VLOOKUP(A530,'Delta Z Scores'!$A$1:$N$1541,13,FALSE)/VLOOKUP(A530,'Delta Z Scores'!$A$1:$N$1541,14,FALSE),"Not Enough Data")</f>
        <v>-0.91107976023471138</v>
      </c>
      <c r="G530">
        <f>IF(VLOOKUP(A530,'Forecast Z Scores'!$A$1:$N$1541,14,FALSE)&gt;2,VLOOKUP(A530,'Forecast Z Scores'!$A$1:$N$1541,13,FALSE)/VLOOKUP(A530,'Forecast Z Scores'!$A$1:$N$1541,14,FALSE),"Not Enough Data")</f>
        <v>-0.33910856636300546</v>
      </c>
      <c r="H530">
        <v>-0.47938194280077073</v>
      </c>
    </row>
    <row r="531" spans="1:8" x14ac:dyDescent="0.35">
      <c r="A531" t="str">
        <f t="shared" si="8"/>
        <v>18097342000_2028</v>
      </c>
      <c r="B531">
        <v>18097342000</v>
      </c>
      <c r="C531">
        <v>2028</v>
      </c>
      <c r="E531">
        <f>-(IF(VLOOKUP(B531,'2023 Z Scores'!$A$1:$K$309,11,FALSE)&gt;2,VLOOKUP(B531,'2023 Z Scores'!$A$1:$K$309,10,FALSE)/VLOOKUP(B531,'2023 Z Scores'!$A$1:$K$309,11,FALSE),"Not Enough data"))</f>
        <v>0.24374031562934509</v>
      </c>
      <c r="F531">
        <f>IF(VLOOKUP(A531,'Delta Z Scores'!$A$1:$N$1541,14,FALSE)&gt;2,VLOOKUP(A531,'Delta Z Scores'!$A$1:$N$1541,13,FALSE)/VLOOKUP(A531,'Delta Z Scores'!$A$1:$N$1541,14,FALSE),"Not Enough Data")</f>
        <v>-0.83378542896473384</v>
      </c>
      <c r="G531">
        <f>IF(VLOOKUP(A531,'Forecast Z Scores'!$A$1:$N$1541,14,FALSE)&gt;2,VLOOKUP(A531,'Forecast Z Scores'!$A$1:$N$1541,13,FALSE)/VLOOKUP(A531,'Forecast Z Scores'!$A$1:$N$1541,14,FALSE),"Not Enough Data")</f>
        <v>-0.35666796753183017</v>
      </c>
      <c r="H531">
        <v>-0.4451246274579882</v>
      </c>
    </row>
    <row r="532" spans="1:8" x14ac:dyDescent="0.35">
      <c r="A532" t="str">
        <f t="shared" si="8"/>
        <v>18097342101_2024</v>
      </c>
      <c r="B532">
        <v>18097342101</v>
      </c>
      <c r="C532">
        <v>2024</v>
      </c>
      <c r="E532">
        <f>-(IF(VLOOKUP(B532,'2023 Z Scores'!$A$1:$K$309,11,FALSE)&gt;2,VLOOKUP(B532,'2023 Z Scores'!$A$1:$K$309,10,FALSE)/VLOOKUP(B532,'2023 Z Scores'!$A$1:$K$309,11,FALSE),"Not Enough data"))</f>
        <v>0.35524726027647463</v>
      </c>
      <c r="F532">
        <f>IF(VLOOKUP(A532,'Delta Z Scores'!$A$1:$N$1541,14,FALSE)&gt;2,VLOOKUP(A532,'Delta Z Scores'!$A$1:$N$1541,13,FALSE)/VLOOKUP(A532,'Delta Z Scores'!$A$1:$N$1541,14,FALSE),"Not Enough Data")</f>
        <v>-4.6978593244706178E-2</v>
      </c>
      <c r="G532">
        <f>IF(VLOOKUP(A532,'Forecast Z Scores'!$A$1:$N$1541,14,FALSE)&gt;2,VLOOKUP(A532,'Forecast Z Scores'!$A$1:$N$1541,13,FALSE)/VLOOKUP(A532,'Forecast Z Scores'!$A$1:$N$1541,14,FALSE),"Not Enough Data")</f>
        <v>-0.24778949919481463</v>
      </c>
      <c r="H532">
        <v>3.3751436480619068E-3</v>
      </c>
    </row>
    <row r="533" spans="1:8" x14ac:dyDescent="0.35">
      <c r="A533" t="str">
        <f t="shared" si="8"/>
        <v>18097342101_2025</v>
      </c>
      <c r="B533">
        <v>18097342101</v>
      </c>
      <c r="C533">
        <v>2025</v>
      </c>
      <c r="E533">
        <f>-(IF(VLOOKUP(B533,'2023 Z Scores'!$A$1:$K$309,11,FALSE)&gt;2,VLOOKUP(B533,'2023 Z Scores'!$A$1:$K$309,10,FALSE)/VLOOKUP(B533,'2023 Z Scores'!$A$1:$K$309,11,FALSE),"Not Enough data"))</f>
        <v>0.35524726027647463</v>
      </c>
      <c r="F533">
        <f>IF(VLOOKUP(A533,'Delta Z Scores'!$A$1:$N$1541,14,FALSE)&gt;2,VLOOKUP(A533,'Delta Z Scores'!$A$1:$N$1541,13,FALSE)/VLOOKUP(A533,'Delta Z Scores'!$A$1:$N$1541,14,FALSE),"Not Enough Data")</f>
        <v>0.37792863604019417</v>
      </c>
      <c r="G533">
        <f>IF(VLOOKUP(A533,'Forecast Z Scores'!$A$1:$N$1541,14,FALSE)&gt;2,VLOOKUP(A533,'Forecast Z Scores'!$A$1:$N$1541,13,FALSE)/VLOOKUP(A533,'Forecast Z Scores'!$A$1:$N$1541,14,FALSE),"Not Enough Data")</f>
        <v>-0.22929648907653447</v>
      </c>
      <c r="H533">
        <v>0.22045201082008214</v>
      </c>
    </row>
    <row r="534" spans="1:8" x14ac:dyDescent="0.35">
      <c r="A534" t="str">
        <f t="shared" si="8"/>
        <v>18097342101_2026</v>
      </c>
      <c r="B534">
        <v>18097342101</v>
      </c>
      <c r="C534">
        <v>2026</v>
      </c>
      <c r="E534">
        <f>-(IF(VLOOKUP(B534,'2023 Z Scores'!$A$1:$K$309,11,FALSE)&gt;2,VLOOKUP(B534,'2023 Z Scores'!$A$1:$K$309,10,FALSE)/VLOOKUP(B534,'2023 Z Scores'!$A$1:$K$309,11,FALSE),"Not Enough data"))</f>
        <v>0.35524726027647463</v>
      </c>
      <c r="F534">
        <f>IF(VLOOKUP(A534,'Delta Z Scores'!$A$1:$N$1541,14,FALSE)&gt;2,VLOOKUP(A534,'Delta Z Scores'!$A$1:$N$1541,13,FALSE)/VLOOKUP(A534,'Delta Z Scores'!$A$1:$N$1541,14,FALSE),"Not Enough Data")</f>
        <v>-0.28533117180297313</v>
      </c>
      <c r="G534">
        <f>IF(VLOOKUP(A534,'Forecast Z Scores'!$A$1:$N$1541,14,FALSE)&gt;2,VLOOKUP(A534,'Forecast Z Scores'!$A$1:$N$1541,13,FALSE)/VLOOKUP(A534,'Forecast Z Scores'!$A$1:$N$1541,14,FALSE),"Not Enough Data")</f>
        <v>-0.27929115934872839</v>
      </c>
      <c r="H534">
        <v>-0.12367656066955</v>
      </c>
    </row>
    <row r="535" spans="1:8" x14ac:dyDescent="0.35">
      <c r="A535" t="str">
        <f t="shared" si="8"/>
        <v>18097342101_2027</v>
      </c>
      <c r="B535">
        <v>18097342101</v>
      </c>
      <c r="C535">
        <v>2027</v>
      </c>
      <c r="E535">
        <f>-(IF(VLOOKUP(B535,'2023 Z Scores'!$A$1:$K$309,11,FALSE)&gt;2,VLOOKUP(B535,'2023 Z Scores'!$A$1:$K$309,10,FALSE)/VLOOKUP(B535,'2023 Z Scores'!$A$1:$K$309,11,FALSE),"Not Enough data"))</f>
        <v>0.35524726027647463</v>
      </c>
      <c r="F535">
        <f>IF(VLOOKUP(A535,'Delta Z Scores'!$A$1:$N$1541,14,FALSE)&gt;2,VLOOKUP(A535,'Delta Z Scores'!$A$1:$N$1541,13,FALSE)/VLOOKUP(A535,'Delta Z Scores'!$A$1:$N$1541,14,FALSE),"Not Enough Data")</f>
        <v>0.19182847561782476</v>
      </c>
      <c r="G535">
        <f>IF(VLOOKUP(A535,'Forecast Z Scores'!$A$1:$N$1541,14,FALSE)&gt;2,VLOOKUP(A535,'Forecast Z Scores'!$A$1:$N$1541,13,FALSE)/VLOOKUP(A535,'Forecast Z Scores'!$A$1:$N$1541,14,FALSE),"Not Enough Data")</f>
        <v>-0.27691911951347087</v>
      </c>
      <c r="H535">
        <v>0.11549627299966332</v>
      </c>
    </row>
    <row r="536" spans="1:8" x14ac:dyDescent="0.35">
      <c r="A536" t="str">
        <f t="shared" si="8"/>
        <v>18097342101_2028</v>
      </c>
      <c r="B536">
        <v>18097342101</v>
      </c>
      <c r="C536">
        <v>2028</v>
      </c>
      <c r="E536">
        <f>-(IF(VLOOKUP(B536,'2023 Z Scores'!$A$1:$K$309,11,FALSE)&gt;2,VLOOKUP(B536,'2023 Z Scores'!$A$1:$K$309,10,FALSE)/VLOOKUP(B536,'2023 Z Scores'!$A$1:$K$309,11,FALSE),"Not Enough data"))</f>
        <v>0.35524726027647463</v>
      </c>
      <c r="F536">
        <f>IF(VLOOKUP(A536,'Delta Z Scores'!$A$1:$N$1541,14,FALSE)&gt;2,VLOOKUP(A536,'Delta Z Scores'!$A$1:$N$1541,13,FALSE)/VLOOKUP(A536,'Delta Z Scores'!$A$1:$N$1541,14,FALSE),"Not Enough Data")</f>
        <v>-0.11126747199593096</v>
      </c>
      <c r="G536">
        <f>IF(VLOOKUP(A536,'Forecast Z Scores'!$A$1:$N$1541,14,FALSE)&gt;2,VLOOKUP(A536,'Forecast Z Scores'!$A$1:$N$1541,13,FALSE)/VLOOKUP(A536,'Forecast Z Scores'!$A$1:$N$1541,14,FALSE),"Not Enough Data")</f>
        <v>-0.31709777631724201</v>
      </c>
      <c r="H536">
        <v>-4.6096365008157322E-2</v>
      </c>
    </row>
    <row r="537" spans="1:8" x14ac:dyDescent="0.35">
      <c r="A537" t="str">
        <f t="shared" si="8"/>
        <v>18097342200_2024</v>
      </c>
      <c r="B537">
        <v>18097342200</v>
      </c>
      <c r="C537">
        <v>2024</v>
      </c>
      <c r="E537">
        <f>-(IF(VLOOKUP(B537,'2023 Z Scores'!$A$1:$K$309,11,FALSE)&gt;2,VLOOKUP(B537,'2023 Z Scores'!$A$1:$K$309,10,FALSE)/VLOOKUP(B537,'2023 Z Scores'!$A$1:$K$309,11,FALSE),"Not Enough data"))</f>
        <v>0.45277696696483322</v>
      </c>
      <c r="F537">
        <f>IF(VLOOKUP(A537,'Delta Z Scores'!$A$1:$N$1541,14,FALSE)&gt;2,VLOOKUP(A537,'Delta Z Scores'!$A$1:$N$1541,13,FALSE)/VLOOKUP(A537,'Delta Z Scores'!$A$1:$N$1541,14,FALSE),"Not Enough Data")</f>
        <v>0.36565426871770096</v>
      </c>
      <c r="G537">
        <f>IF(VLOOKUP(A537,'Forecast Z Scores'!$A$1:$N$1541,14,FALSE)&gt;2,VLOOKUP(A537,'Forecast Z Scores'!$A$1:$N$1541,13,FALSE)/VLOOKUP(A537,'Forecast Z Scores'!$A$1:$N$1541,14,FALSE),"Not Enough Data")</f>
        <v>-0.24548100813179621</v>
      </c>
      <c r="H537">
        <v>0.23465112406710975</v>
      </c>
    </row>
    <row r="538" spans="1:8" x14ac:dyDescent="0.35">
      <c r="A538" t="str">
        <f t="shared" si="8"/>
        <v>18097342200_2025</v>
      </c>
      <c r="B538">
        <v>18097342200</v>
      </c>
      <c r="C538">
        <v>2025</v>
      </c>
      <c r="E538">
        <f>-(IF(VLOOKUP(B538,'2023 Z Scores'!$A$1:$K$309,11,FALSE)&gt;2,VLOOKUP(B538,'2023 Z Scores'!$A$1:$K$309,10,FALSE)/VLOOKUP(B538,'2023 Z Scores'!$A$1:$K$309,11,FALSE),"Not Enough data"))</f>
        <v>0.45277696696483322</v>
      </c>
      <c r="F538">
        <f>IF(VLOOKUP(A538,'Delta Z Scores'!$A$1:$N$1541,14,FALSE)&gt;2,VLOOKUP(A538,'Delta Z Scores'!$A$1:$N$1541,13,FALSE)/VLOOKUP(A538,'Delta Z Scores'!$A$1:$N$1541,14,FALSE),"Not Enough Data")</f>
        <v>-0.2637064987368592</v>
      </c>
      <c r="G538">
        <f>IF(VLOOKUP(A538,'Forecast Z Scores'!$A$1:$N$1541,14,FALSE)&gt;2,VLOOKUP(A538,'Forecast Z Scores'!$A$1:$N$1541,13,FALSE)/VLOOKUP(A538,'Forecast Z Scores'!$A$1:$N$1541,14,FALSE),"Not Enough Data")</f>
        <v>-0.29301451401271056</v>
      </c>
      <c r="H538">
        <v>-9.1912636130398948E-2</v>
      </c>
    </row>
    <row r="539" spans="1:8" x14ac:dyDescent="0.35">
      <c r="A539" t="str">
        <f t="shared" si="8"/>
        <v>18097342200_2026</v>
      </c>
      <c r="B539">
        <v>18097342200</v>
      </c>
      <c r="C539">
        <v>2026</v>
      </c>
      <c r="E539">
        <f>-(IF(VLOOKUP(B539,'2023 Z Scores'!$A$1:$K$309,11,FALSE)&gt;2,VLOOKUP(B539,'2023 Z Scores'!$A$1:$K$309,10,FALSE)/VLOOKUP(B539,'2023 Z Scores'!$A$1:$K$309,11,FALSE),"Not Enough data"))</f>
        <v>0.45277696696483322</v>
      </c>
      <c r="F539">
        <f>IF(VLOOKUP(A539,'Delta Z Scores'!$A$1:$N$1541,14,FALSE)&gt;2,VLOOKUP(A539,'Delta Z Scores'!$A$1:$N$1541,13,FALSE)/VLOOKUP(A539,'Delta Z Scores'!$A$1:$N$1541,14,FALSE),"Not Enough Data")</f>
        <v>0.43246798713698986</v>
      </c>
      <c r="G539">
        <f>IF(VLOOKUP(A539,'Forecast Z Scores'!$A$1:$N$1541,14,FALSE)&gt;2,VLOOKUP(A539,'Forecast Z Scores'!$A$1:$N$1541,13,FALSE)/VLOOKUP(A539,'Forecast Z Scores'!$A$1:$N$1541,14,FALSE),"Not Enough Data")</f>
        <v>-0.26838397096831929</v>
      </c>
      <c r="H539">
        <v>0.26233224256762339</v>
      </c>
    </row>
    <row r="540" spans="1:8" x14ac:dyDescent="0.35">
      <c r="A540" t="str">
        <f t="shared" si="8"/>
        <v>18097342200_2027</v>
      </c>
      <c r="B540">
        <v>18097342200</v>
      </c>
      <c r="C540">
        <v>2027</v>
      </c>
      <c r="E540">
        <f>-(IF(VLOOKUP(B540,'2023 Z Scores'!$A$1:$K$309,11,FALSE)&gt;2,VLOOKUP(B540,'2023 Z Scores'!$A$1:$K$309,10,FALSE)/VLOOKUP(B540,'2023 Z Scores'!$A$1:$K$309,11,FALSE),"Not Enough data"))</f>
        <v>0.45277696696483322</v>
      </c>
      <c r="F540">
        <f>IF(VLOOKUP(A540,'Delta Z Scores'!$A$1:$N$1541,14,FALSE)&gt;2,VLOOKUP(A540,'Delta Z Scores'!$A$1:$N$1541,13,FALSE)/VLOOKUP(A540,'Delta Z Scores'!$A$1:$N$1541,14,FALSE),"Not Enough Data")</f>
        <v>-0.10209610327035214</v>
      </c>
      <c r="G540">
        <f>IF(VLOOKUP(A540,'Forecast Z Scores'!$A$1:$N$1541,14,FALSE)&gt;2,VLOOKUP(A540,'Forecast Z Scores'!$A$1:$N$1541,13,FALSE)/VLOOKUP(A540,'Forecast Z Scores'!$A$1:$N$1541,14,FALSE),"Not Enough Data")</f>
        <v>-0.31054356564367802</v>
      </c>
      <c r="H540">
        <v>-1.5489701304887263E-2</v>
      </c>
    </row>
    <row r="541" spans="1:8" x14ac:dyDescent="0.35">
      <c r="A541" t="str">
        <f t="shared" si="8"/>
        <v>18097342200_2028</v>
      </c>
      <c r="B541">
        <v>18097342200</v>
      </c>
      <c r="C541">
        <v>2028</v>
      </c>
      <c r="E541">
        <f>-(IF(VLOOKUP(B541,'2023 Z Scores'!$A$1:$K$309,11,FALSE)&gt;2,VLOOKUP(B541,'2023 Z Scores'!$A$1:$K$309,10,FALSE)/VLOOKUP(B541,'2023 Z Scores'!$A$1:$K$309,11,FALSE),"Not Enough data"))</f>
        <v>0.45277696696483322</v>
      </c>
      <c r="F541">
        <f>IF(VLOOKUP(A541,'Delta Z Scores'!$A$1:$N$1541,14,FALSE)&gt;2,VLOOKUP(A541,'Delta Z Scores'!$A$1:$N$1541,13,FALSE)/VLOOKUP(A541,'Delta Z Scores'!$A$1:$N$1541,14,FALSE),"Not Enough Data")</f>
        <v>0.34595496973005313</v>
      </c>
      <c r="G541">
        <f>IF(VLOOKUP(A541,'Forecast Z Scores'!$A$1:$N$1541,14,FALSE)&gt;2,VLOOKUP(A541,'Forecast Z Scores'!$A$1:$N$1541,13,FALSE)/VLOOKUP(A541,'Forecast Z Scores'!$A$1:$N$1541,14,FALSE),"Not Enough Data")</f>
        <v>-0.30608658748262202</v>
      </c>
      <c r="H541">
        <v>0.20965007973557936</v>
      </c>
    </row>
    <row r="542" spans="1:8" x14ac:dyDescent="0.35">
      <c r="A542" t="str">
        <f t="shared" si="8"/>
        <v>18097342300_2024</v>
      </c>
      <c r="B542">
        <v>18097342300</v>
      </c>
      <c r="C542">
        <v>2024</v>
      </c>
      <c r="E542">
        <f>-(IF(VLOOKUP(B542,'2023 Z Scores'!$A$1:$K$309,11,FALSE)&gt;2,VLOOKUP(B542,'2023 Z Scores'!$A$1:$K$309,10,FALSE)/VLOOKUP(B542,'2023 Z Scores'!$A$1:$K$309,11,FALSE),"Not Enough data"))</f>
        <v>0.30533345766448283</v>
      </c>
      <c r="F542">
        <f>IF(VLOOKUP(A542,'Delta Z Scores'!$A$1:$N$1541,14,FALSE)&gt;2,VLOOKUP(A542,'Delta Z Scores'!$A$1:$N$1541,13,FALSE)/VLOOKUP(A542,'Delta Z Scores'!$A$1:$N$1541,14,FALSE),"Not Enough Data")</f>
        <v>0.45765250677599517</v>
      </c>
      <c r="G542">
        <f>IF(VLOOKUP(A542,'Forecast Z Scores'!$A$1:$N$1541,14,FALSE)&gt;2,VLOOKUP(A542,'Forecast Z Scores'!$A$1:$N$1541,13,FALSE)/VLOOKUP(A542,'Forecast Z Scores'!$A$1:$N$1541,14,FALSE),"Not Enough Data")</f>
        <v>1.1274333091128685E-2</v>
      </c>
      <c r="H542">
        <v>0.30797820107690044</v>
      </c>
    </row>
    <row r="543" spans="1:8" x14ac:dyDescent="0.35">
      <c r="A543" t="str">
        <f t="shared" si="8"/>
        <v>18097342300_2025</v>
      </c>
      <c r="B543">
        <v>18097342300</v>
      </c>
      <c r="C543">
        <v>2025</v>
      </c>
      <c r="E543">
        <f>-(IF(VLOOKUP(B543,'2023 Z Scores'!$A$1:$K$309,11,FALSE)&gt;2,VLOOKUP(B543,'2023 Z Scores'!$A$1:$K$309,10,FALSE)/VLOOKUP(B543,'2023 Z Scores'!$A$1:$K$309,11,FALSE),"Not Enough data"))</f>
        <v>0.30533345766448283</v>
      </c>
      <c r="F543">
        <f>IF(VLOOKUP(A543,'Delta Z Scores'!$A$1:$N$1541,14,FALSE)&gt;2,VLOOKUP(A543,'Delta Z Scores'!$A$1:$N$1541,13,FALSE)/VLOOKUP(A543,'Delta Z Scores'!$A$1:$N$1541,14,FALSE),"Not Enough Data")</f>
        <v>0.38892332675977465</v>
      </c>
      <c r="G543">
        <f>IF(VLOOKUP(A543,'Forecast Z Scores'!$A$1:$N$1541,14,FALSE)&gt;2,VLOOKUP(A543,'Forecast Z Scores'!$A$1:$N$1541,13,FALSE)/VLOOKUP(A543,'Forecast Z Scores'!$A$1:$N$1541,14,FALSE),"Not Enough Data")</f>
        <v>2.0895809928471731E-3</v>
      </c>
      <c r="H543">
        <v>0.2713174230442198</v>
      </c>
    </row>
    <row r="544" spans="1:8" x14ac:dyDescent="0.35">
      <c r="A544" t="str">
        <f t="shared" si="8"/>
        <v>18097342300_2026</v>
      </c>
      <c r="B544">
        <v>18097342300</v>
      </c>
      <c r="C544">
        <v>2026</v>
      </c>
      <c r="E544">
        <f>-(IF(VLOOKUP(B544,'2023 Z Scores'!$A$1:$K$309,11,FALSE)&gt;2,VLOOKUP(B544,'2023 Z Scores'!$A$1:$K$309,10,FALSE)/VLOOKUP(B544,'2023 Z Scores'!$A$1:$K$309,11,FALSE),"Not Enough data"))</f>
        <v>0.30533345766448283</v>
      </c>
      <c r="F544">
        <f>IF(VLOOKUP(A544,'Delta Z Scores'!$A$1:$N$1541,14,FALSE)&gt;2,VLOOKUP(A544,'Delta Z Scores'!$A$1:$N$1541,13,FALSE)/VLOOKUP(A544,'Delta Z Scores'!$A$1:$N$1541,14,FALSE),"Not Enough Data")</f>
        <v>0.44083635273041871</v>
      </c>
      <c r="G544">
        <f>IF(VLOOKUP(A544,'Forecast Z Scores'!$A$1:$N$1541,14,FALSE)&gt;2,VLOOKUP(A544,'Forecast Z Scores'!$A$1:$N$1541,13,FALSE)/VLOOKUP(A544,'Forecast Z Scores'!$A$1:$N$1541,14,FALSE),"Not Enough Data")</f>
        <v>-1.6990780280861255E-2</v>
      </c>
      <c r="H544">
        <v>0.29250384571111476</v>
      </c>
    </row>
    <row r="545" spans="1:8" x14ac:dyDescent="0.35">
      <c r="A545" t="str">
        <f t="shared" si="8"/>
        <v>18097342300_2027</v>
      </c>
      <c r="B545">
        <v>18097342300</v>
      </c>
      <c r="C545">
        <v>2027</v>
      </c>
      <c r="E545">
        <f>-(IF(VLOOKUP(B545,'2023 Z Scores'!$A$1:$K$309,11,FALSE)&gt;2,VLOOKUP(B545,'2023 Z Scores'!$A$1:$K$309,10,FALSE)/VLOOKUP(B545,'2023 Z Scores'!$A$1:$K$309,11,FALSE),"Not Enough data"))</f>
        <v>0.30533345766448283</v>
      </c>
      <c r="F545">
        <f>IF(VLOOKUP(A545,'Delta Z Scores'!$A$1:$N$1541,14,FALSE)&gt;2,VLOOKUP(A545,'Delta Z Scores'!$A$1:$N$1541,13,FALSE)/VLOOKUP(A545,'Delta Z Scores'!$A$1:$N$1541,14,FALSE),"Not Enough Data")</f>
        <v>0.44719667178055211</v>
      </c>
      <c r="G545">
        <f>IF(VLOOKUP(A545,'Forecast Z Scores'!$A$1:$N$1541,14,FALSE)&gt;2,VLOOKUP(A545,'Forecast Z Scores'!$A$1:$N$1541,13,FALSE)/VLOOKUP(A545,'Forecast Z Scores'!$A$1:$N$1541,14,FALSE),"Not Enough Data")</f>
        <v>-4.1282741288271571E-2</v>
      </c>
      <c r="H545">
        <v>0.28961101498432884</v>
      </c>
    </row>
    <row r="546" spans="1:8" x14ac:dyDescent="0.35">
      <c r="A546" t="str">
        <f t="shared" si="8"/>
        <v>18097342300_2028</v>
      </c>
      <c r="B546">
        <v>18097342300</v>
      </c>
      <c r="C546">
        <v>2028</v>
      </c>
      <c r="E546">
        <f>-(IF(VLOOKUP(B546,'2023 Z Scores'!$A$1:$K$309,11,FALSE)&gt;2,VLOOKUP(B546,'2023 Z Scores'!$A$1:$K$309,10,FALSE)/VLOOKUP(B546,'2023 Z Scores'!$A$1:$K$309,11,FALSE),"Not Enough data"))</f>
        <v>0.30533345766448283</v>
      </c>
      <c r="F546">
        <f>IF(VLOOKUP(A546,'Delta Z Scores'!$A$1:$N$1541,14,FALSE)&gt;2,VLOOKUP(A546,'Delta Z Scores'!$A$1:$N$1541,13,FALSE)/VLOOKUP(A546,'Delta Z Scores'!$A$1:$N$1541,14,FALSE),"Not Enough Data")</f>
        <v>0.50766553836156214</v>
      </c>
      <c r="G546">
        <f>IF(VLOOKUP(A546,'Forecast Z Scores'!$A$1:$N$1541,14,FALSE)&gt;2,VLOOKUP(A546,'Forecast Z Scores'!$A$1:$N$1541,13,FALSE)/VLOOKUP(A546,'Forecast Z Scores'!$A$1:$N$1541,14,FALSE),"Not Enough Data")</f>
        <v>-6.8214748288994848E-2</v>
      </c>
      <c r="H546">
        <v>0.31311244652465309</v>
      </c>
    </row>
    <row r="547" spans="1:8" x14ac:dyDescent="0.35">
      <c r="A547" t="str">
        <f t="shared" si="8"/>
        <v>18097342400_2024</v>
      </c>
      <c r="B547">
        <v>18097342400</v>
      </c>
      <c r="C547">
        <v>2024</v>
      </c>
      <c r="E547">
        <f>-(IF(VLOOKUP(B547,'2023 Z Scores'!$A$1:$K$309,11,FALSE)&gt;2,VLOOKUP(B547,'2023 Z Scores'!$A$1:$K$309,10,FALSE)/VLOOKUP(B547,'2023 Z Scores'!$A$1:$K$309,11,FALSE),"Not Enough data"))</f>
        <v>0.39319263263578863</v>
      </c>
      <c r="F547">
        <f>IF(VLOOKUP(A547,'Delta Z Scores'!$A$1:$N$1541,14,FALSE)&gt;2,VLOOKUP(A547,'Delta Z Scores'!$A$1:$N$1541,13,FALSE)/VLOOKUP(A547,'Delta Z Scores'!$A$1:$N$1541,14,FALSE),"Not Enough Data")</f>
        <v>-5.4059848594863444E-2</v>
      </c>
      <c r="G547">
        <f>IF(VLOOKUP(A547,'Forecast Z Scores'!$A$1:$N$1541,14,FALSE)&gt;2,VLOOKUP(A547,'Forecast Z Scores'!$A$1:$N$1541,13,FALSE)/VLOOKUP(A547,'Forecast Z Scores'!$A$1:$N$1541,14,FALSE),"Not Enough Data")</f>
        <v>-0.60567036042223388</v>
      </c>
      <c r="H547">
        <v>-8.0149356244043041E-2</v>
      </c>
    </row>
    <row r="548" spans="1:8" x14ac:dyDescent="0.35">
      <c r="A548" t="str">
        <f t="shared" si="8"/>
        <v>18097342400_2025</v>
      </c>
      <c r="B548">
        <v>18097342400</v>
      </c>
      <c r="C548">
        <v>2025</v>
      </c>
      <c r="E548">
        <f>-(IF(VLOOKUP(B548,'2023 Z Scores'!$A$1:$K$309,11,FALSE)&gt;2,VLOOKUP(B548,'2023 Z Scores'!$A$1:$K$309,10,FALSE)/VLOOKUP(B548,'2023 Z Scores'!$A$1:$K$309,11,FALSE),"Not Enough data"))</f>
        <v>0.39319263263578863</v>
      </c>
      <c r="F548">
        <f>IF(VLOOKUP(A548,'Delta Z Scores'!$A$1:$N$1541,14,FALSE)&gt;2,VLOOKUP(A548,'Delta Z Scores'!$A$1:$N$1541,13,FALSE)/VLOOKUP(A548,'Delta Z Scores'!$A$1:$N$1541,14,FALSE),"Not Enough Data")</f>
        <v>-0.19936106018018099</v>
      </c>
      <c r="G548">
        <f>IF(VLOOKUP(A548,'Forecast Z Scores'!$A$1:$N$1541,14,FALSE)&gt;2,VLOOKUP(A548,'Forecast Z Scores'!$A$1:$N$1541,13,FALSE)/VLOOKUP(A548,'Forecast Z Scores'!$A$1:$N$1541,14,FALSE),"Not Enough Data")</f>
        <v>-0.63940732602311068</v>
      </c>
      <c r="H548">
        <v>-0.16123420343692102</v>
      </c>
    </row>
    <row r="549" spans="1:8" x14ac:dyDescent="0.35">
      <c r="A549" t="str">
        <f t="shared" si="8"/>
        <v>18097342400_2026</v>
      </c>
      <c r="B549">
        <v>18097342400</v>
      </c>
      <c r="C549">
        <v>2026</v>
      </c>
      <c r="E549">
        <f>-(IF(VLOOKUP(B549,'2023 Z Scores'!$A$1:$K$309,11,FALSE)&gt;2,VLOOKUP(B549,'2023 Z Scores'!$A$1:$K$309,10,FALSE)/VLOOKUP(B549,'2023 Z Scores'!$A$1:$K$309,11,FALSE),"Not Enough data"))</f>
        <v>0.39319263263578863</v>
      </c>
      <c r="F549">
        <f>IF(VLOOKUP(A549,'Delta Z Scores'!$A$1:$N$1541,14,FALSE)&gt;2,VLOOKUP(A549,'Delta Z Scores'!$A$1:$N$1541,13,FALSE)/VLOOKUP(A549,'Delta Z Scores'!$A$1:$N$1541,14,FALSE),"Not Enough Data")</f>
        <v>-0.16517816752156586</v>
      </c>
      <c r="G549">
        <f>IF(VLOOKUP(A549,'Forecast Z Scores'!$A$1:$N$1541,14,FALSE)&gt;2,VLOOKUP(A549,'Forecast Z Scores'!$A$1:$N$1541,13,FALSE)/VLOOKUP(A549,'Forecast Z Scores'!$A$1:$N$1541,14,FALSE),"Not Enough Data")</f>
        <v>-0.66341899812889848</v>
      </c>
      <c r="H549">
        <v>-0.15014567513406041</v>
      </c>
    </row>
    <row r="550" spans="1:8" x14ac:dyDescent="0.35">
      <c r="A550" t="str">
        <f t="shared" si="8"/>
        <v>18097342400_2027</v>
      </c>
      <c r="B550">
        <v>18097342400</v>
      </c>
      <c r="C550">
        <v>2027</v>
      </c>
      <c r="E550">
        <f>-(IF(VLOOKUP(B550,'2023 Z Scores'!$A$1:$K$309,11,FALSE)&gt;2,VLOOKUP(B550,'2023 Z Scores'!$A$1:$K$309,10,FALSE)/VLOOKUP(B550,'2023 Z Scores'!$A$1:$K$309,11,FALSE),"Not Enough data"))</f>
        <v>0.39319263263578863</v>
      </c>
      <c r="F550">
        <f>IF(VLOOKUP(A550,'Delta Z Scores'!$A$1:$N$1541,14,FALSE)&gt;2,VLOOKUP(A550,'Delta Z Scores'!$A$1:$N$1541,13,FALSE)/VLOOKUP(A550,'Delta Z Scores'!$A$1:$N$1541,14,FALSE),"Not Enough Data")</f>
        <v>-0.17708852213356849</v>
      </c>
      <c r="G550">
        <f>IF(VLOOKUP(A550,'Forecast Z Scores'!$A$1:$N$1541,14,FALSE)&gt;2,VLOOKUP(A550,'Forecast Z Scores'!$A$1:$N$1541,13,FALSE)/VLOOKUP(A550,'Forecast Z Scores'!$A$1:$N$1541,14,FALSE),"Not Enough Data")</f>
        <v>-0.68414043079238829</v>
      </c>
      <c r="H550">
        <v>-0.16128121060593414</v>
      </c>
    </row>
    <row r="551" spans="1:8" x14ac:dyDescent="0.35">
      <c r="A551" t="str">
        <f t="shared" si="8"/>
        <v>18097342400_2028</v>
      </c>
      <c r="B551">
        <v>18097342400</v>
      </c>
      <c r="C551">
        <v>2028</v>
      </c>
      <c r="E551">
        <f>-(IF(VLOOKUP(B551,'2023 Z Scores'!$A$1:$K$309,11,FALSE)&gt;2,VLOOKUP(B551,'2023 Z Scores'!$A$1:$K$309,10,FALSE)/VLOOKUP(B551,'2023 Z Scores'!$A$1:$K$309,11,FALSE),"Not Enough data"))</f>
        <v>0.39319263263578863</v>
      </c>
      <c r="F551">
        <f>IF(VLOOKUP(A551,'Delta Z Scores'!$A$1:$N$1541,14,FALSE)&gt;2,VLOOKUP(A551,'Delta Z Scores'!$A$1:$N$1541,13,FALSE)/VLOOKUP(A551,'Delta Z Scores'!$A$1:$N$1541,14,FALSE),"Not Enough Data")</f>
        <v>-0.16002299513150739</v>
      </c>
      <c r="G551">
        <f>IF(VLOOKUP(A551,'Forecast Z Scores'!$A$1:$N$1541,14,FALSE)&gt;2,VLOOKUP(A551,'Forecast Z Scores'!$A$1:$N$1541,13,FALSE)/VLOOKUP(A551,'Forecast Z Scores'!$A$1:$N$1541,14,FALSE),"Not Enough Data")</f>
        <v>-0.69948317737106469</v>
      </c>
      <c r="H551">
        <v>-0.1565841337495727</v>
      </c>
    </row>
    <row r="552" spans="1:8" x14ac:dyDescent="0.35">
      <c r="A552" t="str">
        <f t="shared" si="8"/>
        <v>18097342500_2024</v>
      </c>
      <c r="B552">
        <v>18097342500</v>
      </c>
      <c r="C552">
        <v>2024</v>
      </c>
      <c r="E552">
        <f>-(IF(VLOOKUP(B552,'2023 Z Scores'!$A$1:$K$309,11,FALSE)&gt;2,VLOOKUP(B552,'2023 Z Scores'!$A$1:$K$309,10,FALSE)/VLOOKUP(B552,'2023 Z Scores'!$A$1:$K$309,11,FALSE),"Not Enough data"))</f>
        <v>0.27515584249537361</v>
      </c>
      <c r="F552">
        <f>IF(VLOOKUP(A552,'Delta Z Scores'!$A$1:$N$1541,14,FALSE)&gt;2,VLOOKUP(A552,'Delta Z Scores'!$A$1:$N$1541,13,FALSE)/VLOOKUP(A552,'Delta Z Scores'!$A$1:$N$1541,14,FALSE),"Not Enough Data")</f>
        <v>0.1324176545545587</v>
      </c>
      <c r="G552">
        <f>IF(VLOOKUP(A552,'Forecast Z Scores'!$A$1:$N$1541,14,FALSE)&gt;2,VLOOKUP(A552,'Forecast Z Scores'!$A$1:$N$1541,13,FALSE)/VLOOKUP(A552,'Forecast Z Scores'!$A$1:$N$1541,14,FALSE),"Not Enough Data")</f>
        <v>-0.22945307634044018</v>
      </c>
      <c r="H552">
        <v>7.7634518816012715E-2</v>
      </c>
    </row>
    <row r="553" spans="1:8" x14ac:dyDescent="0.35">
      <c r="A553" t="str">
        <f t="shared" si="8"/>
        <v>18097342500_2025</v>
      </c>
      <c r="B553">
        <v>18097342500</v>
      </c>
      <c r="C553">
        <v>2025</v>
      </c>
      <c r="E553">
        <f>-(IF(VLOOKUP(B553,'2023 Z Scores'!$A$1:$K$309,11,FALSE)&gt;2,VLOOKUP(B553,'2023 Z Scores'!$A$1:$K$309,10,FALSE)/VLOOKUP(B553,'2023 Z Scores'!$A$1:$K$309,11,FALSE),"Not Enough data"))</f>
        <v>0.27515584249537361</v>
      </c>
      <c r="F553">
        <f>IF(VLOOKUP(A553,'Delta Z Scores'!$A$1:$N$1541,14,FALSE)&gt;2,VLOOKUP(A553,'Delta Z Scores'!$A$1:$N$1541,13,FALSE)/VLOOKUP(A553,'Delta Z Scores'!$A$1:$N$1541,14,FALSE),"Not Enough Data")</f>
        <v>0.25279697101021148</v>
      </c>
      <c r="G553">
        <f>IF(VLOOKUP(A553,'Forecast Z Scores'!$A$1:$N$1541,14,FALSE)&gt;2,VLOOKUP(A553,'Forecast Z Scores'!$A$1:$N$1541,13,FALSE)/VLOOKUP(A553,'Forecast Z Scores'!$A$1:$N$1541,14,FALSE),"Not Enough Data")</f>
        <v>-0.24411576992132472</v>
      </c>
      <c r="H553">
        <v>0.13415850364861798</v>
      </c>
    </row>
    <row r="554" spans="1:8" x14ac:dyDescent="0.35">
      <c r="A554" t="str">
        <f t="shared" si="8"/>
        <v>18097342500_2026</v>
      </c>
      <c r="B554">
        <v>18097342500</v>
      </c>
      <c r="C554">
        <v>2026</v>
      </c>
      <c r="E554">
        <f>-(IF(VLOOKUP(B554,'2023 Z Scores'!$A$1:$K$309,11,FALSE)&gt;2,VLOOKUP(B554,'2023 Z Scores'!$A$1:$K$309,10,FALSE)/VLOOKUP(B554,'2023 Z Scores'!$A$1:$K$309,11,FALSE),"Not Enough data"))</f>
        <v>0.27515584249537361</v>
      </c>
      <c r="F554">
        <f>IF(VLOOKUP(A554,'Delta Z Scores'!$A$1:$N$1541,14,FALSE)&gt;2,VLOOKUP(A554,'Delta Z Scores'!$A$1:$N$1541,13,FALSE)/VLOOKUP(A554,'Delta Z Scores'!$A$1:$N$1541,14,FALSE),"Not Enough Data")</f>
        <v>0.30168533662396374</v>
      </c>
      <c r="G554">
        <f>IF(VLOOKUP(A554,'Forecast Z Scores'!$A$1:$N$1541,14,FALSE)&gt;2,VLOOKUP(A554,'Forecast Z Scores'!$A$1:$N$1541,13,FALSE)/VLOOKUP(A554,'Forecast Z Scores'!$A$1:$N$1541,14,FALSE),"Not Enough Data")</f>
        <v>-0.25627665313962394</v>
      </c>
      <c r="H554">
        <v>0.1555624656509193</v>
      </c>
    </row>
    <row r="555" spans="1:8" x14ac:dyDescent="0.35">
      <c r="A555" t="str">
        <f t="shared" si="8"/>
        <v>18097342500_2027</v>
      </c>
      <c r="B555">
        <v>18097342500</v>
      </c>
      <c r="C555">
        <v>2027</v>
      </c>
      <c r="E555">
        <f>-(IF(VLOOKUP(B555,'2023 Z Scores'!$A$1:$K$309,11,FALSE)&gt;2,VLOOKUP(B555,'2023 Z Scores'!$A$1:$K$309,10,FALSE)/VLOOKUP(B555,'2023 Z Scores'!$A$1:$K$309,11,FALSE),"Not Enough data"))</f>
        <v>0.27515584249537361</v>
      </c>
      <c r="F555">
        <f>IF(VLOOKUP(A555,'Delta Z Scores'!$A$1:$N$1541,14,FALSE)&gt;2,VLOOKUP(A555,'Delta Z Scores'!$A$1:$N$1541,13,FALSE)/VLOOKUP(A555,'Delta Z Scores'!$A$1:$N$1541,14,FALSE),"Not Enough Data")</f>
        <v>0.40483966420055789</v>
      </c>
      <c r="G555">
        <f>IF(VLOOKUP(A555,'Forecast Z Scores'!$A$1:$N$1541,14,FALSE)&gt;2,VLOOKUP(A555,'Forecast Z Scores'!$A$1:$N$1541,13,FALSE)/VLOOKUP(A555,'Forecast Z Scores'!$A$1:$N$1541,14,FALSE),"Not Enough Data")</f>
        <v>-0.2743963600522385</v>
      </c>
      <c r="H555">
        <v>0.20260970271106274</v>
      </c>
    </row>
    <row r="556" spans="1:8" x14ac:dyDescent="0.35">
      <c r="A556" t="str">
        <f t="shared" si="8"/>
        <v>18097342500_2028</v>
      </c>
      <c r="B556">
        <v>18097342500</v>
      </c>
      <c r="C556">
        <v>2028</v>
      </c>
      <c r="E556">
        <f>-(IF(VLOOKUP(B556,'2023 Z Scores'!$A$1:$K$309,11,FALSE)&gt;2,VLOOKUP(B556,'2023 Z Scores'!$A$1:$K$309,10,FALSE)/VLOOKUP(B556,'2023 Z Scores'!$A$1:$K$309,11,FALSE),"Not Enough data"))</f>
        <v>0.27515584249537361</v>
      </c>
      <c r="F556">
        <f>IF(VLOOKUP(A556,'Delta Z Scores'!$A$1:$N$1541,14,FALSE)&gt;2,VLOOKUP(A556,'Delta Z Scores'!$A$1:$N$1541,13,FALSE)/VLOOKUP(A556,'Delta Z Scores'!$A$1:$N$1541,14,FALSE),"Not Enough Data")</f>
        <v>0.42200204287772064</v>
      </c>
      <c r="G556">
        <f>IF(VLOOKUP(A556,'Forecast Z Scores'!$A$1:$N$1541,14,FALSE)&gt;2,VLOOKUP(A556,'Forecast Z Scores'!$A$1:$N$1541,13,FALSE)/VLOOKUP(A556,'Forecast Z Scores'!$A$1:$N$1541,14,FALSE),"Not Enough Data")</f>
        <v>-0.30126509130174334</v>
      </c>
      <c r="H556">
        <v>0.2044737092372679</v>
      </c>
    </row>
    <row r="557" spans="1:8" x14ac:dyDescent="0.35">
      <c r="A557" t="str">
        <f t="shared" si="8"/>
        <v>18097342600_2024</v>
      </c>
      <c r="B557">
        <v>18097342600</v>
      </c>
      <c r="C557">
        <v>2024</v>
      </c>
      <c r="E557">
        <f>-(IF(VLOOKUP(B557,'2023 Z Scores'!$A$1:$K$309,11,FALSE)&gt;2,VLOOKUP(B557,'2023 Z Scores'!$A$1:$K$309,10,FALSE)/VLOOKUP(B557,'2023 Z Scores'!$A$1:$K$309,11,FALSE),"Not Enough data"))</f>
        <v>0.74744731157130617</v>
      </c>
      <c r="F557">
        <f>IF(VLOOKUP(A557,'Delta Z Scores'!$A$1:$N$1541,14,FALSE)&gt;2,VLOOKUP(A557,'Delta Z Scores'!$A$1:$N$1541,13,FALSE)/VLOOKUP(A557,'Delta Z Scores'!$A$1:$N$1541,14,FALSE),"Not Enough Data")</f>
        <v>0.13483816262175594</v>
      </c>
      <c r="G557">
        <f>IF(VLOOKUP(A557,'Forecast Z Scores'!$A$1:$N$1541,14,FALSE)&gt;2,VLOOKUP(A557,'Forecast Z Scores'!$A$1:$N$1541,13,FALSE)/VLOOKUP(A557,'Forecast Z Scores'!$A$1:$N$1541,14,FALSE),"Not Enough Data")</f>
        <v>-0.35719088419816536</v>
      </c>
      <c r="H557">
        <v>0.16498318815416319</v>
      </c>
    </row>
    <row r="558" spans="1:8" x14ac:dyDescent="0.35">
      <c r="A558" t="str">
        <f t="shared" si="8"/>
        <v>18097342600_2025</v>
      </c>
      <c r="B558">
        <v>18097342600</v>
      </c>
      <c r="C558">
        <v>2025</v>
      </c>
      <c r="E558">
        <f>-(IF(VLOOKUP(B558,'2023 Z Scores'!$A$1:$K$309,11,FALSE)&gt;2,VLOOKUP(B558,'2023 Z Scores'!$A$1:$K$309,10,FALSE)/VLOOKUP(B558,'2023 Z Scores'!$A$1:$K$309,11,FALSE),"Not Enough data"))</f>
        <v>0.74744731157130617</v>
      </c>
      <c r="F558">
        <f>IF(VLOOKUP(A558,'Delta Z Scores'!$A$1:$N$1541,14,FALSE)&gt;2,VLOOKUP(A558,'Delta Z Scores'!$A$1:$N$1541,13,FALSE)/VLOOKUP(A558,'Delta Z Scores'!$A$1:$N$1541,14,FALSE),"Not Enough Data")</f>
        <v>4.4532673138643043E-2</v>
      </c>
      <c r="G558">
        <f>IF(VLOOKUP(A558,'Forecast Z Scores'!$A$1:$N$1541,14,FALSE)&gt;2,VLOOKUP(A558,'Forecast Z Scores'!$A$1:$N$1541,13,FALSE)/VLOOKUP(A558,'Forecast Z Scores'!$A$1:$N$1541,14,FALSE),"Not Enough Data")</f>
        <v>-0.35520787518649538</v>
      </c>
      <c r="H558">
        <v>0.12032619566552422</v>
      </c>
    </row>
    <row r="559" spans="1:8" x14ac:dyDescent="0.35">
      <c r="A559" t="str">
        <f t="shared" si="8"/>
        <v>18097342600_2026</v>
      </c>
      <c r="B559">
        <v>18097342600</v>
      </c>
      <c r="C559">
        <v>2026</v>
      </c>
      <c r="E559">
        <f>-(IF(VLOOKUP(B559,'2023 Z Scores'!$A$1:$K$309,11,FALSE)&gt;2,VLOOKUP(B559,'2023 Z Scores'!$A$1:$K$309,10,FALSE)/VLOOKUP(B559,'2023 Z Scores'!$A$1:$K$309,11,FALSE),"Not Enough data"))</f>
        <v>0.74744731157130617</v>
      </c>
      <c r="F559">
        <f>IF(VLOOKUP(A559,'Delta Z Scores'!$A$1:$N$1541,14,FALSE)&gt;2,VLOOKUP(A559,'Delta Z Scores'!$A$1:$N$1541,13,FALSE)/VLOOKUP(A559,'Delta Z Scores'!$A$1:$N$1541,14,FALSE),"Not Enough Data")</f>
        <v>-5.5800565803906292E-2</v>
      </c>
      <c r="G559">
        <f>IF(VLOOKUP(A559,'Forecast Z Scores'!$A$1:$N$1541,14,FALSE)&gt;2,VLOOKUP(A559,'Forecast Z Scores'!$A$1:$N$1541,13,FALSE)/VLOOKUP(A559,'Forecast Z Scores'!$A$1:$N$1541,14,FALSE),"Not Enough Data")</f>
        <v>-0.35267082959199564</v>
      </c>
      <c r="H559">
        <v>7.0793837592874484E-2</v>
      </c>
    </row>
    <row r="560" spans="1:8" x14ac:dyDescent="0.35">
      <c r="A560" t="str">
        <f t="shared" si="8"/>
        <v>18097342600_2027</v>
      </c>
      <c r="B560">
        <v>18097342600</v>
      </c>
      <c r="C560">
        <v>2027</v>
      </c>
      <c r="E560">
        <f>-(IF(VLOOKUP(B560,'2023 Z Scores'!$A$1:$K$309,11,FALSE)&gt;2,VLOOKUP(B560,'2023 Z Scores'!$A$1:$K$309,10,FALSE)/VLOOKUP(B560,'2023 Z Scores'!$A$1:$K$309,11,FALSE),"Not Enough data"))</f>
        <v>0.74744731157130617</v>
      </c>
      <c r="F560">
        <f>IF(VLOOKUP(A560,'Delta Z Scores'!$A$1:$N$1541,14,FALSE)&gt;2,VLOOKUP(A560,'Delta Z Scores'!$A$1:$N$1541,13,FALSE)/VLOOKUP(A560,'Delta Z Scores'!$A$1:$N$1541,14,FALSE),"Not Enough Data")</f>
        <v>-4.7184324921598839E-2</v>
      </c>
      <c r="G560">
        <f>IF(VLOOKUP(A560,'Forecast Z Scores'!$A$1:$N$1541,14,FALSE)&gt;2,VLOOKUP(A560,'Forecast Z Scores'!$A$1:$N$1541,13,FALSE)/VLOOKUP(A560,'Forecast Z Scores'!$A$1:$N$1541,14,FALSE),"Not Enough Data")</f>
        <v>-0.34916569057600055</v>
      </c>
      <c r="H560">
        <v>7.5978242788026978E-2</v>
      </c>
    </row>
    <row r="561" spans="1:8" x14ac:dyDescent="0.35">
      <c r="A561" t="str">
        <f t="shared" si="8"/>
        <v>18097342600_2028</v>
      </c>
      <c r="B561">
        <v>18097342600</v>
      </c>
      <c r="C561">
        <v>2028</v>
      </c>
      <c r="E561">
        <f>-(IF(VLOOKUP(B561,'2023 Z Scores'!$A$1:$K$309,11,FALSE)&gt;2,VLOOKUP(B561,'2023 Z Scores'!$A$1:$K$309,10,FALSE)/VLOOKUP(B561,'2023 Z Scores'!$A$1:$K$309,11,FALSE),"Not Enough data"))</f>
        <v>0.74744731157130617</v>
      </c>
      <c r="F561">
        <f>IF(VLOOKUP(A561,'Delta Z Scores'!$A$1:$N$1541,14,FALSE)&gt;2,VLOOKUP(A561,'Delta Z Scores'!$A$1:$N$1541,13,FALSE)/VLOOKUP(A561,'Delta Z Scores'!$A$1:$N$1541,14,FALSE),"Not Enough Data")</f>
        <v>-0.10765159125960969</v>
      </c>
      <c r="G561">
        <f>IF(VLOOKUP(A561,'Forecast Z Scores'!$A$1:$N$1541,14,FALSE)&gt;2,VLOOKUP(A561,'Forecast Z Scores'!$A$1:$N$1541,13,FALSE)/VLOOKUP(A561,'Forecast Z Scores'!$A$1:$N$1541,14,FALSE),"Not Enough Data")</f>
        <v>-0.34383915268084969</v>
      </c>
      <c r="H561">
        <v>4.7076244092809277E-2</v>
      </c>
    </row>
    <row r="562" spans="1:8" x14ac:dyDescent="0.35">
      <c r="A562" t="str">
        <f t="shared" si="8"/>
        <v>18097350100_2024</v>
      </c>
      <c r="B562">
        <v>18097350100</v>
      </c>
      <c r="C562">
        <v>2024</v>
      </c>
      <c r="E562">
        <f>-(IF(VLOOKUP(B562,'2023 Z Scores'!$A$1:$K$309,11,FALSE)&gt;2,VLOOKUP(B562,'2023 Z Scores'!$A$1:$K$309,10,FALSE)/VLOOKUP(B562,'2023 Z Scores'!$A$1:$K$309,11,FALSE),"Not Enough data"))</f>
        <v>0.63377417131436842</v>
      </c>
      <c r="F562">
        <f>IF(VLOOKUP(A562,'Delta Z Scores'!$A$1:$N$1541,14,FALSE)&gt;2,VLOOKUP(A562,'Delta Z Scores'!$A$1:$N$1541,13,FALSE)/VLOOKUP(A562,'Delta Z Scores'!$A$1:$N$1541,14,FALSE),"Not Enough Data")</f>
        <v>-0.39382913070118919</v>
      </c>
      <c r="G562">
        <f>IF(VLOOKUP(A562,'Forecast Z Scores'!$A$1:$N$1541,14,FALSE)&gt;2,VLOOKUP(A562,'Forecast Z Scores'!$A$1:$N$1541,13,FALSE)/VLOOKUP(A562,'Forecast Z Scores'!$A$1:$N$1541,14,FALSE),"Not Enough Data")</f>
        <v>-0.63984687535165996</v>
      </c>
      <c r="H562">
        <v>-0.19843274135991748</v>
      </c>
    </row>
    <row r="563" spans="1:8" x14ac:dyDescent="0.35">
      <c r="A563" t="str">
        <f t="shared" si="8"/>
        <v>18097350100_2025</v>
      </c>
      <c r="B563">
        <v>18097350100</v>
      </c>
      <c r="C563">
        <v>2025</v>
      </c>
      <c r="E563">
        <f>-(IF(VLOOKUP(B563,'2023 Z Scores'!$A$1:$K$309,11,FALSE)&gt;2,VLOOKUP(B563,'2023 Z Scores'!$A$1:$K$309,10,FALSE)/VLOOKUP(B563,'2023 Z Scores'!$A$1:$K$309,11,FALSE),"Not Enough data"))</f>
        <v>0.63377417131436842</v>
      </c>
      <c r="F563">
        <f>IF(VLOOKUP(A563,'Delta Z Scores'!$A$1:$N$1541,14,FALSE)&gt;2,VLOOKUP(A563,'Delta Z Scores'!$A$1:$N$1541,13,FALSE)/VLOOKUP(A563,'Delta Z Scores'!$A$1:$N$1541,14,FALSE),"Not Enough Data")</f>
        <v>0.22436141098038648</v>
      </c>
      <c r="G563">
        <f>IF(VLOOKUP(A563,'Forecast Z Scores'!$A$1:$N$1541,14,FALSE)&gt;2,VLOOKUP(A563,'Forecast Z Scores'!$A$1:$N$1541,13,FALSE)/VLOOKUP(A563,'Forecast Z Scores'!$A$1:$N$1541,14,FALSE),"Not Enough Data")</f>
        <v>-0.60283598313053188</v>
      </c>
      <c r="H563">
        <v>0.11991525253615237</v>
      </c>
    </row>
    <row r="564" spans="1:8" x14ac:dyDescent="0.35">
      <c r="A564" t="str">
        <f t="shared" si="8"/>
        <v>18097350100_2026</v>
      </c>
      <c r="B564">
        <v>18097350100</v>
      </c>
      <c r="C564">
        <v>2026</v>
      </c>
      <c r="E564">
        <f>-(IF(VLOOKUP(B564,'2023 Z Scores'!$A$1:$K$309,11,FALSE)&gt;2,VLOOKUP(B564,'2023 Z Scores'!$A$1:$K$309,10,FALSE)/VLOOKUP(B564,'2023 Z Scores'!$A$1:$K$309,11,FALSE),"Not Enough data"))</f>
        <v>0.63377417131436842</v>
      </c>
      <c r="F564">
        <f>IF(VLOOKUP(A564,'Delta Z Scores'!$A$1:$N$1541,14,FALSE)&gt;2,VLOOKUP(A564,'Delta Z Scores'!$A$1:$N$1541,13,FALSE)/VLOOKUP(A564,'Delta Z Scores'!$A$1:$N$1541,14,FALSE),"Not Enough Data")</f>
        <v>-1.8864794610723101E-2</v>
      </c>
      <c r="G564">
        <f>IF(VLOOKUP(A564,'Forecast Z Scores'!$A$1:$N$1541,14,FALSE)&gt;2,VLOOKUP(A564,'Forecast Z Scores'!$A$1:$N$1541,13,FALSE)/VLOOKUP(A564,'Forecast Z Scores'!$A$1:$N$1541,14,FALSE),"Not Enough Data")</f>
        <v>-0.57387378160054869</v>
      </c>
      <c r="H564">
        <v>5.5427001230933803E-3</v>
      </c>
    </row>
    <row r="565" spans="1:8" x14ac:dyDescent="0.35">
      <c r="A565" t="str">
        <f t="shared" si="8"/>
        <v>18097350100_2027</v>
      </c>
      <c r="B565">
        <v>18097350100</v>
      </c>
      <c r="C565">
        <v>2027</v>
      </c>
      <c r="E565">
        <f>-(IF(VLOOKUP(B565,'2023 Z Scores'!$A$1:$K$309,11,FALSE)&gt;2,VLOOKUP(B565,'2023 Z Scores'!$A$1:$K$309,10,FALSE)/VLOOKUP(B565,'2023 Z Scores'!$A$1:$K$309,11,FALSE),"Not Enough data"))</f>
        <v>0.63377417131436842</v>
      </c>
      <c r="F565">
        <f>IF(VLOOKUP(A565,'Delta Z Scores'!$A$1:$N$1541,14,FALSE)&gt;2,VLOOKUP(A565,'Delta Z Scores'!$A$1:$N$1541,13,FALSE)/VLOOKUP(A565,'Delta Z Scores'!$A$1:$N$1541,14,FALSE),"Not Enough Data")</f>
        <v>4.8678488179885876E-2</v>
      </c>
      <c r="G565">
        <f>IF(VLOOKUP(A565,'Forecast Z Scores'!$A$1:$N$1541,14,FALSE)&gt;2,VLOOKUP(A565,'Forecast Z Scores'!$A$1:$N$1541,13,FALSE)/VLOOKUP(A565,'Forecast Z Scores'!$A$1:$N$1541,14,FALSE),"Not Enough Data")</f>
        <v>-0.54042436537726268</v>
      </c>
      <c r="H565">
        <v>4.7676695574219372E-2</v>
      </c>
    </row>
    <row r="566" spans="1:8" x14ac:dyDescent="0.35">
      <c r="A566" t="str">
        <f t="shared" si="8"/>
        <v>18097350100_2028</v>
      </c>
      <c r="B566">
        <v>18097350100</v>
      </c>
      <c r="C566">
        <v>2028</v>
      </c>
      <c r="E566">
        <f>-(IF(VLOOKUP(B566,'2023 Z Scores'!$A$1:$K$309,11,FALSE)&gt;2,VLOOKUP(B566,'2023 Z Scores'!$A$1:$K$309,10,FALSE)/VLOOKUP(B566,'2023 Z Scores'!$A$1:$K$309,11,FALSE),"Not Enough data"))</f>
        <v>0.63377417131436842</v>
      </c>
      <c r="F566">
        <f>IF(VLOOKUP(A566,'Delta Z Scores'!$A$1:$N$1541,14,FALSE)&gt;2,VLOOKUP(A566,'Delta Z Scores'!$A$1:$N$1541,13,FALSE)/VLOOKUP(A566,'Delta Z Scores'!$A$1:$N$1541,14,FALSE),"Not Enough Data")</f>
        <v>-8.1597514161608015E-2</v>
      </c>
      <c r="G566">
        <f>IF(VLOOKUP(A566,'Forecast Z Scores'!$A$1:$N$1541,14,FALSE)&gt;2,VLOOKUP(A566,'Forecast Z Scores'!$A$1:$N$1541,13,FALSE)/VLOOKUP(A566,'Forecast Z Scores'!$A$1:$N$1541,14,FALSE),"Not Enough Data")</f>
        <v>-0.51011900402973764</v>
      </c>
      <c r="H566">
        <v>-9.8849652596463E-3</v>
      </c>
    </row>
    <row r="567" spans="1:8" x14ac:dyDescent="0.35">
      <c r="A567" t="str">
        <f t="shared" si="8"/>
        <v>18097350300_2024</v>
      </c>
      <c r="B567">
        <v>18097350300</v>
      </c>
      <c r="C567">
        <v>2024</v>
      </c>
      <c r="E567">
        <f>-(IF(VLOOKUP(B567,'2023 Z Scores'!$A$1:$K$309,11,FALSE)&gt;2,VLOOKUP(B567,'2023 Z Scores'!$A$1:$K$309,10,FALSE)/VLOOKUP(B567,'2023 Z Scores'!$A$1:$K$309,11,FALSE),"Not Enough data"))</f>
        <v>0.64131495689368445</v>
      </c>
      <c r="F567">
        <f>IF(VLOOKUP(A567,'Delta Z Scores'!$A$1:$N$1541,14,FALSE)&gt;2,VLOOKUP(A567,'Delta Z Scores'!$A$1:$N$1541,13,FALSE)/VLOOKUP(A567,'Delta Z Scores'!$A$1:$N$1541,14,FALSE),"Not Enough Data")</f>
        <v>0.1249020347836432</v>
      </c>
      <c r="G567">
        <f>IF(VLOOKUP(A567,'Forecast Z Scores'!$A$1:$N$1541,14,FALSE)&gt;2,VLOOKUP(A567,'Forecast Z Scores'!$A$1:$N$1541,13,FALSE)/VLOOKUP(A567,'Forecast Z Scores'!$A$1:$N$1541,14,FALSE),"Not Enough Data")</f>
        <v>-0.2539609461335639</v>
      </c>
      <c r="H567">
        <v>0.15928952008185174</v>
      </c>
    </row>
    <row r="568" spans="1:8" x14ac:dyDescent="0.35">
      <c r="A568" t="str">
        <f t="shared" si="8"/>
        <v>18097350300_2025</v>
      </c>
      <c r="B568">
        <v>18097350300</v>
      </c>
      <c r="C568">
        <v>2025</v>
      </c>
      <c r="E568">
        <f>-(IF(VLOOKUP(B568,'2023 Z Scores'!$A$1:$K$309,11,FALSE)&gt;2,VLOOKUP(B568,'2023 Z Scores'!$A$1:$K$309,10,FALSE)/VLOOKUP(B568,'2023 Z Scores'!$A$1:$K$309,11,FALSE),"Not Enough data"))</f>
        <v>0.64131495689368445</v>
      </c>
      <c r="F568">
        <f>IF(VLOOKUP(A568,'Delta Z Scores'!$A$1:$N$1541,14,FALSE)&gt;2,VLOOKUP(A568,'Delta Z Scores'!$A$1:$N$1541,13,FALSE)/VLOOKUP(A568,'Delta Z Scores'!$A$1:$N$1541,14,FALSE),"Not Enough Data")</f>
        <v>0.42345323691763886</v>
      </c>
      <c r="G568">
        <f>IF(VLOOKUP(A568,'Forecast Z Scores'!$A$1:$N$1541,14,FALSE)&gt;2,VLOOKUP(A568,'Forecast Z Scores'!$A$1:$N$1541,13,FALSE)/VLOOKUP(A568,'Forecast Z Scores'!$A$1:$N$1541,14,FALSE),"Not Enough Data")</f>
        <v>-0.22091571804471652</v>
      </c>
      <c r="H568">
        <v>0.31682642817106144</v>
      </c>
    </row>
    <row r="569" spans="1:8" x14ac:dyDescent="0.35">
      <c r="A569" t="str">
        <f t="shared" si="8"/>
        <v>18097350300_2026</v>
      </c>
      <c r="B569">
        <v>18097350300</v>
      </c>
      <c r="C569">
        <v>2026</v>
      </c>
      <c r="E569">
        <f>-(IF(VLOOKUP(B569,'2023 Z Scores'!$A$1:$K$309,11,FALSE)&gt;2,VLOOKUP(B569,'2023 Z Scores'!$A$1:$K$309,10,FALSE)/VLOOKUP(B569,'2023 Z Scores'!$A$1:$K$309,11,FALSE),"Not Enough data"))</f>
        <v>0.64131495689368445</v>
      </c>
      <c r="F569">
        <f>IF(VLOOKUP(A569,'Delta Z Scores'!$A$1:$N$1541,14,FALSE)&gt;2,VLOOKUP(A569,'Delta Z Scores'!$A$1:$N$1541,13,FALSE)/VLOOKUP(A569,'Delta Z Scores'!$A$1:$N$1541,14,FALSE),"Not Enough Data")</f>
        <v>0.11607454302985934</v>
      </c>
      <c r="G569">
        <f>IF(VLOOKUP(A569,'Forecast Z Scores'!$A$1:$N$1541,14,FALSE)&gt;2,VLOOKUP(A569,'Forecast Z Scores'!$A$1:$N$1541,13,FALSE)/VLOOKUP(A569,'Forecast Z Scores'!$A$1:$N$1541,14,FALSE),"Not Enough Data")</f>
        <v>-0.21730394698411967</v>
      </c>
      <c r="H569">
        <v>0.16404002399232087</v>
      </c>
    </row>
    <row r="570" spans="1:8" x14ac:dyDescent="0.35">
      <c r="A570" t="str">
        <f t="shared" si="8"/>
        <v>18097350300_2027</v>
      </c>
      <c r="B570">
        <v>18097350300</v>
      </c>
      <c r="C570">
        <v>2027</v>
      </c>
      <c r="E570">
        <f>-(IF(VLOOKUP(B570,'2023 Z Scores'!$A$1:$K$309,11,FALSE)&gt;2,VLOOKUP(B570,'2023 Z Scores'!$A$1:$K$309,10,FALSE)/VLOOKUP(B570,'2023 Z Scores'!$A$1:$K$309,11,FALSE),"Not Enough data"))</f>
        <v>0.64131495689368445</v>
      </c>
      <c r="F570">
        <f>IF(VLOOKUP(A570,'Delta Z Scores'!$A$1:$N$1541,14,FALSE)&gt;2,VLOOKUP(A570,'Delta Z Scores'!$A$1:$N$1541,13,FALSE)/VLOOKUP(A570,'Delta Z Scores'!$A$1:$N$1541,14,FALSE),"Not Enough Data")</f>
        <v>0.27502209676778816</v>
      </c>
      <c r="G570">
        <f>IF(VLOOKUP(A570,'Forecast Z Scores'!$A$1:$N$1541,14,FALSE)&gt;2,VLOOKUP(A570,'Forecast Z Scores'!$A$1:$N$1541,13,FALSE)/VLOOKUP(A570,'Forecast Z Scores'!$A$1:$N$1541,14,FALSE),"Not Enough Data")</f>
        <v>-0.20560154638419292</v>
      </c>
      <c r="H570">
        <v>0.24643940101126696</v>
      </c>
    </row>
    <row r="571" spans="1:8" x14ac:dyDescent="0.35">
      <c r="A571" t="str">
        <f t="shared" si="8"/>
        <v>18097350300_2028</v>
      </c>
      <c r="B571">
        <v>18097350300</v>
      </c>
      <c r="C571">
        <v>2028</v>
      </c>
      <c r="E571">
        <f>-(IF(VLOOKUP(B571,'2023 Z Scores'!$A$1:$K$309,11,FALSE)&gt;2,VLOOKUP(B571,'2023 Z Scores'!$A$1:$K$309,10,FALSE)/VLOOKUP(B571,'2023 Z Scores'!$A$1:$K$309,11,FALSE),"Not Enough data"))</f>
        <v>0.64131495689368445</v>
      </c>
      <c r="F571">
        <f>IF(VLOOKUP(A571,'Delta Z Scores'!$A$1:$N$1541,14,FALSE)&gt;2,VLOOKUP(A571,'Delta Z Scores'!$A$1:$N$1541,13,FALSE)/VLOOKUP(A571,'Delta Z Scores'!$A$1:$N$1541,14,FALSE),"Not Enough Data")</f>
        <v>0.12133722772929095</v>
      </c>
      <c r="G571">
        <f>IF(VLOOKUP(A571,'Forecast Z Scores'!$A$1:$N$1541,14,FALSE)&gt;2,VLOOKUP(A571,'Forecast Z Scores'!$A$1:$N$1541,13,FALSE)/VLOOKUP(A571,'Forecast Z Scores'!$A$1:$N$1541,14,FALSE),"Not Enough Data")</f>
        <v>-0.19648385142861896</v>
      </c>
      <c r="H571">
        <v>0.17187639023091184</v>
      </c>
    </row>
    <row r="572" spans="1:8" x14ac:dyDescent="0.35">
      <c r="A572" t="str">
        <f t="shared" si="8"/>
        <v>18097350400_2024</v>
      </c>
      <c r="B572">
        <v>18097350400</v>
      </c>
      <c r="C572">
        <v>2024</v>
      </c>
      <c r="E572">
        <f>-(IF(VLOOKUP(B572,'2023 Z Scores'!$A$1:$K$309,11,FALSE)&gt;2,VLOOKUP(B572,'2023 Z Scores'!$A$1:$K$309,10,FALSE)/VLOOKUP(B572,'2023 Z Scores'!$A$1:$K$309,11,FALSE),"Not Enough data"))</f>
        <v>5.1714255973320016E-2</v>
      </c>
      <c r="F572">
        <f>IF(VLOOKUP(A572,'Delta Z Scores'!$A$1:$N$1541,14,FALSE)&gt;2,VLOOKUP(A572,'Delta Z Scores'!$A$1:$N$1541,13,FALSE)/VLOOKUP(A572,'Delta Z Scores'!$A$1:$N$1541,14,FALSE),"Not Enough Data")</f>
        <v>4.1623234500800993E-2</v>
      </c>
      <c r="G572">
        <f>IF(VLOOKUP(A572,'Forecast Z Scores'!$A$1:$N$1541,14,FALSE)&gt;2,VLOOKUP(A572,'Forecast Z Scores'!$A$1:$N$1541,13,FALSE)/VLOOKUP(A572,'Forecast Z Scores'!$A$1:$N$1541,14,FALSE),"Not Enough Data")</f>
        <v>4.0955090131513869E-3</v>
      </c>
      <c r="H572">
        <v>3.4764058497018351E-2</v>
      </c>
    </row>
    <row r="573" spans="1:8" x14ac:dyDescent="0.35">
      <c r="A573" t="str">
        <f t="shared" si="8"/>
        <v>18097350400_2025</v>
      </c>
      <c r="B573">
        <v>18097350400</v>
      </c>
      <c r="C573">
        <v>2025</v>
      </c>
      <c r="E573">
        <f>-(IF(VLOOKUP(B573,'2023 Z Scores'!$A$1:$K$309,11,FALSE)&gt;2,VLOOKUP(B573,'2023 Z Scores'!$A$1:$K$309,10,FALSE)/VLOOKUP(B573,'2023 Z Scores'!$A$1:$K$309,11,FALSE),"Not Enough data"))</f>
        <v>5.1714255973320016E-2</v>
      </c>
      <c r="F573">
        <f>IF(VLOOKUP(A573,'Delta Z Scores'!$A$1:$N$1541,14,FALSE)&gt;2,VLOOKUP(A573,'Delta Z Scores'!$A$1:$N$1541,13,FALSE)/VLOOKUP(A573,'Delta Z Scores'!$A$1:$N$1541,14,FALSE),"Not Enough Data")</f>
        <v>0.16202691070324812</v>
      </c>
      <c r="G573">
        <f>IF(VLOOKUP(A573,'Forecast Z Scores'!$A$1:$N$1541,14,FALSE)&gt;2,VLOOKUP(A573,'Forecast Z Scores'!$A$1:$N$1541,13,FALSE)/VLOOKUP(A573,'Forecast Z Scores'!$A$1:$N$1541,14,FALSE),"Not Enough Data")</f>
        <v>3.121723435660835E-2</v>
      </c>
      <c r="H573">
        <v>0.10174632793410615</v>
      </c>
    </row>
    <row r="574" spans="1:8" x14ac:dyDescent="0.35">
      <c r="A574" t="str">
        <f t="shared" si="8"/>
        <v>18097350400_2026</v>
      </c>
      <c r="B574">
        <v>18097350400</v>
      </c>
      <c r="C574">
        <v>2026</v>
      </c>
      <c r="E574">
        <f>-(IF(VLOOKUP(B574,'2023 Z Scores'!$A$1:$K$309,11,FALSE)&gt;2,VLOOKUP(B574,'2023 Z Scores'!$A$1:$K$309,10,FALSE)/VLOOKUP(B574,'2023 Z Scores'!$A$1:$K$309,11,FALSE),"Not Enough data"))</f>
        <v>5.1714255973320016E-2</v>
      </c>
      <c r="F574">
        <f>IF(VLOOKUP(A574,'Delta Z Scores'!$A$1:$N$1541,14,FALSE)&gt;2,VLOOKUP(A574,'Delta Z Scores'!$A$1:$N$1541,13,FALSE)/VLOOKUP(A574,'Delta Z Scores'!$A$1:$N$1541,14,FALSE),"Not Enough Data")</f>
        <v>-5.4435270946623024E-2</v>
      </c>
      <c r="G574">
        <f>IF(VLOOKUP(A574,'Forecast Z Scores'!$A$1:$N$1541,14,FALSE)&gt;2,VLOOKUP(A574,'Forecast Z Scores'!$A$1:$N$1541,13,FALSE)/VLOOKUP(A574,'Forecast Z Scores'!$A$1:$N$1541,14,FALSE),"Not Enough Data")</f>
        <v>4.3349941410416065E-2</v>
      </c>
      <c r="H574">
        <v>-3.4515861273774918E-3</v>
      </c>
    </row>
    <row r="575" spans="1:8" x14ac:dyDescent="0.35">
      <c r="A575" t="str">
        <f t="shared" si="8"/>
        <v>18097350400_2027</v>
      </c>
      <c r="B575">
        <v>18097350400</v>
      </c>
      <c r="C575">
        <v>2027</v>
      </c>
      <c r="E575">
        <f>-(IF(VLOOKUP(B575,'2023 Z Scores'!$A$1:$K$309,11,FALSE)&gt;2,VLOOKUP(B575,'2023 Z Scores'!$A$1:$K$309,10,FALSE)/VLOOKUP(B575,'2023 Z Scores'!$A$1:$K$309,11,FALSE),"Not Enough data"))</f>
        <v>5.1714255973320016E-2</v>
      </c>
      <c r="F575">
        <f>IF(VLOOKUP(A575,'Delta Z Scores'!$A$1:$N$1541,14,FALSE)&gt;2,VLOOKUP(A575,'Delta Z Scores'!$A$1:$N$1541,13,FALSE)/VLOOKUP(A575,'Delta Z Scores'!$A$1:$N$1541,14,FALSE),"Not Enough Data")</f>
        <v>3.0510297261822451E-2</v>
      </c>
      <c r="G575">
        <f>IF(VLOOKUP(A575,'Forecast Z Scores'!$A$1:$N$1541,14,FALSE)&gt;2,VLOOKUP(A575,'Forecast Z Scores'!$A$1:$N$1541,13,FALSE)/VLOOKUP(A575,'Forecast Z Scores'!$A$1:$N$1541,14,FALSE),"Not Enough Data")</f>
        <v>6.4955991381292072E-2</v>
      </c>
      <c r="H575">
        <v>4.4422710469564253E-2</v>
      </c>
    </row>
    <row r="576" spans="1:8" x14ac:dyDescent="0.35">
      <c r="A576" t="str">
        <f t="shared" si="8"/>
        <v>18097350400_2028</v>
      </c>
      <c r="B576">
        <v>18097350400</v>
      </c>
      <c r="C576">
        <v>2028</v>
      </c>
      <c r="E576">
        <f>-(IF(VLOOKUP(B576,'2023 Z Scores'!$A$1:$K$309,11,FALSE)&gt;2,VLOOKUP(B576,'2023 Z Scores'!$A$1:$K$309,10,FALSE)/VLOOKUP(B576,'2023 Z Scores'!$A$1:$K$309,11,FALSE),"Not Enough data"))</f>
        <v>5.1714255973320016E-2</v>
      </c>
      <c r="F576">
        <f>IF(VLOOKUP(A576,'Delta Z Scores'!$A$1:$N$1541,14,FALSE)&gt;2,VLOOKUP(A576,'Delta Z Scores'!$A$1:$N$1541,13,FALSE)/VLOOKUP(A576,'Delta Z Scores'!$A$1:$N$1541,14,FALSE),"Not Enough Data")</f>
        <v>-8.9230266134979044E-2</v>
      </c>
      <c r="G576">
        <f>IF(VLOOKUP(A576,'Forecast Z Scores'!$A$1:$N$1541,14,FALSE)&gt;2,VLOOKUP(A576,'Forecast Z Scores'!$A$1:$N$1541,13,FALSE)/VLOOKUP(A576,'Forecast Z Scores'!$A$1:$N$1541,14,FALSE),"Not Enough Data")</f>
        <v>8.5606887243442592E-2</v>
      </c>
      <c r="H576">
        <v>-1.028484726329887E-2</v>
      </c>
    </row>
    <row r="577" spans="1:8" x14ac:dyDescent="0.35">
      <c r="A577" t="str">
        <f t="shared" si="8"/>
        <v>18097350500_2024</v>
      </c>
      <c r="B577">
        <v>18097350500</v>
      </c>
      <c r="C577">
        <v>2024</v>
      </c>
      <c r="E577">
        <f>-(IF(VLOOKUP(B577,'2023 Z Scores'!$A$1:$K$309,11,FALSE)&gt;2,VLOOKUP(B577,'2023 Z Scores'!$A$1:$K$309,10,FALSE)/VLOOKUP(B577,'2023 Z Scores'!$A$1:$K$309,11,FALSE),"Not Enough data"))</f>
        <v>1.0208484828741688</v>
      </c>
      <c r="F577">
        <f>IF(VLOOKUP(A577,'Delta Z Scores'!$A$1:$N$1541,14,FALSE)&gt;2,VLOOKUP(A577,'Delta Z Scores'!$A$1:$N$1541,13,FALSE)/VLOOKUP(A577,'Delta Z Scores'!$A$1:$N$1541,14,FALSE),"Not Enough Data")</f>
        <v>-0.24185409670624103</v>
      </c>
      <c r="G577">
        <f>IF(VLOOKUP(A577,'Forecast Z Scores'!$A$1:$N$1541,14,FALSE)&gt;2,VLOOKUP(A577,'Forecast Z Scores'!$A$1:$N$1541,13,FALSE)/VLOOKUP(A577,'Forecast Z Scores'!$A$1:$N$1541,14,FALSE),"Not Enough Data")</f>
        <v>-0.92568928811039108</v>
      </c>
      <c r="H577">
        <v>-9.7137249662176073E-2</v>
      </c>
    </row>
    <row r="578" spans="1:8" x14ac:dyDescent="0.35">
      <c r="A578" t="str">
        <f t="shared" si="8"/>
        <v>18097350500_2025</v>
      </c>
      <c r="B578">
        <v>18097350500</v>
      </c>
      <c r="C578">
        <v>2025</v>
      </c>
      <c r="E578">
        <f>-(IF(VLOOKUP(B578,'2023 Z Scores'!$A$1:$K$309,11,FALSE)&gt;2,VLOOKUP(B578,'2023 Z Scores'!$A$1:$K$309,10,FALSE)/VLOOKUP(B578,'2023 Z Scores'!$A$1:$K$309,11,FALSE),"Not Enough data"))</f>
        <v>1.0208484828741688</v>
      </c>
      <c r="F578">
        <f>IF(VLOOKUP(A578,'Delta Z Scores'!$A$1:$N$1541,14,FALSE)&gt;2,VLOOKUP(A578,'Delta Z Scores'!$A$1:$N$1541,13,FALSE)/VLOOKUP(A578,'Delta Z Scores'!$A$1:$N$1541,14,FALSE),"Not Enough Data")</f>
        <v>0.68028769808918121</v>
      </c>
      <c r="G578">
        <f>IF(VLOOKUP(A578,'Forecast Z Scores'!$A$1:$N$1541,14,FALSE)&gt;2,VLOOKUP(A578,'Forecast Z Scores'!$A$1:$N$1541,13,FALSE)/VLOOKUP(A578,'Forecast Z Scores'!$A$1:$N$1541,14,FALSE),"Not Enough Data")</f>
        <v>-0.89986817411767994</v>
      </c>
      <c r="H578">
        <v>0.37038892623371283</v>
      </c>
    </row>
    <row r="579" spans="1:8" x14ac:dyDescent="0.35">
      <c r="A579" t="str">
        <f t="shared" ref="A579:A642" si="9">TEXT(B579,0)&amp;"_"&amp;TEXT(C579,0)</f>
        <v>18097350500_2026</v>
      </c>
      <c r="B579">
        <v>18097350500</v>
      </c>
      <c r="C579">
        <v>2026</v>
      </c>
      <c r="E579">
        <f>-(IF(VLOOKUP(B579,'2023 Z Scores'!$A$1:$K$309,11,FALSE)&gt;2,VLOOKUP(B579,'2023 Z Scores'!$A$1:$K$309,10,FALSE)/VLOOKUP(B579,'2023 Z Scores'!$A$1:$K$309,11,FALSE),"Not Enough data"))</f>
        <v>1.0208484828741688</v>
      </c>
      <c r="F579">
        <f>IF(VLOOKUP(A579,'Delta Z Scores'!$A$1:$N$1541,14,FALSE)&gt;2,VLOOKUP(A579,'Delta Z Scores'!$A$1:$N$1541,13,FALSE)/VLOOKUP(A579,'Delta Z Scores'!$A$1:$N$1541,14,FALSE),"Not Enough Data")</f>
        <v>0.16703382378155102</v>
      </c>
      <c r="G579">
        <f>IF(VLOOKUP(A579,'Forecast Z Scores'!$A$1:$N$1541,14,FALSE)&gt;2,VLOOKUP(A579,'Forecast Z Scores'!$A$1:$N$1541,13,FALSE)/VLOOKUP(A579,'Forecast Z Scores'!$A$1:$N$1541,14,FALSE),"Not Enough Data")</f>
        <v>-0.88237336428414848</v>
      </c>
      <c r="H579">
        <v>0.1181356915382806</v>
      </c>
    </row>
    <row r="580" spans="1:8" x14ac:dyDescent="0.35">
      <c r="A580" t="str">
        <f t="shared" si="9"/>
        <v>18097350500_2027</v>
      </c>
      <c r="B580">
        <v>18097350500</v>
      </c>
      <c r="C580">
        <v>2027</v>
      </c>
      <c r="E580">
        <f>-(IF(VLOOKUP(B580,'2023 Z Scores'!$A$1:$K$309,11,FALSE)&gt;2,VLOOKUP(B580,'2023 Z Scores'!$A$1:$K$309,10,FALSE)/VLOOKUP(B580,'2023 Z Scores'!$A$1:$K$309,11,FALSE),"Not Enough data"))</f>
        <v>1.0208484828741688</v>
      </c>
      <c r="F580">
        <f>IF(VLOOKUP(A580,'Delta Z Scores'!$A$1:$N$1541,14,FALSE)&gt;2,VLOOKUP(A580,'Delta Z Scores'!$A$1:$N$1541,13,FALSE)/VLOOKUP(A580,'Delta Z Scores'!$A$1:$N$1541,14,FALSE),"Not Enough Data")</f>
        <v>0.35680516216903829</v>
      </c>
      <c r="G580">
        <f>IF(VLOOKUP(A580,'Forecast Z Scores'!$A$1:$N$1541,14,FALSE)&gt;2,VLOOKUP(A580,'Forecast Z Scores'!$A$1:$N$1541,13,FALSE)/VLOOKUP(A580,'Forecast Z Scores'!$A$1:$N$1541,14,FALSE),"Not Enough Data")</f>
        <v>-0.84766926287562816</v>
      </c>
      <c r="H580">
        <v>0.22169738608415432</v>
      </c>
    </row>
    <row r="581" spans="1:8" x14ac:dyDescent="0.35">
      <c r="A581" t="str">
        <f t="shared" si="9"/>
        <v>18097350500_2028</v>
      </c>
      <c r="B581">
        <v>18097350500</v>
      </c>
      <c r="C581">
        <v>2028</v>
      </c>
      <c r="E581">
        <f>-(IF(VLOOKUP(B581,'2023 Z Scores'!$A$1:$K$309,11,FALSE)&gt;2,VLOOKUP(B581,'2023 Z Scores'!$A$1:$K$309,10,FALSE)/VLOOKUP(B581,'2023 Z Scores'!$A$1:$K$309,11,FALSE),"Not Enough data"))</f>
        <v>1.0208484828741688</v>
      </c>
      <c r="F581">
        <f>IF(VLOOKUP(A581,'Delta Z Scores'!$A$1:$N$1541,14,FALSE)&gt;2,VLOOKUP(A581,'Delta Z Scores'!$A$1:$N$1541,13,FALSE)/VLOOKUP(A581,'Delta Z Scores'!$A$1:$N$1541,14,FALSE),"Not Enough Data")</f>
        <v>0.13834242793729162</v>
      </c>
      <c r="G581">
        <f>IF(VLOOKUP(A581,'Forecast Z Scores'!$A$1:$N$1541,14,FALSE)&gt;2,VLOOKUP(A581,'Forecast Z Scores'!$A$1:$N$1541,13,FALSE)/VLOOKUP(A581,'Forecast Z Scores'!$A$1:$N$1541,14,FALSE),"Not Enough Data")</f>
        <v>-0.81500078752165861</v>
      </c>
      <c r="H581">
        <v>0.12063313780677337</v>
      </c>
    </row>
    <row r="582" spans="1:8" x14ac:dyDescent="0.35">
      <c r="A582" t="str">
        <f t="shared" si="9"/>
        <v>18097350600_2024</v>
      </c>
      <c r="B582">
        <v>18097350600</v>
      </c>
      <c r="C582">
        <v>2024</v>
      </c>
      <c r="E582">
        <f>-(IF(VLOOKUP(B582,'2023 Z Scores'!$A$1:$K$309,11,FALSE)&gt;2,VLOOKUP(B582,'2023 Z Scores'!$A$1:$K$309,10,FALSE)/VLOOKUP(B582,'2023 Z Scores'!$A$1:$K$309,11,FALSE),"Not Enough data"))</f>
        <v>0.72519014615111044</v>
      </c>
      <c r="F582">
        <f>IF(VLOOKUP(A582,'Delta Z Scores'!$A$1:$N$1541,14,FALSE)&gt;2,VLOOKUP(A582,'Delta Z Scores'!$A$1:$N$1541,13,FALSE)/VLOOKUP(A582,'Delta Z Scores'!$A$1:$N$1541,14,FALSE),"Not Enough Data")</f>
        <v>0.42296838576372825</v>
      </c>
      <c r="G582">
        <f>IF(VLOOKUP(A582,'Forecast Z Scores'!$A$1:$N$1541,14,FALSE)&gt;2,VLOOKUP(A582,'Forecast Z Scores'!$A$1:$N$1541,13,FALSE)/VLOOKUP(A582,'Forecast Z Scores'!$A$1:$N$1541,14,FALSE),"Not Enough Data")</f>
        <v>-0.47921357936170361</v>
      </c>
      <c r="H582">
        <v>0.27297833457921583</v>
      </c>
    </row>
    <row r="583" spans="1:8" x14ac:dyDescent="0.35">
      <c r="A583" t="str">
        <f t="shared" si="9"/>
        <v>18097350600_2025</v>
      </c>
      <c r="B583">
        <v>18097350600</v>
      </c>
      <c r="C583">
        <v>2025</v>
      </c>
      <c r="E583">
        <f>-(IF(VLOOKUP(B583,'2023 Z Scores'!$A$1:$K$309,11,FALSE)&gt;2,VLOOKUP(B583,'2023 Z Scores'!$A$1:$K$309,10,FALSE)/VLOOKUP(B583,'2023 Z Scores'!$A$1:$K$309,11,FALSE),"Not Enough data"))</f>
        <v>0.72519014615111044</v>
      </c>
      <c r="F583">
        <f>IF(VLOOKUP(A583,'Delta Z Scores'!$A$1:$N$1541,14,FALSE)&gt;2,VLOOKUP(A583,'Delta Z Scores'!$A$1:$N$1541,13,FALSE)/VLOOKUP(A583,'Delta Z Scores'!$A$1:$N$1541,14,FALSE),"Not Enough Data")</f>
        <v>0.19690720162630479</v>
      </c>
      <c r="G583">
        <f>IF(VLOOKUP(A583,'Forecast Z Scores'!$A$1:$N$1541,14,FALSE)&gt;2,VLOOKUP(A583,'Forecast Z Scores'!$A$1:$N$1541,13,FALSE)/VLOOKUP(A583,'Forecast Z Scores'!$A$1:$N$1541,14,FALSE),"Not Enough Data")</f>
        <v>-0.49364554855269138</v>
      </c>
      <c r="H583">
        <v>0.15633975021275714</v>
      </c>
    </row>
    <row r="584" spans="1:8" x14ac:dyDescent="0.35">
      <c r="A584" t="str">
        <f t="shared" si="9"/>
        <v>18097350600_2026</v>
      </c>
      <c r="B584">
        <v>18097350600</v>
      </c>
      <c r="C584">
        <v>2026</v>
      </c>
      <c r="E584">
        <f>-(IF(VLOOKUP(B584,'2023 Z Scores'!$A$1:$K$309,11,FALSE)&gt;2,VLOOKUP(B584,'2023 Z Scores'!$A$1:$K$309,10,FALSE)/VLOOKUP(B584,'2023 Z Scores'!$A$1:$K$309,11,FALSE),"Not Enough data"))</f>
        <v>0.72519014615111044</v>
      </c>
      <c r="F584">
        <f>IF(VLOOKUP(A584,'Delta Z Scores'!$A$1:$N$1541,14,FALSE)&gt;2,VLOOKUP(A584,'Delta Z Scores'!$A$1:$N$1541,13,FALSE)/VLOOKUP(A584,'Delta Z Scores'!$A$1:$N$1541,14,FALSE),"Not Enough Data")</f>
        <v>0.31115376461505595</v>
      </c>
      <c r="G584">
        <f>IF(VLOOKUP(A584,'Forecast Z Scores'!$A$1:$N$1541,14,FALSE)&gt;2,VLOOKUP(A584,'Forecast Z Scores'!$A$1:$N$1541,13,FALSE)/VLOOKUP(A584,'Forecast Z Scores'!$A$1:$N$1541,14,FALSE),"Not Enough Data")</f>
        <v>-0.4982265765435393</v>
      </c>
      <c r="H584">
        <v>0.21231777470942076</v>
      </c>
    </row>
    <row r="585" spans="1:8" x14ac:dyDescent="0.35">
      <c r="A585" t="str">
        <f t="shared" si="9"/>
        <v>18097350600_2027</v>
      </c>
      <c r="B585">
        <v>18097350600</v>
      </c>
      <c r="C585">
        <v>2027</v>
      </c>
      <c r="E585">
        <f>-(IF(VLOOKUP(B585,'2023 Z Scores'!$A$1:$K$309,11,FALSE)&gt;2,VLOOKUP(B585,'2023 Z Scores'!$A$1:$K$309,10,FALSE)/VLOOKUP(B585,'2023 Z Scores'!$A$1:$K$309,11,FALSE),"Not Enough data"))</f>
        <v>0.72519014615111044</v>
      </c>
      <c r="F585">
        <f>IF(VLOOKUP(A585,'Delta Z Scores'!$A$1:$N$1541,14,FALSE)&gt;2,VLOOKUP(A585,'Delta Z Scores'!$A$1:$N$1541,13,FALSE)/VLOOKUP(A585,'Delta Z Scores'!$A$1:$N$1541,14,FALSE),"Not Enough Data")</f>
        <v>0.14478790949476428</v>
      </c>
      <c r="G585">
        <f>IF(VLOOKUP(A585,'Forecast Z Scores'!$A$1:$N$1541,14,FALSE)&gt;2,VLOOKUP(A585,'Forecast Z Scores'!$A$1:$N$1541,13,FALSE)/VLOOKUP(A585,'Forecast Z Scores'!$A$1:$N$1541,14,FALSE),"Not Enough Data")</f>
        <v>-0.50934477079355134</v>
      </c>
      <c r="H585">
        <v>0.12635529858677191</v>
      </c>
    </row>
    <row r="586" spans="1:8" x14ac:dyDescent="0.35">
      <c r="A586" t="str">
        <f t="shared" si="9"/>
        <v>18097350600_2028</v>
      </c>
      <c r="B586">
        <v>18097350600</v>
      </c>
      <c r="C586">
        <v>2028</v>
      </c>
      <c r="E586">
        <f>-(IF(VLOOKUP(B586,'2023 Z Scores'!$A$1:$K$309,11,FALSE)&gt;2,VLOOKUP(B586,'2023 Z Scores'!$A$1:$K$309,10,FALSE)/VLOOKUP(B586,'2023 Z Scores'!$A$1:$K$309,11,FALSE),"Not Enough data"))</f>
        <v>0.72519014615111044</v>
      </c>
      <c r="F586">
        <f>IF(VLOOKUP(A586,'Delta Z Scores'!$A$1:$N$1541,14,FALSE)&gt;2,VLOOKUP(A586,'Delta Z Scores'!$A$1:$N$1541,13,FALSE)/VLOOKUP(A586,'Delta Z Scores'!$A$1:$N$1541,14,FALSE),"Not Enough Data")</f>
        <v>0.19612012283513375</v>
      </c>
      <c r="G586">
        <f>IF(VLOOKUP(A586,'Forecast Z Scores'!$A$1:$N$1541,14,FALSE)&gt;2,VLOOKUP(A586,'Forecast Z Scores'!$A$1:$N$1541,13,FALSE)/VLOOKUP(A586,'Forecast Z Scores'!$A$1:$N$1541,14,FALSE),"Not Enough Data")</f>
        <v>-0.50432665236752439</v>
      </c>
      <c r="H586">
        <v>0.15327593486346339</v>
      </c>
    </row>
    <row r="587" spans="1:8" x14ac:dyDescent="0.35">
      <c r="A587" t="str">
        <f t="shared" si="9"/>
        <v>18097350700_2024</v>
      </c>
      <c r="B587">
        <v>18097350700</v>
      </c>
      <c r="C587">
        <v>2024</v>
      </c>
      <c r="E587">
        <f>-(IF(VLOOKUP(B587,'2023 Z Scores'!$A$1:$K$309,11,FALSE)&gt;2,VLOOKUP(B587,'2023 Z Scores'!$A$1:$K$309,10,FALSE)/VLOOKUP(B587,'2023 Z Scores'!$A$1:$K$309,11,FALSE),"Not Enough data"))</f>
        <v>0.95642945596093354</v>
      </c>
      <c r="F587">
        <f>IF(VLOOKUP(A587,'Delta Z Scores'!$A$1:$N$1541,14,FALSE)&gt;2,VLOOKUP(A587,'Delta Z Scores'!$A$1:$N$1541,13,FALSE)/VLOOKUP(A587,'Delta Z Scores'!$A$1:$N$1541,14,FALSE),"Not Enough Data")</f>
        <v>0.23739652916547851</v>
      </c>
      <c r="G587">
        <f>IF(VLOOKUP(A587,'Forecast Z Scores'!$A$1:$N$1541,14,FALSE)&gt;2,VLOOKUP(A587,'Forecast Z Scores'!$A$1:$N$1541,13,FALSE)/VLOOKUP(A587,'Forecast Z Scores'!$A$1:$N$1541,14,FALSE),"Not Enough Data")</f>
        <v>-0.84761164918286458</v>
      </c>
      <c r="H587">
        <v>0.14590271627725648</v>
      </c>
    </row>
    <row r="588" spans="1:8" x14ac:dyDescent="0.35">
      <c r="A588" t="str">
        <f t="shared" si="9"/>
        <v>18097350700_2025</v>
      </c>
      <c r="B588">
        <v>18097350700</v>
      </c>
      <c r="C588">
        <v>2025</v>
      </c>
      <c r="E588">
        <f>-(IF(VLOOKUP(B588,'2023 Z Scores'!$A$1:$K$309,11,FALSE)&gt;2,VLOOKUP(B588,'2023 Z Scores'!$A$1:$K$309,10,FALSE)/VLOOKUP(B588,'2023 Z Scores'!$A$1:$K$309,11,FALSE),"Not Enough data"))</f>
        <v>0.95642945596093354</v>
      </c>
      <c r="F588">
        <f>IF(VLOOKUP(A588,'Delta Z Scores'!$A$1:$N$1541,14,FALSE)&gt;2,VLOOKUP(A588,'Delta Z Scores'!$A$1:$N$1541,13,FALSE)/VLOOKUP(A588,'Delta Z Scores'!$A$1:$N$1541,14,FALSE),"Not Enough Data")</f>
        <v>0.30918126517575301</v>
      </c>
      <c r="G588">
        <f>IF(VLOOKUP(A588,'Forecast Z Scores'!$A$1:$N$1541,14,FALSE)&gt;2,VLOOKUP(A588,'Forecast Z Scores'!$A$1:$N$1541,13,FALSE)/VLOOKUP(A588,'Forecast Z Scores'!$A$1:$N$1541,14,FALSE),"Not Enough Data")</f>
        <v>-0.84624844796084098</v>
      </c>
      <c r="H588">
        <v>0.18213588458789964</v>
      </c>
    </row>
    <row r="589" spans="1:8" x14ac:dyDescent="0.35">
      <c r="A589" t="str">
        <f t="shared" si="9"/>
        <v>18097350700_2026</v>
      </c>
      <c r="B589">
        <v>18097350700</v>
      </c>
      <c r="C589">
        <v>2026</v>
      </c>
      <c r="E589">
        <f>-(IF(VLOOKUP(B589,'2023 Z Scores'!$A$1:$K$309,11,FALSE)&gt;2,VLOOKUP(B589,'2023 Z Scores'!$A$1:$K$309,10,FALSE)/VLOOKUP(B589,'2023 Z Scores'!$A$1:$K$309,11,FALSE),"Not Enough data"))</f>
        <v>0.95642945596093354</v>
      </c>
      <c r="F589">
        <f>IF(VLOOKUP(A589,'Delta Z Scores'!$A$1:$N$1541,14,FALSE)&gt;2,VLOOKUP(A589,'Delta Z Scores'!$A$1:$N$1541,13,FALSE)/VLOOKUP(A589,'Delta Z Scores'!$A$1:$N$1541,14,FALSE),"Not Enough Data")</f>
        <v>0.29573190706532182</v>
      </c>
      <c r="G589">
        <f>IF(VLOOKUP(A589,'Forecast Z Scores'!$A$1:$N$1541,14,FALSE)&gt;2,VLOOKUP(A589,'Forecast Z Scores'!$A$1:$N$1541,13,FALSE)/VLOOKUP(A589,'Forecast Z Scores'!$A$1:$N$1541,14,FALSE),"Not Enough Data")</f>
        <v>-0.82820222002751354</v>
      </c>
      <c r="H589">
        <v>0.17992276251601591</v>
      </c>
    </row>
    <row r="590" spans="1:8" x14ac:dyDescent="0.35">
      <c r="A590" t="str">
        <f t="shared" si="9"/>
        <v>18097350700_2027</v>
      </c>
      <c r="B590">
        <v>18097350700</v>
      </c>
      <c r="C590">
        <v>2027</v>
      </c>
      <c r="E590">
        <f>-(IF(VLOOKUP(B590,'2023 Z Scores'!$A$1:$K$309,11,FALSE)&gt;2,VLOOKUP(B590,'2023 Z Scores'!$A$1:$K$309,10,FALSE)/VLOOKUP(B590,'2023 Z Scores'!$A$1:$K$309,11,FALSE),"Not Enough data"))</f>
        <v>0.95642945596093354</v>
      </c>
      <c r="F590">
        <f>IF(VLOOKUP(A590,'Delta Z Scores'!$A$1:$N$1541,14,FALSE)&gt;2,VLOOKUP(A590,'Delta Z Scores'!$A$1:$N$1541,13,FALSE)/VLOOKUP(A590,'Delta Z Scores'!$A$1:$N$1541,14,FALSE),"Not Enough Data")</f>
        <v>0.1835913164117233</v>
      </c>
      <c r="G590">
        <f>IF(VLOOKUP(A590,'Forecast Z Scores'!$A$1:$N$1541,14,FALSE)&gt;2,VLOOKUP(A590,'Forecast Z Scores'!$A$1:$N$1541,13,FALSE)/VLOOKUP(A590,'Forecast Z Scores'!$A$1:$N$1541,14,FALSE),"Not Enough Data")</f>
        <v>-0.8087627260427086</v>
      </c>
      <c r="H590">
        <v>0.12871234068541787</v>
      </c>
    </row>
    <row r="591" spans="1:8" x14ac:dyDescent="0.35">
      <c r="A591" t="str">
        <f t="shared" si="9"/>
        <v>18097350700_2028</v>
      </c>
      <c r="B591">
        <v>18097350700</v>
      </c>
      <c r="C591">
        <v>2028</v>
      </c>
      <c r="E591">
        <f>-(IF(VLOOKUP(B591,'2023 Z Scores'!$A$1:$K$309,11,FALSE)&gt;2,VLOOKUP(B591,'2023 Z Scores'!$A$1:$K$309,10,FALSE)/VLOOKUP(B591,'2023 Z Scores'!$A$1:$K$309,11,FALSE),"Not Enough data"))</f>
        <v>0.95642945596093354</v>
      </c>
      <c r="F591">
        <f>IF(VLOOKUP(A591,'Delta Z Scores'!$A$1:$N$1541,14,FALSE)&gt;2,VLOOKUP(A591,'Delta Z Scores'!$A$1:$N$1541,13,FALSE)/VLOOKUP(A591,'Delta Z Scores'!$A$1:$N$1541,14,FALSE),"Not Enough Data")</f>
        <v>0.1812903044830283</v>
      </c>
      <c r="G591">
        <f>IF(VLOOKUP(A591,'Forecast Z Scores'!$A$1:$N$1541,14,FALSE)&gt;2,VLOOKUP(A591,'Forecast Z Scores'!$A$1:$N$1541,13,FALSE)/VLOOKUP(A591,'Forecast Z Scores'!$A$1:$N$1541,14,FALSE),"Not Enough Data")</f>
        <v>-0.77363760579695073</v>
      </c>
      <c r="H591">
        <v>0.13634311478250985</v>
      </c>
    </row>
    <row r="592" spans="1:8" x14ac:dyDescent="0.35">
      <c r="A592" t="str">
        <f t="shared" si="9"/>
        <v>18097350800_2024</v>
      </c>
      <c r="B592">
        <v>18097350800</v>
      </c>
      <c r="C592">
        <v>2024</v>
      </c>
      <c r="E592">
        <f>-(IF(VLOOKUP(B592,'2023 Z Scores'!$A$1:$K$309,11,FALSE)&gt;2,VLOOKUP(B592,'2023 Z Scores'!$A$1:$K$309,10,FALSE)/VLOOKUP(B592,'2023 Z Scores'!$A$1:$K$309,11,FALSE),"Not Enough data"))</f>
        <v>1.0636952635222434</v>
      </c>
      <c r="F592">
        <f>IF(VLOOKUP(A592,'Delta Z Scores'!$A$1:$N$1541,14,FALSE)&gt;2,VLOOKUP(A592,'Delta Z Scores'!$A$1:$N$1541,13,FALSE)/VLOOKUP(A592,'Delta Z Scores'!$A$1:$N$1541,14,FALSE),"Not Enough Data")</f>
        <v>0.56066058141362418</v>
      </c>
      <c r="G592">
        <f>IF(VLOOKUP(A592,'Forecast Z Scores'!$A$1:$N$1541,14,FALSE)&gt;2,VLOOKUP(A592,'Forecast Z Scores'!$A$1:$N$1541,13,FALSE)/VLOOKUP(A592,'Forecast Z Scores'!$A$1:$N$1541,14,FALSE),"Not Enough Data")</f>
        <v>-0.72760933933060767</v>
      </c>
      <c r="H592">
        <v>0.364351771754721</v>
      </c>
    </row>
    <row r="593" spans="1:8" x14ac:dyDescent="0.35">
      <c r="A593" t="str">
        <f t="shared" si="9"/>
        <v>18097350800_2025</v>
      </c>
      <c r="B593">
        <v>18097350800</v>
      </c>
      <c r="C593">
        <v>2025</v>
      </c>
      <c r="E593">
        <f>-(IF(VLOOKUP(B593,'2023 Z Scores'!$A$1:$K$309,11,FALSE)&gt;2,VLOOKUP(B593,'2023 Z Scores'!$A$1:$K$309,10,FALSE)/VLOOKUP(B593,'2023 Z Scores'!$A$1:$K$309,11,FALSE),"Not Enough data"))</f>
        <v>1.0636952635222434</v>
      </c>
      <c r="F593">
        <f>IF(VLOOKUP(A593,'Delta Z Scores'!$A$1:$N$1541,14,FALSE)&gt;2,VLOOKUP(A593,'Delta Z Scores'!$A$1:$N$1541,13,FALSE)/VLOOKUP(A593,'Delta Z Scores'!$A$1:$N$1541,14,FALSE),"Not Enough Data")</f>
        <v>0.74042004882089218</v>
      </c>
      <c r="G593">
        <f>IF(VLOOKUP(A593,'Forecast Z Scores'!$A$1:$N$1541,14,FALSE)&gt;2,VLOOKUP(A593,'Forecast Z Scores'!$A$1:$N$1541,13,FALSE)/VLOOKUP(A593,'Forecast Z Scores'!$A$1:$N$1541,14,FALSE),"Not Enough Data")</f>
        <v>-0.65647384560717181</v>
      </c>
      <c r="H593">
        <v>0.47201537888921397</v>
      </c>
    </row>
    <row r="594" spans="1:8" x14ac:dyDescent="0.35">
      <c r="A594" t="str">
        <f t="shared" si="9"/>
        <v>18097350800_2026</v>
      </c>
      <c r="B594">
        <v>18097350800</v>
      </c>
      <c r="C594">
        <v>2026</v>
      </c>
      <c r="E594">
        <f>-(IF(VLOOKUP(B594,'2023 Z Scores'!$A$1:$K$309,11,FALSE)&gt;2,VLOOKUP(B594,'2023 Z Scores'!$A$1:$K$309,10,FALSE)/VLOOKUP(B594,'2023 Z Scores'!$A$1:$K$309,11,FALSE),"Not Enough data"))</f>
        <v>1.0636952635222434</v>
      </c>
      <c r="F594">
        <f>IF(VLOOKUP(A594,'Delta Z Scores'!$A$1:$N$1541,14,FALSE)&gt;2,VLOOKUP(A594,'Delta Z Scores'!$A$1:$N$1541,13,FALSE)/VLOOKUP(A594,'Delta Z Scores'!$A$1:$N$1541,14,FALSE),"Not Enough Data")</f>
        <v>0.80433065198317399</v>
      </c>
      <c r="G594">
        <f>IF(VLOOKUP(A594,'Forecast Z Scores'!$A$1:$N$1541,14,FALSE)&gt;2,VLOOKUP(A594,'Forecast Z Scores'!$A$1:$N$1541,13,FALSE)/VLOOKUP(A594,'Forecast Z Scores'!$A$1:$N$1541,14,FALSE),"Not Enough Data")</f>
        <v>-0.57365958000137141</v>
      </c>
      <c r="H594">
        <v>0.52467424687180508</v>
      </c>
    </row>
    <row r="595" spans="1:8" x14ac:dyDescent="0.35">
      <c r="A595" t="str">
        <f t="shared" si="9"/>
        <v>18097350800_2027</v>
      </c>
      <c r="B595">
        <v>18097350800</v>
      </c>
      <c r="C595">
        <v>2027</v>
      </c>
      <c r="E595">
        <f>-(IF(VLOOKUP(B595,'2023 Z Scores'!$A$1:$K$309,11,FALSE)&gt;2,VLOOKUP(B595,'2023 Z Scores'!$A$1:$K$309,10,FALSE)/VLOOKUP(B595,'2023 Z Scores'!$A$1:$K$309,11,FALSE),"Not Enough data"))</f>
        <v>1.0636952635222434</v>
      </c>
      <c r="F595">
        <f>IF(VLOOKUP(A595,'Delta Z Scores'!$A$1:$N$1541,14,FALSE)&gt;2,VLOOKUP(A595,'Delta Z Scores'!$A$1:$N$1541,13,FALSE)/VLOOKUP(A595,'Delta Z Scores'!$A$1:$N$1541,14,FALSE),"Not Enough Data")</f>
        <v>0.82062770720486511</v>
      </c>
      <c r="G595">
        <f>IF(VLOOKUP(A595,'Forecast Z Scores'!$A$1:$N$1541,14,FALSE)&gt;2,VLOOKUP(A595,'Forecast Z Scores'!$A$1:$N$1541,13,FALSE)/VLOOKUP(A595,'Forecast Z Scores'!$A$1:$N$1541,14,FALSE),"Not Enough Data")</f>
        <v>-0.49726304206367478</v>
      </c>
      <c r="H595">
        <v>0.55192190896707471</v>
      </c>
    </row>
    <row r="596" spans="1:8" x14ac:dyDescent="0.35">
      <c r="A596" t="str">
        <f t="shared" si="9"/>
        <v>18097350800_2028</v>
      </c>
      <c r="B596">
        <v>18097350800</v>
      </c>
      <c r="C596">
        <v>2028</v>
      </c>
      <c r="E596">
        <f>-(IF(VLOOKUP(B596,'2023 Z Scores'!$A$1:$K$309,11,FALSE)&gt;2,VLOOKUP(B596,'2023 Z Scores'!$A$1:$K$309,10,FALSE)/VLOOKUP(B596,'2023 Z Scores'!$A$1:$K$309,11,FALSE),"Not Enough data"))</f>
        <v>1.0636952635222434</v>
      </c>
      <c r="F596">
        <f>IF(VLOOKUP(A596,'Delta Z Scores'!$A$1:$N$1541,14,FALSE)&gt;2,VLOOKUP(A596,'Delta Z Scores'!$A$1:$N$1541,13,FALSE)/VLOOKUP(A596,'Delta Z Scores'!$A$1:$N$1541,14,FALSE),"Not Enough Data")</f>
        <v>0.8099536254334444</v>
      </c>
      <c r="G596">
        <f>IF(VLOOKUP(A596,'Forecast Z Scores'!$A$1:$N$1541,14,FALSE)&gt;2,VLOOKUP(A596,'Forecast Z Scores'!$A$1:$N$1541,13,FALSE)/VLOOKUP(A596,'Forecast Z Scores'!$A$1:$N$1541,14,FALSE),"Not Enough Data")</f>
        <v>-0.40900672589630394</v>
      </c>
      <c r="H596">
        <v>0.56864894712320702</v>
      </c>
    </row>
    <row r="597" spans="1:8" x14ac:dyDescent="0.35">
      <c r="A597" t="str">
        <f t="shared" si="9"/>
        <v>18097350900_2024</v>
      </c>
      <c r="B597">
        <v>18097350900</v>
      </c>
      <c r="C597">
        <v>2024</v>
      </c>
      <c r="E597">
        <f>-(IF(VLOOKUP(B597,'2023 Z Scores'!$A$1:$K$309,11,FALSE)&gt;2,VLOOKUP(B597,'2023 Z Scores'!$A$1:$K$309,10,FALSE)/VLOOKUP(B597,'2023 Z Scores'!$A$1:$K$309,11,FALSE),"Not Enough data"))</f>
        <v>-0.40867587554362172</v>
      </c>
      <c r="F597">
        <f>IF(VLOOKUP(A597,'Delta Z Scores'!$A$1:$N$1541,14,FALSE)&gt;2,VLOOKUP(A597,'Delta Z Scores'!$A$1:$N$1541,13,FALSE)/VLOOKUP(A597,'Delta Z Scores'!$A$1:$N$1541,14,FALSE),"Not Enough Data")</f>
        <v>0.49183344181440614</v>
      </c>
      <c r="G597">
        <f>IF(VLOOKUP(A597,'Forecast Z Scores'!$A$1:$N$1541,14,FALSE)&gt;2,VLOOKUP(A597,'Forecast Z Scores'!$A$1:$N$1541,13,FALSE)/VLOOKUP(A597,'Forecast Z Scores'!$A$1:$N$1541,14,FALSE),"Not Enough Data")</f>
        <v>0.34913829729347029</v>
      </c>
      <c r="H597">
        <v>0.2310323263446652</v>
      </c>
    </row>
    <row r="598" spans="1:8" x14ac:dyDescent="0.35">
      <c r="A598" t="str">
        <f t="shared" si="9"/>
        <v>18097350900_2025</v>
      </c>
      <c r="B598">
        <v>18097350900</v>
      </c>
      <c r="C598">
        <v>2025</v>
      </c>
      <c r="E598">
        <f>-(IF(VLOOKUP(B598,'2023 Z Scores'!$A$1:$K$309,11,FALSE)&gt;2,VLOOKUP(B598,'2023 Z Scores'!$A$1:$K$309,10,FALSE)/VLOOKUP(B598,'2023 Z Scores'!$A$1:$K$309,11,FALSE),"Not Enough data"))</f>
        <v>-0.40867587554362172</v>
      </c>
      <c r="F598">
        <f>IF(VLOOKUP(A598,'Delta Z Scores'!$A$1:$N$1541,14,FALSE)&gt;2,VLOOKUP(A598,'Delta Z Scores'!$A$1:$N$1541,13,FALSE)/VLOOKUP(A598,'Delta Z Scores'!$A$1:$N$1541,14,FALSE),"Not Enough Data")</f>
        <v>0.93455333624936476</v>
      </c>
      <c r="G598">
        <f>IF(VLOOKUP(A598,'Forecast Z Scores'!$A$1:$N$1541,14,FALSE)&gt;2,VLOOKUP(A598,'Forecast Z Scores'!$A$1:$N$1541,13,FALSE)/VLOOKUP(A598,'Forecast Z Scores'!$A$1:$N$1541,14,FALSE),"Not Enough Data")</f>
        <v>0.52452460484503505</v>
      </c>
      <c r="H598">
        <v>0.49623885045003568</v>
      </c>
    </row>
    <row r="599" spans="1:8" x14ac:dyDescent="0.35">
      <c r="A599" t="str">
        <f t="shared" si="9"/>
        <v>18097350900_2026</v>
      </c>
      <c r="B599">
        <v>18097350900</v>
      </c>
      <c r="C599">
        <v>2026</v>
      </c>
      <c r="E599">
        <f>-(IF(VLOOKUP(B599,'2023 Z Scores'!$A$1:$K$309,11,FALSE)&gt;2,VLOOKUP(B599,'2023 Z Scores'!$A$1:$K$309,10,FALSE)/VLOOKUP(B599,'2023 Z Scores'!$A$1:$K$309,11,FALSE),"Not Enough data"))</f>
        <v>-0.40867587554362172</v>
      </c>
      <c r="F599">
        <f>IF(VLOOKUP(A599,'Delta Z Scores'!$A$1:$N$1541,14,FALSE)&gt;2,VLOOKUP(A599,'Delta Z Scores'!$A$1:$N$1541,13,FALSE)/VLOOKUP(A599,'Delta Z Scores'!$A$1:$N$1541,14,FALSE),"Not Enough Data")</f>
        <v>0.43976623311777574</v>
      </c>
      <c r="G599">
        <f>IF(VLOOKUP(A599,'Forecast Z Scores'!$A$1:$N$1541,14,FALSE)&gt;2,VLOOKUP(A599,'Forecast Z Scores'!$A$1:$N$1541,13,FALSE)/VLOOKUP(A599,'Forecast Z Scores'!$A$1:$N$1541,14,FALSE),"Not Enough Data")</f>
        <v>0.61159714719516711</v>
      </c>
      <c r="H599">
        <v>0.27061343447177422</v>
      </c>
    </row>
    <row r="600" spans="1:8" x14ac:dyDescent="0.35">
      <c r="A600" t="str">
        <f t="shared" si="9"/>
        <v>18097350900_2027</v>
      </c>
      <c r="B600">
        <v>18097350900</v>
      </c>
      <c r="C600">
        <v>2027</v>
      </c>
      <c r="E600">
        <f>-(IF(VLOOKUP(B600,'2023 Z Scores'!$A$1:$K$309,11,FALSE)&gt;2,VLOOKUP(B600,'2023 Z Scores'!$A$1:$K$309,10,FALSE)/VLOOKUP(B600,'2023 Z Scores'!$A$1:$K$309,11,FALSE),"Not Enough data"))</f>
        <v>-0.40867587554362172</v>
      </c>
      <c r="F600">
        <f>IF(VLOOKUP(A600,'Delta Z Scores'!$A$1:$N$1541,14,FALSE)&gt;2,VLOOKUP(A600,'Delta Z Scores'!$A$1:$N$1541,13,FALSE)/VLOOKUP(A600,'Delta Z Scores'!$A$1:$N$1541,14,FALSE),"Not Enough Data")</f>
        <v>0.85140187065938844</v>
      </c>
      <c r="G600">
        <f>IF(VLOOKUP(A600,'Forecast Z Scores'!$A$1:$N$1541,14,FALSE)&gt;2,VLOOKUP(A600,'Forecast Z Scores'!$A$1:$N$1541,13,FALSE)/VLOOKUP(A600,'Forecast Z Scores'!$A$1:$N$1541,14,FALSE),"Not Enough Data")</f>
        <v>0.75147386284233164</v>
      </c>
      <c r="H600">
        <v>0.5114004321543717</v>
      </c>
    </row>
    <row r="601" spans="1:8" x14ac:dyDescent="0.35">
      <c r="A601" t="str">
        <f t="shared" si="9"/>
        <v>18097350900_2028</v>
      </c>
      <c r="B601">
        <v>18097350900</v>
      </c>
      <c r="C601">
        <v>2028</v>
      </c>
      <c r="E601">
        <f>-(IF(VLOOKUP(B601,'2023 Z Scores'!$A$1:$K$309,11,FALSE)&gt;2,VLOOKUP(B601,'2023 Z Scores'!$A$1:$K$309,10,FALSE)/VLOOKUP(B601,'2023 Z Scores'!$A$1:$K$309,11,FALSE),"Not Enough data"))</f>
        <v>-0.40867587554362172</v>
      </c>
      <c r="F601">
        <f>IF(VLOOKUP(A601,'Delta Z Scores'!$A$1:$N$1541,14,FALSE)&gt;2,VLOOKUP(A601,'Delta Z Scores'!$A$1:$N$1541,13,FALSE)/VLOOKUP(A601,'Delta Z Scores'!$A$1:$N$1541,14,FALSE),"Not Enough Data")</f>
        <v>0.52350305572457034</v>
      </c>
      <c r="G601">
        <f>IF(VLOOKUP(A601,'Forecast Z Scores'!$A$1:$N$1541,14,FALSE)&gt;2,VLOOKUP(A601,'Forecast Z Scores'!$A$1:$N$1541,13,FALSE)/VLOOKUP(A601,'Forecast Z Scores'!$A$1:$N$1541,14,FALSE),"Not Enough Data")</f>
        <v>0.82737343040336064</v>
      </c>
      <c r="H601">
        <v>0.3664259165772199</v>
      </c>
    </row>
    <row r="602" spans="1:8" x14ac:dyDescent="0.35">
      <c r="A602" t="str">
        <f t="shared" si="9"/>
        <v>18097351000_2024</v>
      </c>
      <c r="B602">
        <v>18097351000</v>
      </c>
      <c r="C602">
        <v>2024</v>
      </c>
      <c r="E602">
        <f>-(IF(VLOOKUP(B602,'2023 Z Scores'!$A$1:$K$309,11,FALSE)&gt;2,VLOOKUP(B602,'2023 Z Scores'!$A$1:$K$309,10,FALSE)/VLOOKUP(B602,'2023 Z Scores'!$A$1:$K$309,11,FALSE),"Not Enough data"))</f>
        <v>0.61242825897437703</v>
      </c>
      <c r="F602">
        <f>IF(VLOOKUP(A602,'Delta Z Scores'!$A$1:$N$1541,14,FALSE)&gt;2,VLOOKUP(A602,'Delta Z Scores'!$A$1:$N$1541,13,FALSE)/VLOOKUP(A602,'Delta Z Scores'!$A$1:$N$1541,14,FALSE),"Not Enough Data")</f>
        <v>-0.13671750122032073</v>
      </c>
      <c r="G602">
        <f>IF(VLOOKUP(A602,'Forecast Z Scores'!$A$1:$N$1541,14,FALSE)&gt;2,VLOOKUP(A602,'Forecast Z Scores'!$A$1:$N$1541,13,FALSE)/VLOOKUP(A602,'Forecast Z Scores'!$A$1:$N$1541,14,FALSE),"Not Enough Data")</f>
        <v>-0.51252928780752127</v>
      </c>
      <c r="H602">
        <v>-4.3384007818446424E-2</v>
      </c>
    </row>
    <row r="603" spans="1:8" x14ac:dyDescent="0.35">
      <c r="A603" t="str">
        <f t="shared" si="9"/>
        <v>18097351000_2025</v>
      </c>
      <c r="B603">
        <v>18097351000</v>
      </c>
      <c r="C603">
        <v>2025</v>
      </c>
      <c r="E603">
        <f>-(IF(VLOOKUP(B603,'2023 Z Scores'!$A$1:$K$309,11,FALSE)&gt;2,VLOOKUP(B603,'2023 Z Scores'!$A$1:$K$309,10,FALSE)/VLOOKUP(B603,'2023 Z Scores'!$A$1:$K$309,11,FALSE),"Not Enough data"))</f>
        <v>0.61242825897437703</v>
      </c>
      <c r="F603">
        <f>IF(VLOOKUP(A603,'Delta Z Scores'!$A$1:$N$1541,14,FALSE)&gt;2,VLOOKUP(A603,'Delta Z Scores'!$A$1:$N$1541,13,FALSE)/VLOOKUP(A603,'Delta Z Scores'!$A$1:$N$1541,14,FALSE),"Not Enough Data")</f>
        <v>0.20158987377633317</v>
      </c>
      <c r="G603">
        <f>IF(VLOOKUP(A603,'Forecast Z Scores'!$A$1:$N$1541,14,FALSE)&gt;2,VLOOKUP(A603,'Forecast Z Scores'!$A$1:$N$1541,13,FALSE)/VLOOKUP(A603,'Forecast Z Scores'!$A$1:$N$1541,14,FALSE),"Not Enough Data")</f>
        <v>-0.4948367233453399</v>
      </c>
      <c r="H603">
        <v>0.13019282079542588</v>
      </c>
    </row>
    <row r="604" spans="1:8" x14ac:dyDescent="0.35">
      <c r="A604" t="str">
        <f t="shared" si="9"/>
        <v>18097351000_2026</v>
      </c>
      <c r="B604">
        <v>18097351000</v>
      </c>
      <c r="C604">
        <v>2026</v>
      </c>
      <c r="E604">
        <f>-(IF(VLOOKUP(B604,'2023 Z Scores'!$A$1:$K$309,11,FALSE)&gt;2,VLOOKUP(B604,'2023 Z Scores'!$A$1:$K$309,10,FALSE)/VLOOKUP(B604,'2023 Z Scores'!$A$1:$K$309,11,FALSE),"Not Enough data"))</f>
        <v>0.61242825897437703</v>
      </c>
      <c r="F604">
        <f>IF(VLOOKUP(A604,'Delta Z Scores'!$A$1:$N$1541,14,FALSE)&gt;2,VLOOKUP(A604,'Delta Z Scores'!$A$1:$N$1541,13,FALSE)/VLOOKUP(A604,'Delta Z Scores'!$A$1:$N$1541,14,FALSE),"Not Enough Data")</f>
        <v>-0.19283154504340208</v>
      </c>
      <c r="G604">
        <f>IF(VLOOKUP(A604,'Forecast Z Scores'!$A$1:$N$1541,14,FALSE)&gt;2,VLOOKUP(A604,'Forecast Z Scores'!$A$1:$N$1541,13,FALSE)/VLOOKUP(A604,'Forecast Z Scores'!$A$1:$N$1541,14,FALSE),"Not Enough Data")</f>
        <v>-0.48705618188645061</v>
      </c>
      <c r="H604">
        <v>-6.5072753249719451E-2</v>
      </c>
    </row>
    <row r="605" spans="1:8" x14ac:dyDescent="0.35">
      <c r="A605" t="str">
        <f t="shared" si="9"/>
        <v>18097351000_2027</v>
      </c>
      <c r="B605">
        <v>18097351000</v>
      </c>
      <c r="C605">
        <v>2027</v>
      </c>
      <c r="E605">
        <f>-(IF(VLOOKUP(B605,'2023 Z Scores'!$A$1:$K$309,11,FALSE)&gt;2,VLOOKUP(B605,'2023 Z Scores'!$A$1:$K$309,10,FALSE)/VLOOKUP(B605,'2023 Z Scores'!$A$1:$K$309,11,FALSE),"Not Enough data"))</f>
        <v>0.61242825897437703</v>
      </c>
      <c r="F605">
        <f>IF(VLOOKUP(A605,'Delta Z Scores'!$A$1:$N$1541,14,FALSE)&gt;2,VLOOKUP(A605,'Delta Z Scores'!$A$1:$N$1541,13,FALSE)/VLOOKUP(A605,'Delta Z Scores'!$A$1:$N$1541,14,FALSE),"Not Enough Data")</f>
        <v>0.1091916707027339</v>
      </c>
      <c r="G605">
        <f>IF(VLOOKUP(A605,'Forecast Z Scores'!$A$1:$N$1541,14,FALSE)&gt;2,VLOOKUP(A605,'Forecast Z Scores'!$A$1:$N$1541,13,FALSE)/VLOOKUP(A605,'Forecast Z Scores'!$A$1:$N$1541,14,FALSE),"Not Enough Data")</f>
        <v>-0.46178989693534539</v>
      </c>
      <c r="H605">
        <v>9.2255425861124868E-2</v>
      </c>
    </row>
    <row r="606" spans="1:8" x14ac:dyDescent="0.35">
      <c r="A606" t="str">
        <f t="shared" si="9"/>
        <v>18097351000_2028</v>
      </c>
      <c r="B606">
        <v>18097351000</v>
      </c>
      <c r="C606">
        <v>2028</v>
      </c>
      <c r="E606">
        <f>-(IF(VLOOKUP(B606,'2023 Z Scores'!$A$1:$K$309,11,FALSE)&gt;2,VLOOKUP(B606,'2023 Z Scores'!$A$1:$K$309,10,FALSE)/VLOOKUP(B606,'2023 Z Scores'!$A$1:$K$309,11,FALSE),"Not Enough data"))</f>
        <v>0.61242825897437703</v>
      </c>
      <c r="F606">
        <f>IF(VLOOKUP(A606,'Delta Z Scores'!$A$1:$N$1541,14,FALSE)&gt;2,VLOOKUP(A606,'Delta Z Scores'!$A$1:$N$1541,13,FALSE)/VLOOKUP(A606,'Delta Z Scores'!$A$1:$N$1541,14,FALSE),"Not Enough Data")</f>
        <v>-0.20073644549835673</v>
      </c>
      <c r="G606">
        <f>IF(VLOOKUP(A606,'Forecast Z Scores'!$A$1:$N$1541,14,FALSE)&gt;2,VLOOKUP(A606,'Forecast Z Scores'!$A$1:$N$1541,13,FALSE)/VLOOKUP(A606,'Forecast Z Scores'!$A$1:$N$1541,14,FALSE),"Not Enough Data")</f>
        <v>-0.43922565001818792</v>
      </c>
      <c r="H606">
        <v>-5.7067570510131088E-2</v>
      </c>
    </row>
    <row r="607" spans="1:8" x14ac:dyDescent="0.35">
      <c r="A607" t="str">
        <f t="shared" si="9"/>
        <v>18097351200_2024</v>
      </c>
      <c r="B607">
        <v>18097351200</v>
      </c>
      <c r="C607">
        <v>2024</v>
      </c>
      <c r="E607">
        <f>-(IF(VLOOKUP(B607,'2023 Z Scores'!$A$1:$K$309,11,FALSE)&gt;2,VLOOKUP(B607,'2023 Z Scores'!$A$1:$K$309,10,FALSE)/VLOOKUP(B607,'2023 Z Scores'!$A$1:$K$309,11,FALSE),"Not Enough data"))</f>
        <v>0.80954599654487658</v>
      </c>
      <c r="F607">
        <f>IF(VLOOKUP(A607,'Delta Z Scores'!$A$1:$N$1541,14,FALSE)&gt;2,VLOOKUP(A607,'Delta Z Scores'!$A$1:$N$1541,13,FALSE)/VLOOKUP(A607,'Delta Z Scores'!$A$1:$N$1541,14,FALSE),"Not Enough Data")</f>
        <v>-1.2875043469514066E-2</v>
      </c>
      <c r="G607">
        <f>IF(VLOOKUP(A607,'Forecast Z Scores'!$A$1:$N$1541,14,FALSE)&gt;2,VLOOKUP(A607,'Forecast Z Scores'!$A$1:$N$1541,13,FALSE)/VLOOKUP(A607,'Forecast Z Scores'!$A$1:$N$1541,14,FALSE),"Not Enough Data")</f>
        <v>-0.42887454733363206</v>
      </c>
      <c r="H607">
        <v>8.8730340568054095E-2</v>
      </c>
    </row>
    <row r="608" spans="1:8" x14ac:dyDescent="0.35">
      <c r="A608" t="str">
        <f t="shared" si="9"/>
        <v>18097351200_2025</v>
      </c>
      <c r="B608">
        <v>18097351200</v>
      </c>
      <c r="C608">
        <v>2025</v>
      </c>
      <c r="E608">
        <f>-(IF(VLOOKUP(B608,'2023 Z Scores'!$A$1:$K$309,11,FALSE)&gt;2,VLOOKUP(B608,'2023 Z Scores'!$A$1:$K$309,10,FALSE)/VLOOKUP(B608,'2023 Z Scores'!$A$1:$K$309,11,FALSE),"Not Enough data"))</f>
        <v>0.80954599654487658</v>
      </c>
      <c r="F608">
        <f>IF(VLOOKUP(A608,'Delta Z Scores'!$A$1:$N$1541,14,FALSE)&gt;2,VLOOKUP(A608,'Delta Z Scores'!$A$1:$N$1541,13,FALSE)/VLOOKUP(A608,'Delta Z Scores'!$A$1:$N$1541,14,FALSE),"Not Enough Data")</f>
        <v>0.21269659402194208</v>
      </c>
      <c r="G608">
        <f>IF(VLOOKUP(A608,'Forecast Z Scores'!$A$1:$N$1541,14,FALSE)&gt;2,VLOOKUP(A608,'Forecast Z Scores'!$A$1:$N$1541,13,FALSE)/VLOOKUP(A608,'Forecast Z Scores'!$A$1:$N$1541,14,FALSE),"Not Enough Data")</f>
        <v>-0.38583191017447938</v>
      </c>
      <c r="H608">
        <v>0.21227681860357034</v>
      </c>
    </row>
    <row r="609" spans="1:8" x14ac:dyDescent="0.35">
      <c r="A609" t="str">
        <f t="shared" si="9"/>
        <v>18097351200_2026</v>
      </c>
      <c r="B609">
        <v>18097351200</v>
      </c>
      <c r="C609">
        <v>2026</v>
      </c>
      <c r="E609">
        <f>-(IF(VLOOKUP(B609,'2023 Z Scores'!$A$1:$K$309,11,FALSE)&gt;2,VLOOKUP(B609,'2023 Z Scores'!$A$1:$K$309,10,FALSE)/VLOOKUP(B609,'2023 Z Scores'!$A$1:$K$309,11,FALSE),"Not Enough data"))</f>
        <v>0.80954599654487658</v>
      </c>
      <c r="F609">
        <f>IF(VLOOKUP(A609,'Delta Z Scores'!$A$1:$N$1541,14,FALSE)&gt;2,VLOOKUP(A609,'Delta Z Scores'!$A$1:$N$1541,13,FALSE)/VLOOKUP(A609,'Delta Z Scores'!$A$1:$N$1541,14,FALSE),"Not Enough Data")</f>
        <v>0.53280514602964357</v>
      </c>
      <c r="G609">
        <f>IF(VLOOKUP(A609,'Forecast Z Scores'!$A$1:$N$1541,14,FALSE)&gt;2,VLOOKUP(A609,'Forecast Z Scores'!$A$1:$N$1541,13,FALSE)/VLOOKUP(A609,'Forecast Z Scores'!$A$1:$N$1541,14,FALSE),"Not Enough Data")</f>
        <v>-0.35613790580965232</v>
      </c>
      <c r="H609">
        <v>0.37975459569862785</v>
      </c>
    </row>
    <row r="610" spans="1:8" x14ac:dyDescent="0.35">
      <c r="A610" t="str">
        <f t="shared" si="9"/>
        <v>18097351200_2027</v>
      </c>
      <c r="B610">
        <v>18097351200</v>
      </c>
      <c r="C610">
        <v>2027</v>
      </c>
      <c r="E610">
        <f>-(IF(VLOOKUP(B610,'2023 Z Scores'!$A$1:$K$309,11,FALSE)&gt;2,VLOOKUP(B610,'2023 Z Scores'!$A$1:$K$309,10,FALSE)/VLOOKUP(B610,'2023 Z Scores'!$A$1:$K$309,11,FALSE),"Not Enough data"))</f>
        <v>0.80954599654487658</v>
      </c>
      <c r="F610">
        <f>IF(VLOOKUP(A610,'Delta Z Scores'!$A$1:$N$1541,14,FALSE)&gt;2,VLOOKUP(A610,'Delta Z Scores'!$A$1:$N$1541,13,FALSE)/VLOOKUP(A610,'Delta Z Scores'!$A$1:$N$1541,14,FALSE),"Not Enough Data")</f>
        <v>0.36500273207415262</v>
      </c>
      <c r="G610">
        <f>IF(VLOOKUP(A610,'Forecast Z Scores'!$A$1:$N$1541,14,FALSE)&gt;2,VLOOKUP(A610,'Forecast Z Scores'!$A$1:$N$1541,13,FALSE)/VLOOKUP(A610,'Forecast Z Scores'!$A$1:$N$1541,14,FALSE),"Not Enough Data")</f>
        <v>-0.3227779361018655</v>
      </c>
      <c r="H610">
        <v>0.30419338114782907</v>
      </c>
    </row>
    <row r="611" spans="1:8" x14ac:dyDescent="0.35">
      <c r="A611" t="str">
        <f t="shared" si="9"/>
        <v>18097351200_2028</v>
      </c>
      <c r="B611">
        <v>18097351200</v>
      </c>
      <c r="C611">
        <v>2028</v>
      </c>
      <c r="E611">
        <f>-(IF(VLOOKUP(B611,'2023 Z Scores'!$A$1:$K$309,11,FALSE)&gt;2,VLOOKUP(B611,'2023 Z Scores'!$A$1:$K$309,10,FALSE)/VLOOKUP(B611,'2023 Z Scores'!$A$1:$K$309,11,FALSE),"Not Enough data"))</f>
        <v>0.80954599654487658</v>
      </c>
      <c r="F611">
        <f>IF(VLOOKUP(A611,'Delta Z Scores'!$A$1:$N$1541,14,FALSE)&gt;2,VLOOKUP(A611,'Delta Z Scores'!$A$1:$N$1541,13,FALSE)/VLOOKUP(A611,'Delta Z Scores'!$A$1:$N$1541,14,FALSE),"Not Enough Data")</f>
        <v>0.50292078811117824</v>
      </c>
      <c r="G611">
        <f>IF(VLOOKUP(A611,'Forecast Z Scores'!$A$1:$N$1541,14,FALSE)&gt;2,VLOOKUP(A611,'Forecast Z Scores'!$A$1:$N$1541,13,FALSE)/VLOOKUP(A611,'Forecast Z Scores'!$A$1:$N$1541,14,FALSE),"Not Enough Data")</f>
        <v>-0.30853067938550904</v>
      </c>
      <c r="H611">
        <v>0.37671422334543103</v>
      </c>
    </row>
    <row r="612" spans="1:8" x14ac:dyDescent="0.35">
      <c r="A612" t="str">
        <f t="shared" si="9"/>
        <v>18097351500_2024</v>
      </c>
      <c r="B612">
        <v>18097351500</v>
      </c>
      <c r="C612">
        <v>2024</v>
      </c>
      <c r="E612">
        <f>-(IF(VLOOKUP(B612,'2023 Z Scores'!$A$1:$K$309,11,FALSE)&gt;2,VLOOKUP(B612,'2023 Z Scores'!$A$1:$K$309,10,FALSE)/VLOOKUP(B612,'2023 Z Scores'!$A$1:$K$309,11,FALSE),"Not Enough data"))</f>
        <v>0.17725284121946644</v>
      </c>
      <c r="F612">
        <f>IF(VLOOKUP(A612,'Delta Z Scores'!$A$1:$N$1541,14,FALSE)&gt;2,VLOOKUP(A612,'Delta Z Scores'!$A$1:$N$1541,13,FALSE)/VLOOKUP(A612,'Delta Z Scores'!$A$1:$N$1541,14,FALSE),"Not Enough Data")</f>
        <v>5.7196084401109883E-2</v>
      </c>
      <c r="G612">
        <f>IF(VLOOKUP(A612,'Forecast Z Scores'!$A$1:$N$1541,14,FALSE)&gt;2,VLOOKUP(A612,'Forecast Z Scores'!$A$1:$N$1541,13,FALSE)/VLOOKUP(A612,'Forecast Z Scores'!$A$1:$N$1541,14,FALSE),"Not Enough Data")</f>
        <v>-1.2182516745000822E-2</v>
      </c>
      <c r="H612">
        <v>6.9865623319171344E-2</v>
      </c>
    </row>
    <row r="613" spans="1:8" x14ac:dyDescent="0.35">
      <c r="A613" t="str">
        <f t="shared" si="9"/>
        <v>18097351500_2025</v>
      </c>
      <c r="B613">
        <v>18097351500</v>
      </c>
      <c r="C613">
        <v>2025</v>
      </c>
      <c r="E613">
        <f>-(IF(VLOOKUP(B613,'2023 Z Scores'!$A$1:$K$309,11,FALSE)&gt;2,VLOOKUP(B613,'2023 Z Scores'!$A$1:$K$309,10,FALSE)/VLOOKUP(B613,'2023 Z Scores'!$A$1:$K$309,11,FALSE),"Not Enough data"))</f>
        <v>0.17725284121946644</v>
      </c>
      <c r="F613">
        <f>IF(VLOOKUP(A613,'Delta Z Scores'!$A$1:$N$1541,14,FALSE)&gt;2,VLOOKUP(A613,'Delta Z Scores'!$A$1:$N$1541,13,FALSE)/VLOOKUP(A613,'Delta Z Scores'!$A$1:$N$1541,14,FALSE),"Not Enough Data")</f>
        <v>0.39068206779739517</v>
      </c>
      <c r="G613">
        <f>IF(VLOOKUP(A613,'Forecast Z Scores'!$A$1:$N$1541,14,FALSE)&gt;2,VLOOKUP(A613,'Forecast Z Scores'!$A$1:$N$1541,13,FALSE)/VLOOKUP(A613,'Forecast Z Scores'!$A$1:$N$1541,14,FALSE),"Not Enough Data")</f>
        <v>3.537763512268019E-2</v>
      </c>
      <c r="H613">
        <v>0.24849865298423424</v>
      </c>
    </row>
    <row r="614" spans="1:8" x14ac:dyDescent="0.35">
      <c r="A614" t="str">
        <f t="shared" si="9"/>
        <v>18097351500_2026</v>
      </c>
      <c r="B614">
        <v>18097351500</v>
      </c>
      <c r="C614">
        <v>2026</v>
      </c>
      <c r="E614">
        <f>-(IF(VLOOKUP(B614,'2023 Z Scores'!$A$1:$K$309,11,FALSE)&gt;2,VLOOKUP(B614,'2023 Z Scores'!$A$1:$K$309,10,FALSE)/VLOOKUP(B614,'2023 Z Scores'!$A$1:$K$309,11,FALSE),"Not Enough data"))</f>
        <v>0.17725284121946644</v>
      </c>
      <c r="F614">
        <f>IF(VLOOKUP(A614,'Delta Z Scores'!$A$1:$N$1541,14,FALSE)&gt;2,VLOOKUP(A614,'Delta Z Scores'!$A$1:$N$1541,13,FALSE)/VLOOKUP(A614,'Delta Z Scores'!$A$1:$N$1541,14,FALSE),"Not Enough Data")</f>
        <v>0.19220544187467983</v>
      </c>
      <c r="G614">
        <f>IF(VLOOKUP(A614,'Forecast Z Scores'!$A$1:$N$1541,14,FALSE)&gt;2,VLOOKUP(A614,'Forecast Z Scores'!$A$1:$N$1541,13,FALSE)/VLOOKUP(A614,'Forecast Z Scores'!$A$1:$N$1541,14,FALSE),"Not Enough Data")</f>
        <v>7.014894916618597E-2</v>
      </c>
      <c r="H614">
        <v>0.15795316853375302</v>
      </c>
    </row>
    <row r="615" spans="1:8" x14ac:dyDescent="0.35">
      <c r="A615" t="str">
        <f t="shared" si="9"/>
        <v>18097351500_2027</v>
      </c>
      <c r="B615">
        <v>18097351500</v>
      </c>
      <c r="C615">
        <v>2027</v>
      </c>
      <c r="E615">
        <f>-(IF(VLOOKUP(B615,'2023 Z Scores'!$A$1:$K$309,11,FALSE)&gt;2,VLOOKUP(B615,'2023 Z Scores'!$A$1:$K$309,10,FALSE)/VLOOKUP(B615,'2023 Z Scores'!$A$1:$K$309,11,FALSE),"Not Enough data"))</f>
        <v>0.17725284121946644</v>
      </c>
      <c r="F615">
        <f>IF(VLOOKUP(A615,'Delta Z Scores'!$A$1:$N$1541,14,FALSE)&gt;2,VLOOKUP(A615,'Delta Z Scores'!$A$1:$N$1541,13,FALSE)/VLOOKUP(A615,'Delta Z Scores'!$A$1:$N$1541,14,FALSE),"Not Enough Data")</f>
        <v>0.28949013760219927</v>
      </c>
      <c r="G615">
        <f>IF(VLOOKUP(A615,'Forecast Z Scores'!$A$1:$N$1541,14,FALSE)&gt;2,VLOOKUP(A615,'Forecast Z Scores'!$A$1:$N$1541,13,FALSE)/VLOOKUP(A615,'Forecast Z Scores'!$A$1:$N$1541,14,FALSE),"Not Enough Data")</f>
        <v>0.10607033173861916</v>
      </c>
      <c r="H615">
        <v>0.21557586204062101</v>
      </c>
    </row>
    <row r="616" spans="1:8" x14ac:dyDescent="0.35">
      <c r="A616" t="str">
        <f t="shared" si="9"/>
        <v>18097351500_2028</v>
      </c>
      <c r="B616">
        <v>18097351500</v>
      </c>
      <c r="C616">
        <v>2028</v>
      </c>
      <c r="E616">
        <f>-(IF(VLOOKUP(B616,'2023 Z Scores'!$A$1:$K$309,11,FALSE)&gt;2,VLOOKUP(B616,'2023 Z Scores'!$A$1:$K$309,10,FALSE)/VLOOKUP(B616,'2023 Z Scores'!$A$1:$K$309,11,FALSE),"Not Enough data"))</f>
        <v>0.17725284121946644</v>
      </c>
      <c r="F616">
        <f>IF(VLOOKUP(A616,'Delta Z Scores'!$A$1:$N$1541,14,FALSE)&gt;2,VLOOKUP(A616,'Delta Z Scores'!$A$1:$N$1541,13,FALSE)/VLOOKUP(A616,'Delta Z Scores'!$A$1:$N$1541,14,FALSE),"Not Enough Data")</f>
        <v>0.16235879921249555</v>
      </c>
      <c r="G616">
        <f>IF(VLOOKUP(A616,'Forecast Z Scores'!$A$1:$N$1541,14,FALSE)&gt;2,VLOOKUP(A616,'Forecast Z Scores'!$A$1:$N$1541,13,FALSE)/VLOOKUP(A616,'Forecast Z Scores'!$A$1:$N$1541,14,FALSE),"Not Enough Data")</f>
        <v>0.13960323714922451</v>
      </c>
      <c r="H616">
        <v>0.16039341919842051</v>
      </c>
    </row>
    <row r="617" spans="1:8" x14ac:dyDescent="0.35">
      <c r="A617" t="str">
        <f t="shared" si="9"/>
        <v>18097351600_2024</v>
      </c>
      <c r="B617">
        <v>18097351600</v>
      </c>
      <c r="C617">
        <v>2024</v>
      </c>
      <c r="E617">
        <f>-(IF(VLOOKUP(B617,'2023 Z Scores'!$A$1:$K$309,11,FALSE)&gt;2,VLOOKUP(B617,'2023 Z Scores'!$A$1:$K$309,10,FALSE)/VLOOKUP(B617,'2023 Z Scores'!$A$1:$K$309,11,FALSE),"Not Enough data"))</f>
        <v>-0.74344274077163952</v>
      </c>
      <c r="F617">
        <f>IF(VLOOKUP(A617,'Delta Z Scores'!$A$1:$N$1541,14,FALSE)&gt;2,VLOOKUP(A617,'Delta Z Scores'!$A$1:$N$1541,13,FALSE)/VLOOKUP(A617,'Delta Z Scores'!$A$1:$N$1541,14,FALSE),"Not Enough Data")</f>
        <v>5.440499415260841E-2</v>
      </c>
      <c r="G617">
        <f>IF(VLOOKUP(A617,'Forecast Z Scores'!$A$1:$N$1541,14,FALSE)&gt;2,VLOOKUP(A617,'Forecast Z Scores'!$A$1:$N$1541,13,FALSE)/VLOOKUP(A617,'Forecast Z Scores'!$A$1:$N$1541,14,FALSE),"Not Enough Data")</f>
        <v>0.7528562725642004</v>
      </c>
      <c r="H617">
        <v>2.9555880024444425E-2</v>
      </c>
    </row>
    <row r="618" spans="1:8" x14ac:dyDescent="0.35">
      <c r="A618" t="str">
        <f t="shared" si="9"/>
        <v>18097351600_2025</v>
      </c>
      <c r="B618">
        <v>18097351600</v>
      </c>
      <c r="C618">
        <v>2025</v>
      </c>
      <c r="E618">
        <f>-(IF(VLOOKUP(B618,'2023 Z Scores'!$A$1:$K$309,11,FALSE)&gt;2,VLOOKUP(B618,'2023 Z Scores'!$A$1:$K$309,10,FALSE)/VLOOKUP(B618,'2023 Z Scores'!$A$1:$K$309,11,FALSE),"Not Enough data"))</f>
        <v>-0.74344274077163952</v>
      </c>
      <c r="F618">
        <f>IF(VLOOKUP(A618,'Delta Z Scores'!$A$1:$N$1541,14,FALSE)&gt;2,VLOOKUP(A618,'Delta Z Scores'!$A$1:$N$1541,13,FALSE)/VLOOKUP(A618,'Delta Z Scores'!$A$1:$N$1541,14,FALSE),"Not Enough Data")</f>
        <v>0.51403898767787548</v>
      </c>
      <c r="G618">
        <f>IF(VLOOKUP(A618,'Forecast Z Scores'!$A$1:$N$1541,14,FALSE)&gt;2,VLOOKUP(A618,'Forecast Z Scores'!$A$1:$N$1541,13,FALSE)/VLOOKUP(A618,'Forecast Z Scores'!$A$1:$N$1541,14,FALSE),"Not Enough Data")</f>
        <v>0.85207701651662693</v>
      </c>
      <c r="H618">
        <v>0.28417806277518459</v>
      </c>
    </row>
    <row r="619" spans="1:8" x14ac:dyDescent="0.35">
      <c r="A619" t="str">
        <f t="shared" si="9"/>
        <v>18097351600_2026</v>
      </c>
      <c r="B619">
        <v>18097351600</v>
      </c>
      <c r="C619">
        <v>2026</v>
      </c>
      <c r="E619">
        <f>-(IF(VLOOKUP(B619,'2023 Z Scores'!$A$1:$K$309,11,FALSE)&gt;2,VLOOKUP(B619,'2023 Z Scores'!$A$1:$K$309,10,FALSE)/VLOOKUP(B619,'2023 Z Scores'!$A$1:$K$309,11,FALSE),"Not Enough data"))</f>
        <v>-0.74344274077163952</v>
      </c>
      <c r="F619">
        <f>IF(VLOOKUP(A619,'Delta Z Scores'!$A$1:$N$1541,14,FALSE)&gt;2,VLOOKUP(A619,'Delta Z Scores'!$A$1:$N$1541,13,FALSE)/VLOOKUP(A619,'Delta Z Scores'!$A$1:$N$1541,14,FALSE),"Not Enough Data")</f>
        <v>0.24881190514041013</v>
      </c>
      <c r="G619">
        <f>IF(VLOOKUP(A619,'Forecast Z Scores'!$A$1:$N$1541,14,FALSE)&gt;2,VLOOKUP(A619,'Forecast Z Scores'!$A$1:$N$1541,13,FALSE)/VLOOKUP(A619,'Forecast Z Scores'!$A$1:$N$1541,14,FALSE),"Not Enough Data")</f>
        <v>0.91570185798595793</v>
      </c>
      <c r="H619">
        <v>0.1674707318737847</v>
      </c>
    </row>
    <row r="620" spans="1:8" x14ac:dyDescent="0.35">
      <c r="A620" t="str">
        <f t="shared" si="9"/>
        <v>18097351600_2027</v>
      </c>
      <c r="B620">
        <v>18097351600</v>
      </c>
      <c r="C620">
        <v>2027</v>
      </c>
      <c r="E620">
        <f>-(IF(VLOOKUP(B620,'2023 Z Scores'!$A$1:$K$309,11,FALSE)&gt;2,VLOOKUP(B620,'2023 Z Scores'!$A$1:$K$309,10,FALSE)/VLOOKUP(B620,'2023 Z Scores'!$A$1:$K$309,11,FALSE),"Not Enough data"))</f>
        <v>-0.74344274077163952</v>
      </c>
      <c r="F620">
        <f>IF(VLOOKUP(A620,'Delta Z Scores'!$A$1:$N$1541,14,FALSE)&gt;2,VLOOKUP(A620,'Delta Z Scores'!$A$1:$N$1541,13,FALSE)/VLOOKUP(A620,'Delta Z Scores'!$A$1:$N$1541,14,FALSE),"Not Enough Data")</f>
        <v>0.27699366854119933</v>
      </c>
      <c r="G620">
        <f>IF(VLOOKUP(A620,'Forecast Z Scores'!$A$1:$N$1541,14,FALSE)&gt;2,VLOOKUP(A620,'Forecast Z Scores'!$A$1:$N$1541,13,FALSE)/VLOOKUP(A620,'Forecast Z Scores'!$A$1:$N$1541,14,FALSE),"Not Enough Data")</f>
        <v>0.96276664912673071</v>
      </c>
      <c r="H620">
        <v>0.19332781135937249</v>
      </c>
    </row>
    <row r="621" spans="1:8" x14ac:dyDescent="0.35">
      <c r="A621" t="str">
        <f t="shared" si="9"/>
        <v>18097351600_2028</v>
      </c>
      <c r="B621">
        <v>18097351600</v>
      </c>
      <c r="C621">
        <v>2028</v>
      </c>
      <c r="E621">
        <f>-(IF(VLOOKUP(B621,'2023 Z Scores'!$A$1:$K$309,11,FALSE)&gt;2,VLOOKUP(B621,'2023 Z Scores'!$A$1:$K$309,10,FALSE)/VLOOKUP(B621,'2023 Z Scores'!$A$1:$K$309,11,FALSE),"Not Enough data"))</f>
        <v>-0.74344274077163952</v>
      </c>
      <c r="F621">
        <f>IF(VLOOKUP(A621,'Delta Z Scores'!$A$1:$N$1541,14,FALSE)&gt;2,VLOOKUP(A621,'Delta Z Scores'!$A$1:$N$1541,13,FALSE)/VLOOKUP(A621,'Delta Z Scores'!$A$1:$N$1541,14,FALSE),"Not Enough Data")</f>
        <v>0.1424223162215161</v>
      </c>
      <c r="G621">
        <f>IF(VLOOKUP(A621,'Forecast Z Scores'!$A$1:$N$1541,14,FALSE)&gt;2,VLOOKUP(A621,'Forecast Z Scores'!$A$1:$N$1541,13,FALSE)/VLOOKUP(A621,'Forecast Z Scores'!$A$1:$N$1541,14,FALSE),"Not Enough Data")</f>
        <v>0.98756493471295492</v>
      </c>
      <c r="H621">
        <v>0.13224170659608692</v>
      </c>
    </row>
    <row r="622" spans="1:8" x14ac:dyDescent="0.35">
      <c r="A622" t="str">
        <f t="shared" si="9"/>
        <v>18097351700_2024</v>
      </c>
      <c r="B622">
        <v>18097351700</v>
      </c>
      <c r="C622">
        <v>2024</v>
      </c>
      <c r="E622">
        <f>-(IF(VLOOKUP(B622,'2023 Z Scores'!$A$1:$K$309,11,FALSE)&gt;2,VLOOKUP(B622,'2023 Z Scores'!$A$1:$K$309,10,FALSE)/VLOOKUP(B622,'2023 Z Scores'!$A$1:$K$309,11,FALSE),"Not Enough data"))</f>
        <v>5.7886423961998534E-3</v>
      </c>
      <c r="F622">
        <f>IF(VLOOKUP(A622,'Delta Z Scores'!$A$1:$N$1541,14,FALSE)&gt;2,VLOOKUP(A622,'Delta Z Scores'!$A$1:$N$1541,13,FALSE)/VLOOKUP(A622,'Delta Z Scores'!$A$1:$N$1541,14,FALSE),"Not Enough Data")</f>
        <v>-0.11949539904394538</v>
      </c>
      <c r="G622">
        <f>IF(VLOOKUP(A622,'Forecast Z Scores'!$A$1:$N$1541,14,FALSE)&gt;2,VLOOKUP(A622,'Forecast Z Scores'!$A$1:$N$1541,13,FALSE)/VLOOKUP(A622,'Forecast Z Scores'!$A$1:$N$1541,14,FALSE),"Not Enough Data")</f>
        <v>0.12246382910427145</v>
      </c>
      <c r="H622">
        <v>-2.7684581646854865E-2</v>
      </c>
    </row>
    <row r="623" spans="1:8" x14ac:dyDescent="0.35">
      <c r="A623" t="str">
        <f t="shared" si="9"/>
        <v>18097351700_2025</v>
      </c>
      <c r="B623">
        <v>18097351700</v>
      </c>
      <c r="C623">
        <v>2025</v>
      </c>
      <c r="E623">
        <f>-(IF(VLOOKUP(B623,'2023 Z Scores'!$A$1:$K$309,11,FALSE)&gt;2,VLOOKUP(B623,'2023 Z Scores'!$A$1:$K$309,10,FALSE)/VLOOKUP(B623,'2023 Z Scores'!$A$1:$K$309,11,FALSE),"Not Enough data"))</f>
        <v>5.7886423961998534E-3</v>
      </c>
      <c r="F623">
        <f>IF(VLOOKUP(A623,'Delta Z Scores'!$A$1:$N$1541,14,FALSE)&gt;2,VLOOKUP(A623,'Delta Z Scores'!$A$1:$N$1541,13,FALSE)/VLOOKUP(A623,'Delta Z Scores'!$A$1:$N$1541,14,FALSE),"Not Enough Data")</f>
        <v>0.59831723044037077</v>
      </c>
      <c r="G623">
        <f>IF(VLOOKUP(A623,'Forecast Z Scores'!$A$1:$N$1541,14,FALSE)&gt;2,VLOOKUP(A623,'Forecast Z Scores'!$A$1:$N$1541,13,FALSE)/VLOOKUP(A623,'Forecast Z Scores'!$A$1:$N$1541,14,FALSE),"Not Enough Data")</f>
        <v>0.2520890738486416</v>
      </c>
      <c r="H623">
        <v>0.36362804428139578</v>
      </c>
    </row>
    <row r="624" spans="1:8" x14ac:dyDescent="0.35">
      <c r="A624" t="str">
        <f t="shared" si="9"/>
        <v>18097351700_2026</v>
      </c>
      <c r="B624">
        <v>18097351700</v>
      </c>
      <c r="C624">
        <v>2026</v>
      </c>
      <c r="E624">
        <f>-(IF(VLOOKUP(B624,'2023 Z Scores'!$A$1:$K$309,11,FALSE)&gt;2,VLOOKUP(B624,'2023 Z Scores'!$A$1:$K$309,10,FALSE)/VLOOKUP(B624,'2023 Z Scores'!$A$1:$K$309,11,FALSE),"Not Enough data"))</f>
        <v>5.7886423961998534E-3</v>
      </c>
      <c r="F624">
        <f>IF(VLOOKUP(A624,'Delta Z Scores'!$A$1:$N$1541,14,FALSE)&gt;2,VLOOKUP(A624,'Delta Z Scores'!$A$1:$N$1541,13,FALSE)/VLOOKUP(A624,'Delta Z Scores'!$A$1:$N$1541,14,FALSE),"Not Enough Data")</f>
        <v>0.45294522169753748</v>
      </c>
      <c r="G624">
        <f>IF(VLOOKUP(A624,'Forecast Z Scores'!$A$1:$N$1541,14,FALSE)&gt;2,VLOOKUP(A624,'Forecast Z Scores'!$A$1:$N$1541,13,FALSE)/VLOOKUP(A624,'Forecast Z Scores'!$A$1:$N$1541,14,FALSE),"Not Enough Data")</f>
        <v>0.35234768862322968</v>
      </c>
      <c r="H624">
        <v>0.31600669360362615</v>
      </c>
    </row>
    <row r="625" spans="1:8" x14ac:dyDescent="0.35">
      <c r="A625" t="str">
        <f t="shared" si="9"/>
        <v>18097351700_2027</v>
      </c>
      <c r="B625">
        <v>18097351700</v>
      </c>
      <c r="C625">
        <v>2027</v>
      </c>
      <c r="E625">
        <f>-(IF(VLOOKUP(B625,'2023 Z Scores'!$A$1:$K$309,11,FALSE)&gt;2,VLOOKUP(B625,'2023 Z Scores'!$A$1:$K$309,10,FALSE)/VLOOKUP(B625,'2023 Z Scores'!$A$1:$K$309,11,FALSE),"Not Enough data"))</f>
        <v>5.7886423961998534E-3</v>
      </c>
      <c r="F625">
        <f>IF(VLOOKUP(A625,'Delta Z Scores'!$A$1:$N$1541,14,FALSE)&gt;2,VLOOKUP(A625,'Delta Z Scores'!$A$1:$N$1541,13,FALSE)/VLOOKUP(A625,'Delta Z Scores'!$A$1:$N$1541,14,FALSE),"Not Enough Data")</f>
        <v>0.57396123951531408</v>
      </c>
      <c r="G625">
        <f>IF(VLOOKUP(A625,'Forecast Z Scores'!$A$1:$N$1541,14,FALSE)&gt;2,VLOOKUP(A625,'Forecast Z Scores'!$A$1:$N$1541,13,FALSE)/VLOOKUP(A625,'Forecast Z Scores'!$A$1:$N$1541,14,FALSE),"Not Enough Data")</f>
        <v>0.44693652080977458</v>
      </c>
      <c r="H625">
        <v>0.40016191055915068</v>
      </c>
    </row>
    <row r="626" spans="1:8" x14ac:dyDescent="0.35">
      <c r="A626" t="str">
        <f t="shared" si="9"/>
        <v>18097351700_2028</v>
      </c>
      <c r="B626">
        <v>18097351700</v>
      </c>
      <c r="C626">
        <v>2028</v>
      </c>
      <c r="E626">
        <f>-(IF(VLOOKUP(B626,'2023 Z Scores'!$A$1:$K$309,11,FALSE)&gt;2,VLOOKUP(B626,'2023 Z Scores'!$A$1:$K$309,10,FALSE)/VLOOKUP(B626,'2023 Z Scores'!$A$1:$K$309,11,FALSE),"Not Enough data"))</f>
        <v>5.7886423961998534E-3</v>
      </c>
      <c r="F626">
        <f>IF(VLOOKUP(A626,'Delta Z Scores'!$A$1:$N$1541,14,FALSE)&gt;2,VLOOKUP(A626,'Delta Z Scores'!$A$1:$N$1541,13,FALSE)/VLOOKUP(A626,'Delta Z Scores'!$A$1:$N$1541,14,FALSE),"Not Enough Data")</f>
        <v>0.54198029676230886</v>
      </c>
      <c r="G626">
        <f>IF(VLOOKUP(A626,'Forecast Z Scores'!$A$1:$N$1541,14,FALSE)&gt;2,VLOOKUP(A626,'Forecast Z Scores'!$A$1:$N$1541,13,FALSE)/VLOOKUP(A626,'Forecast Z Scores'!$A$1:$N$1541,14,FALSE),"Not Enough Data")</f>
        <v>0.52163223641869438</v>
      </c>
      <c r="H626">
        <v>0.40284536808487797</v>
      </c>
    </row>
    <row r="627" spans="1:8" x14ac:dyDescent="0.35">
      <c r="A627" t="str">
        <f t="shared" si="9"/>
        <v>18097351900_2024</v>
      </c>
      <c r="B627">
        <v>18097351900</v>
      </c>
      <c r="C627">
        <v>2024</v>
      </c>
      <c r="E627">
        <f>-(IF(VLOOKUP(B627,'2023 Z Scores'!$A$1:$K$309,11,FALSE)&gt;2,VLOOKUP(B627,'2023 Z Scores'!$A$1:$K$309,10,FALSE)/VLOOKUP(B627,'2023 Z Scores'!$A$1:$K$309,11,FALSE),"Not Enough data"))</f>
        <v>0.75173154231309225</v>
      </c>
      <c r="F627">
        <f>IF(VLOOKUP(A627,'Delta Z Scores'!$A$1:$N$1541,14,FALSE)&gt;2,VLOOKUP(A627,'Delta Z Scores'!$A$1:$N$1541,13,FALSE)/VLOOKUP(A627,'Delta Z Scores'!$A$1:$N$1541,14,FALSE),"Not Enough Data")</f>
        <v>0.3578151210753453</v>
      </c>
      <c r="G627">
        <f>IF(VLOOKUP(A627,'Forecast Z Scores'!$A$1:$N$1541,14,FALSE)&gt;2,VLOOKUP(A627,'Forecast Z Scores'!$A$1:$N$1541,13,FALSE)/VLOOKUP(A627,'Forecast Z Scores'!$A$1:$N$1541,14,FALSE),"Not Enough Data")</f>
        <v>-0.54237572381126864</v>
      </c>
      <c r="H627">
        <v>0.23124651516312855</v>
      </c>
    </row>
    <row r="628" spans="1:8" x14ac:dyDescent="0.35">
      <c r="A628" t="str">
        <f t="shared" si="9"/>
        <v>18097351900_2025</v>
      </c>
      <c r="B628">
        <v>18097351900</v>
      </c>
      <c r="C628">
        <v>2025</v>
      </c>
      <c r="E628">
        <f>-(IF(VLOOKUP(B628,'2023 Z Scores'!$A$1:$K$309,11,FALSE)&gt;2,VLOOKUP(B628,'2023 Z Scores'!$A$1:$K$309,10,FALSE)/VLOOKUP(B628,'2023 Z Scores'!$A$1:$K$309,11,FALSE),"Not Enough data"))</f>
        <v>0.75173154231309225</v>
      </c>
      <c r="F628">
        <f>IF(VLOOKUP(A628,'Delta Z Scores'!$A$1:$N$1541,14,FALSE)&gt;2,VLOOKUP(A628,'Delta Z Scores'!$A$1:$N$1541,13,FALSE)/VLOOKUP(A628,'Delta Z Scores'!$A$1:$N$1541,14,FALSE),"Not Enough Data")</f>
        <v>0.5612242731460092</v>
      </c>
      <c r="G628">
        <f>IF(VLOOKUP(A628,'Forecast Z Scores'!$A$1:$N$1541,14,FALSE)&gt;2,VLOOKUP(A628,'Forecast Z Scores'!$A$1:$N$1541,13,FALSE)/VLOOKUP(A628,'Forecast Z Scores'!$A$1:$N$1541,14,FALSE),"Not Enough Data")</f>
        <v>-0.52293701558167771</v>
      </c>
      <c r="H628">
        <v>0.33781076825585821</v>
      </c>
    </row>
    <row r="629" spans="1:8" x14ac:dyDescent="0.35">
      <c r="A629" t="str">
        <f t="shared" si="9"/>
        <v>18097351900_2026</v>
      </c>
      <c r="B629">
        <v>18097351900</v>
      </c>
      <c r="C629">
        <v>2026</v>
      </c>
      <c r="E629">
        <f>-(IF(VLOOKUP(B629,'2023 Z Scores'!$A$1:$K$309,11,FALSE)&gt;2,VLOOKUP(B629,'2023 Z Scores'!$A$1:$K$309,10,FALSE)/VLOOKUP(B629,'2023 Z Scores'!$A$1:$K$309,11,FALSE),"Not Enough data"))</f>
        <v>0.75173154231309225</v>
      </c>
      <c r="F629">
        <f>IF(VLOOKUP(A629,'Delta Z Scores'!$A$1:$N$1541,14,FALSE)&gt;2,VLOOKUP(A629,'Delta Z Scores'!$A$1:$N$1541,13,FALSE)/VLOOKUP(A629,'Delta Z Scores'!$A$1:$N$1541,14,FALSE),"Not Enough Data")</f>
        <v>0.26394265783593479</v>
      </c>
      <c r="G629">
        <f>IF(VLOOKUP(A629,'Forecast Z Scores'!$A$1:$N$1541,14,FALSE)&gt;2,VLOOKUP(A629,'Forecast Z Scores'!$A$1:$N$1541,13,FALSE)/VLOOKUP(A629,'Forecast Z Scores'!$A$1:$N$1541,14,FALSE),"Not Enough Data")</f>
        <v>-0.54144679079627889</v>
      </c>
      <c r="H629">
        <v>0.18454251679717074</v>
      </c>
    </row>
    <row r="630" spans="1:8" x14ac:dyDescent="0.35">
      <c r="A630" t="str">
        <f t="shared" si="9"/>
        <v>18097351900_2027</v>
      </c>
      <c r="B630">
        <v>18097351900</v>
      </c>
      <c r="C630">
        <v>2027</v>
      </c>
      <c r="E630">
        <f>-(IF(VLOOKUP(B630,'2023 Z Scores'!$A$1:$K$309,11,FALSE)&gt;2,VLOOKUP(B630,'2023 Z Scores'!$A$1:$K$309,10,FALSE)/VLOOKUP(B630,'2023 Z Scores'!$A$1:$K$309,11,FALSE),"Not Enough data"))</f>
        <v>0.75173154231309225</v>
      </c>
      <c r="F630">
        <f>IF(VLOOKUP(A630,'Delta Z Scores'!$A$1:$N$1541,14,FALSE)&gt;2,VLOOKUP(A630,'Delta Z Scores'!$A$1:$N$1541,13,FALSE)/VLOOKUP(A630,'Delta Z Scores'!$A$1:$N$1541,14,FALSE),"Not Enough Data")</f>
        <v>0.34822915779967584</v>
      </c>
      <c r="G630">
        <f>IF(VLOOKUP(A630,'Forecast Z Scores'!$A$1:$N$1541,14,FALSE)&gt;2,VLOOKUP(A630,'Forecast Z Scores'!$A$1:$N$1541,13,FALSE)/VLOOKUP(A630,'Forecast Z Scores'!$A$1:$N$1541,14,FALSE),"Not Enough Data")</f>
        <v>-0.53573761506208195</v>
      </c>
      <c r="H630">
        <v>0.22811306071259049</v>
      </c>
    </row>
    <row r="631" spans="1:8" x14ac:dyDescent="0.35">
      <c r="A631" t="str">
        <f t="shared" si="9"/>
        <v>18097351900_2028</v>
      </c>
      <c r="B631">
        <v>18097351900</v>
      </c>
      <c r="C631">
        <v>2028</v>
      </c>
      <c r="E631">
        <f>-(IF(VLOOKUP(B631,'2023 Z Scores'!$A$1:$K$309,11,FALSE)&gt;2,VLOOKUP(B631,'2023 Z Scores'!$A$1:$K$309,10,FALSE)/VLOOKUP(B631,'2023 Z Scores'!$A$1:$K$309,11,FALSE),"Not Enough data"))</f>
        <v>0.75173154231309225</v>
      </c>
      <c r="F631">
        <f>IF(VLOOKUP(A631,'Delta Z Scores'!$A$1:$N$1541,14,FALSE)&gt;2,VLOOKUP(A631,'Delta Z Scores'!$A$1:$N$1541,13,FALSE)/VLOOKUP(A631,'Delta Z Scores'!$A$1:$N$1541,14,FALSE),"Not Enough Data")</f>
        <v>0.28074603450461971</v>
      </c>
      <c r="G631">
        <f>IF(VLOOKUP(A631,'Forecast Z Scores'!$A$1:$N$1541,14,FALSE)&gt;2,VLOOKUP(A631,'Forecast Z Scores'!$A$1:$N$1541,13,FALSE)/VLOOKUP(A631,'Forecast Z Scores'!$A$1:$N$1541,14,FALSE),"Not Enough Data")</f>
        <v>-0.52760219284276488</v>
      </c>
      <c r="H631">
        <v>0.1964053546198917</v>
      </c>
    </row>
    <row r="632" spans="1:8" x14ac:dyDescent="0.35">
      <c r="A632" t="str">
        <f t="shared" si="9"/>
        <v>18097352100_2024</v>
      </c>
      <c r="B632">
        <v>18097352100</v>
      </c>
      <c r="C632">
        <v>2024</v>
      </c>
      <c r="E632">
        <f>-(IF(VLOOKUP(B632,'2023 Z Scores'!$A$1:$K$309,11,FALSE)&gt;2,VLOOKUP(B632,'2023 Z Scores'!$A$1:$K$309,10,FALSE)/VLOOKUP(B632,'2023 Z Scores'!$A$1:$K$309,11,FALSE),"Not Enough data"))</f>
        <v>1.2789695080920995</v>
      </c>
      <c r="F632">
        <f>IF(VLOOKUP(A632,'Delta Z Scores'!$A$1:$N$1541,14,FALSE)&gt;2,VLOOKUP(A632,'Delta Z Scores'!$A$1:$N$1541,13,FALSE)/VLOOKUP(A632,'Delta Z Scores'!$A$1:$N$1541,14,FALSE),"Not Enough Data")</f>
        <v>0.3229274581480589</v>
      </c>
      <c r="G632">
        <f>IF(VLOOKUP(A632,'Forecast Z Scores'!$A$1:$N$1541,14,FALSE)&gt;2,VLOOKUP(A632,'Forecast Z Scores'!$A$1:$N$1541,13,FALSE)/VLOOKUP(A632,'Forecast Z Scores'!$A$1:$N$1541,14,FALSE),"Not Enough Data")</f>
        <v>-0.87539595114632474</v>
      </c>
      <c r="H632">
        <v>0.26235711831047315</v>
      </c>
    </row>
    <row r="633" spans="1:8" x14ac:dyDescent="0.35">
      <c r="A633" t="str">
        <f t="shared" si="9"/>
        <v>18097352100_2025</v>
      </c>
      <c r="B633">
        <v>18097352100</v>
      </c>
      <c r="C633">
        <v>2025</v>
      </c>
      <c r="E633">
        <f>-(IF(VLOOKUP(B633,'2023 Z Scores'!$A$1:$K$309,11,FALSE)&gt;2,VLOOKUP(B633,'2023 Z Scores'!$A$1:$K$309,10,FALSE)/VLOOKUP(B633,'2023 Z Scores'!$A$1:$K$309,11,FALSE),"Not Enough data"))</f>
        <v>1.2789695080920995</v>
      </c>
      <c r="F633">
        <f>IF(VLOOKUP(A633,'Delta Z Scores'!$A$1:$N$1541,14,FALSE)&gt;2,VLOOKUP(A633,'Delta Z Scores'!$A$1:$N$1541,13,FALSE)/VLOOKUP(A633,'Delta Z Scores'!$A$1:$N$1541,14,FALSE),"Not Enough Data")</f>
        <v>0.46450620987356939</v>
      </c>
      <c r="G633">
        <f>IF(VLOOKUP(A633,'Forecast Z Scores'!$A$1:$N$1541,14,FALSE)&gt;2,VLOOKUP(A633,'Forecast Z Scores'!$A$1:$N$1541,13,FALSE)/VLOOKUP(A633,'Forecast Z Scores'!$A$1:$N$1541,14,FALSE),"Not Enough Data")</f>
        <v>-0.88300741466944488</v>
      </c>
      <c r="H633">
        <v>0.33124362829244836</v>
      </c>
    </row>
    <row r="634" spans="1:8" x14ac:dyDescent="0.35">
      <c r="A634" t="str">
        <f t="shared" si="9"/>
        <v>18097352100_2026</v>
      </c>
      <c r="B634">
        <v>18097352100</v>
      </c>
      <c r="C634">
        <v>2026</v>
      </c>
      <c r="E634">
        <f>-(IF(VLOOKUP(B634,'2023 Z Scores'!$A$1:$K$309,11,FALSE)&gt;2,VLOOKUP(B634,'2023 Z Scores'!$A$1:$K$309,10,FALSE)/VLOOKUP(B634,'2023 Z Scores'!$A$1:$K$309,11,FALSE),"Not Enough data"))</f>
        <v>1.2789695080920995</v>
      </c>
      <c r="F634">
        <f>IF(VLOOKUP(A634,'Delta Z Scores'!$A$1:$N$1541,14,FALSE)&gt;2,VLOOKUP(A634,'Delta Z Scores'!$A$1:$N$1541,13,FALSE)/VLOOKUP(A634,'Delta Z Scores'!$A$1:$N$1541,14,FALSE),"Not Enough Data")</f>
        <v>-6.4142389237842684E-2</v>
      </c>
      <c r="G634">
        <f>IF(VLOOKUP(A634,'Forecast Z Scores'!$A$1:$N$1541,14,FALSE)&gt;2,VLOOKUP(A634,'Forecast Z Scores'!$A$1:$N$1541,13,FALSE)/VLOOKUP(A634,'Forecast Z Scores'!$A$1:$N$1541,14,FALSE),"Not Enough Data")</f>
        <v>-0.87651733161613177</v>
      </c>
      <c r="H634">
        <v>6.8541849500070584E-2</v>
      </c>
    </row>
    <row r="635" spans="1:8" x14ac:dyDescent="0.35">
      <c r="A635" t="str">
        <f t="shared" si="9"/>
        <v>18097352100_2027</v>
      </c>
      <c r="B635">
        <v>18097352100</v>
      </c>
      <c r="C635">
        <v>2027</v>
      </c>
      <c r="E635">
        <f>-(IF(VLOOKUP(B635,'2023 Z Scores'!$A$1:$K$309,11,FALSE)&gt;2,VLOOKUP(B635,'2023 Z Scores'!$A$1:$K$309,10,FALSE)/VLOOKUP(B635,'2023 Z Scores'!$A$1:$K$309,11,FALSE),"Not Enough data"))</f>
        <v>1.2789695080920995</v>
      </c>
      <c r="F635">
        <f>IF(VLOOKUP(A635,'Delta Z Scores'!$A$1:$N$1541,14,FALSE)&gt;2,VLOOKUP(A635,'Delta Z Scores'!$A$1:$N$1541,13,FALSE)/VLOOKUP(A635,'Delta Z Scores'!$A$1:$N$1541,14,FALSE),"Not Enough Data")</f>
        <v>0.16150106616871976</v>
      </c>
      <c r="G635">
        <f>IF(VLOOKUP(A635,'Forecast Z Scores'!$A$1:$N$1541,14,FALSE)&gt;2,VLOOKUP(A635,'Forecast Z Scores'!$A$1:$N$1541,13,FALSE)/VLOOKUP(A635,'Forecast Z Scores'!$A$1:$N$1541,14,FALSE),"Not Enough Data")</f>
        <v>-0.86813436317002235</v>
      </c>
      <c r="H635">
        <v>0.18345931931487919</v>
      </c>
    </row>
    <row r="636" spans="1:8" x14ac:dyDescent="0.35">
      <c r="A636" t="str">
        <f t="shared" si="9"/>
        <v>18097352100_2028</v>
      </c>
      <c r="B636">
        <v>18097352100</v>
      </c>
      <c r="C636">
        <v>2028</v>
      </c>
      <c r="E636">
        <f>-(IF(VLOOKUP(B636,'2023 Z Scores'!$A$1:$K$309,11,FALSE)&gt;2,VLOOKUP(B636,'2023 Z Scores'!$A$1:$K$309,10,FALSE)/VLOOKUP(B636,'2023 Z Scores'!$A$1:$K$309,11,FALSE),"Not Enough data"))</f>
        <v>1.2789695080920995</v>
      </c>
      <c r="F636">
        <f>IF(VLOOKUP(A636,'Delta Z Scores'!$A$1:$N$1541,14,FALSE)&gt;2,VLOOKUP(A636,'Delta Z Scores'!$A$1:$N$1541,13,FALSE)/VLOOKUP(A636,'Delta Z Scores'!$A$1:$N$1541,14,FALSE),"Not Enough Data")</f>
        <v>-0.1116811244137082</v>
      </c>
      <c r="G636">
        <f>IF(VLOOKUP(A636,'Forecast Z Scores'!$A$1:$N$1541,14,FALSE)&gt;2,VLOOKUP(A636,'Forecast Z Scores'!$A$1:$N$1541,13,FALSE)/VLOOKUP(A636,'Forecast Z Scores'!$A$1:$N$1541,14,FALSE),"Not Enough Data")</f>
        <v>-0.8458135322376279</v>
      </c>
      <c r="H636">
        <v>5.2448431756763836E-2</v>
      </c>
    </row>
    <row r="637" spans="1:8" x14ac:dyDescent="0.35">
      <c r="A637" t="str">
        <f t="shared" si="9"/>
        <v>18097352300_2024</v>
      </c>
      <c r="B637">
        <v>18097352300</v>
      </c>
      <c r="C637">
        <v>2024</v>
      </c>
      <c r="E637">
        <f>-(IF(VLOOKUP(B637,'2023 Z Scores'!$A$1:$K$309,11,FALSE)&gt;2,VLOOKUP(B637,'2023 Z Scores'!$A$1:$K$309,10,FALSE)/VLOOKUP(B637,'2023 Z Scores'!$A$1:$K$309,11,FALSE),"Not Enough data"))</f>
        <v>1.1486262587036677</v>
      </c>
      <c r="F637">
        <f>IF(VLOOKUP(A637,'Delta Z Scores'!$A$1:$N$1541,14,FALSE)&gt;2,VLOOKUP(A637,'Delta Z Scores'!$A$1:$N$1541,13,FALSE)/VLOOKUP(A637,'Delta Z Scores'!$A$1:$N$1541,14,FALSE),"Not Enough Data")</f>
        <v>-2.1002124112225296E-2</v>
      </c>
      <c r="G637">
        <f>IF(VLOOKUP(A637,'Forecast Z Scores'!$A$1:$N$1541,14,FALSE)&gt;2,VLOOKUP(A637,'Forecast Z Scores'!$A$1:$N$1541,13,FALSE)/VLOOKUP(A637,'Forecast Z Scores'!$A$1:$N$1541,14,FALSE),"Not Enough Data")</f>
        <v>-0.99727545101699822</v>
      </c>
      <c r="H637">
        <v>2.7336639865554735E-2</v>
      </c>
    </row>
    <row r="638" spans="1:8" x14ac:dyDescent="0.35">
      <c r="A638" t="str">
        <f t="shared" si="9"/>
        <v>18097352300_2025</v>
      </c>
      <c r="B638">
        <v>18097352300</v>
      </c>
      <c r="C638">
        <v>2025</v>
      </c>
      <c r="E638">
        <f>-(IF(VLOOKUP(B638,'2023 Z Scores'!$A$1:$K$309,11,FALSE)&gt;2,VLOOKUP(B638,'2023 Z Scores'!$A$1:$K$309,10,FALSE)/VLOOKUP(B638,'2023 Z Scores'!$A$1:$K$309,11,FALSE),"Not Enough data"))</f>
        <v>1.1486262587036677</v>
      </c>
      <c r="F638">
        <f>IF(VLOOKUP(A638,'Delta Z Scores'!$A$1:$N$1541,14,FALSE)&gt;2,VLOOKUP(A638,'Delta Z Scores'!$A$1:$N$1541,13,FALSE)/VLOOKUP(A638,'Delta Z Scores'!$A$1:$N$1541,14,FALSE),"Not Enough Data")</f>
        <v>-4.3759833786075675E-2</v>
      </c>
      <c r="G638">
        <f>IF(VLOOKUP(A638,'Forecast Z Scores'!$A$1:$N$1541,14,FALSE)&gt;2,VLOOKUP(A638,'Forecast Z Scores'!$A$1:$N$1541,13,FALSE)/VLOOKUP(A638,'Forecast Z Scores'!$A$1:$N$1541,14,FALSE),"Not Enough Data")</f>
        <v>-0.98705097192898639</v>
      </c>
      <c r="H638">
        <v>1.8513904800632475E-2</v>
      </c>
    </row>
    <row r="639" spans="1:8" x14ac:dyDescent="0.35">
      <c r="A639" t="str">
        <f t="shared" si="9"/>
        <v>18097352300_2026</v>
      </c>
      <c r="B639">
        <v>18097352300</v>
      </c>
      <c r="C639">
        <v>2026</v>
      </c>
      <c r="E639">
        <f>-(IF(VLOOKUP(B639,'2023 Z Scores'!$A$1:$K$309,11,FALSE)&gt;2,VLOOKUP(B639,'2023 Z Scores'!$A$1:$K$309,10,FALSE)/VLOOKUP(B639,'2023 Z Scores'!$A$1:$K$309,11,FALSE),"Not Enough data"))</f>
        <v>1.1486262587036677</v>
      </c>
      <c r="F639">
        <f>IF(VLOOKUP(A639,'Delta Z Scores'!$A$1:$N$1541,14,FALSE)&gt;2,VLOOKUP(A639,'Delta Z Scores'!$A$1:$N$1541,13,FALSE)/VLOOKUP(A639,'Delta Z Scores'!$A$1:$N$1541,14,FALSE),"Not Enough Data")</f>
        <v>-0.13310876621920625</v>
      </c>
      <c r="G639">
        <f>IF(VLOOKUP(A639,'Forecast Z Scores'!$A$1:$N$1541,14,FALSE)&gt;2,VLOOKUP(A639,'Forecast Z Scores'!$A$1:$N$1541,13,FALSE)/VLOOKUP(A639,'Forecast Z Scores'!$A$1:$N$1541,14,FALSE),"Not Enough Data")</f>
        <v>-0.96535383083489323</v>
      </c>
      <c r="H639">
        <v>-2.0736276142409527E-2</v>
      </c>
    </row>
    <row r="640" spans="1:8" x14ac:dyDescent="0.35">
      <c r="A640" t="str">
        <f t="shared" si="9"/>
        <v>18097352300_2027</v>
      </c>
      <c r="B640">
        <v>18097352300</v>
      </c>
      <c r="C640">
        <v>2027</v>
      </c>
      <c r="E640">
        <f>-(IF(VLOOKUP(B640,'2023 Z Scores'!$A$1:$K$309,11,FALSE)&gt;2,VLOOKUP(B640,'2023 Z Scores'!$A$1:$K$309,10,FALSE)/VLOOKUP(B640,'2023 Z Scores'!$A$1:$K$309,11,FALSE),"Not Enough data"))</f>
        <v>1.1486262587036677</v>
      </c>
      <c r="F640">
        <f>IF(VLOOKUP(A640,'Delta Z Scores'!$A$1:$N$1541,14,FALSE)&gt;2,VLOOKUP(A640,'Delta Z Scores'!$A$1:$N$1541,13,FALSE)/VLOOKUP(A640,'Delta Z Scores'!$A$1:$N$1541,14,FALSE),"Not Enough Data")</f>
        <v>-0.14979999532232754</v>
      </c>
      <c r="G640">
        <f>IF(VLOOKUP(A640,'Forecast Z Scores'!$A$1:$N$1541,14,FALSE)&gt;2,VLOOKUP(A640,'Forecast Z Scores'!$A$1:$N$1541,13,FALSE)/VLOOKUP(A640,'Forecast Z Scores'!$A$1:$N$1541,14,FALSE),"Not Enough Data")</f>
        <v>-0.94288059981732664</v>
      </c>
      <c r="H640">
        <v>-2.3463582939578509E-2</v>
      </c>
    </row>
    <row r="641" spans="1:8" x14ac:dyDescent="0.35">
      <c r="A641" t="str">
        <f t="shared" si="9"/>
        <v>18097352300_2028</v>
      </c>
      <c r="B641">
        <v>18097352300</v>
      </c>
      <c r="C641">
        <v>2028</v>
      </c>
      <c r="E641">
        <f>-(IF(VLOOKUP(B641,'2023 Z Scores'!$A$1:$K$309,11,FALSE)&gt;2,VLOOKUP(B641,'2023 Z Scores'!$A$1:$K$309,10,FALSE)/VLOOKUP(B641,'2023 Z Scores'!$A$1:$K$309,11,FALSE),"Not Enough data"))</f>
        <v>1.1486262587036677</v>
      </c>
      <c r="F641">
        <f>IF(VLOOKUP(A641,'Delta Z Scores'!$A$1:$N$1541,14,FALSE)&gt;2,VLOOKUP(A641,'Delta Z Scores'!$A$1:$N$1541,13,FALSE)/VLOOKUP(A641,'Delta Z Scores'!$A$1:$N$1541,14,FALSE),"Not Enough Data")</f>
        <v>-0.19466314344157065</v>
      </c>
      <c r="G641">
        <f>IF(VLOOKUP(A641,'Forecast Z Scores'!$A$1:$N$1541,14,FALSE)&gt;2,VLOOKUP(A641,'Forecast Z Scores'!$A$1:$N$1541,13,FALSE)/VLOOKUP(A641,'Forecast Z Scores'!$A$1:$N$1541,14,FALSE),"Not Enough Data")</f>
        <v>-0.90787320468597887</v>
      </c>
      <c r="H641">
        <v>-3.714330821636308E-2</v>
      </c>
    </row>
    <row r="642" spans="1:8" x14ac:dyDescent="0.35">
      <c r="A642" t="str">
        <f t="shared" si="9"/>
        <v>18097352400_2024</v>
      </c>
      <c r="B642">
        <v>18097352400</v>
      </c>
      <c r="C642">
        <v>2024</v>
      </c>
      <c r="E642">
        <f>-(IF(VLOOKUP(B642,'2023 Z Scores'!$A$1:$K$309,11,FALSE)&gt;2,VLOOKUP(B642,'2023 Z Scores'!$A$1:$K$309,10,FALSE)/VLOOKUP(B642,'2023 Z Scores'!$A$1:$K$309,11,FALSE),"Not Enough data"))</f>
        <v>0.76808315685291551</v>
      </c>
      <c r="F642">
        <f>IF(VLOOKUP(A642,'Delta Z Scores'!$A$1:$N$1541,14,FALSE)&gt;2,VLOOKUP(A642,'Delta Z Scores'!$A$1:$N$1541,13,FALSE)/VLOOKUP(A642,'Delta Z Scores'!$A$1:$N$1541,14,FALSE),"Not Enough Data")</f>
        <v>0.14255116445837035</v>
      </c>
      <c r="G642">
        <f>IF(VLOOKUP(A642,'Forecast Z Scores'!$A$1:$N$1541,14,FALSE)&gt;2,VLOOKUP(A642,'Forecast Z Scores'!$A$1:$N$1541,13,FALSE)/VLOOKUP(A642,'Forecast Z Scores'!$A$1:$N$1541,14,FALSE),"Not Enough Data")</f>
        <v>-0.51485647086517849</v>
      </c>
      <c r="H642">
        <v>0.13458225372611943</v>
      </c>
    </row>
    <row r="643" spans="1:8" x14ac:dyDescent="0.35">
      <c r="A643" t="str">
        <f t="shared" ref="A643:A706" si="10">TEXT(B643,0)&amp;"_"&amp;TEXT(C643,0)</f>
        <v>18097352400_2025</v>
      </c>
      <c r="B643">
        <v>18097352400</v>
      </c>
      <c r="C643">
        <v>2025</v>
      </c>
      <c r="E643">
        <f>-(IF(VLOOKUP(B643,'2023 Z Scores'!$A$1:$K$309,11,FALSE)&gt;2,VLOOKUP(B643,'2023 Z Scores'!$A$1:$K$309,10,FALSE)/VLOOKUP(B643,'2023 Z Scores'!$A$1:$K$309,11,FALSE),"Not Enough data"))</f>
        <v>0.76808315685291551</v>
      </c>
      <c r="F643">
        <f>IF(VLOOKUP(A643,'Delta Z Scores'!$A$1:$N$1541,14,FALSE)&gt;2,VLOOKUP(A643,'Delta Z Scores'!$A$1:$N$1541,13,FALSE)/VLOOKUP(A643,'Delta Z Scores'!$A$1:$N$1541,14,FALSE),"Not Enough Data")</f>
        <v>-4.8195113310680479E-2</v>
      </c>
      <c r="G643">
        <f>IF(VLOOKUP(A643,'Forecast Z Scores'!$A$1:$N$1541,14,FALSE)&gt;2,VLOOKUP(A643,'Forecast Z Scores'!$A$1:$N$1541,13,FALSE)/VLOOKUP(A643,'Forecast Z Scores'!$A$1:$N$1541,14,FALSE),"Not Enough Data")</f>
        <v>-0.53951058337210278</v>
      </c>
      <c r="H643">
        <v>3.3045586714862935E-2</v>
      </c>
    </row>
    <row r="644" spans="1:8" x14ac:dyDescent="0.35">
      <c r="A644" t="str">
        <f t="shared" si="10"/>
        <v>18097352400_2026</v>
      </c>
      <c r="B644">
        <v>18097352400</v>
      </c>
      <c r="C644">
        <v>2026</v>
      </c>
      <c r="E644">
        <f>-(IF(VLOOKUP(B644,'2023 Z Scores'!$A$1:$K$309,11,FALSE)&gt;2,VLOOKUP(B644,'2023 Z Scores'!$A$1:$K$309,10,FALSE)/VLOOKUP(B644,'2023 Z Scores'!$A$1:$K$309,11,FALSE),"Not Enough data"))</f>
        <v>0.76808315685291551</v>
      </c>
      <c r="F644">
        <f>IF(VLOOKUP(A644,'Delta Z Scores'!$A$1:$N$1541,14,FALSE)&gt;2,VLOOKUP(A644,'Delta Z Scores'!$A$1:$N$1541,13,FALSE)/VLOOKUP(A644,'Delta Z Scores'!$A$1:$N$1541,14,FALSE),"Not Enough Data")</f>
        <v>-0.15831515104048213</v>
      </c>
      <c r="G644">
        <f>IF(VLOOKUP(A644,'Forecast Z Scores'!$A$1:$N$1541,14,FALSE)&gt;2,VLOOKUP(A644,'Forecast Z Scores'!$A$1:$N$1541,13,FALSE)/VLOOKUP(A644,'Forecast Z Scores'!$A$1:$N$1541,14,FALSE),"Not Enough Data")</f>
        <v>-0.6019017153251901</v>
      </c>
      <c r="H644">
        <v>-3.7612215138309729E-2</v>
      </c>
    </row>
    <row r="645" spans="1:8" x14ac:dyDescent="0.35">
      <c r="A645" t="str">
        <f t="shared" si="10"/>
        <v>18097352400_2027</v>
      </c>
      <c r="B645">
        <v>18097352400</v>
      </c>
      <c r="C645">
        <v>2027</v>
      </c>
      <c r="E645">
        <f>-(IF(VLOOKUP(B645,'2023 Z Scores'!$A$1:$K$309,11,FALSE)&gt;2,VLOOKUP(B645,'2023 Z Scores'!$A$1:$K$309,10,FALSE)/VLOOKUP(B645,'2023 Z Scores'!$A$1:$K$309,11,FALSE),"Not Enough data"))</f>
        <v>0.76808315685291551</v>
      </c>
      <c r="F645">
        <f>IF(VLOOKUP(A645,'Delta Z Scores'!$A$1:$N$1541,14,FALSE)&gt;2,VLOOKUP(A645,'Delta Z Scores'!$A$1:$N$1541,13,FALSE)/VLOOKUP(A645,'Delta Z Scores'!$A$1:$N$1541,14,FALSE),"Not Enough Data")</f>
        <v>-0.11063888975882996</v>
      </c>
      <c r="G645">
        <f>IF(VLOOKUP(A645,'Forecast Z Scores'!$A$1:$N$1541,14,FALSE)&gt;2,VLOOKUP(A645,'Forecast Z Scores'!$A$1:$N$1541,13,FALSE)/VLOOKUP(A645,'Forecast Z Scores'!$A$1:$N$1541,14,FALSE),"Not Enough Data")</f>
        <v>-0.632309460453648</v>
      </c>
      <c r="H645">
        <v>-2.1376020779598104E-2</v>
      </c>
    </row>
    <row r="646" spans="1:8" x14ac:dyDescent="0.35">
      <c r="A646" t="str">
        <f t="shared" si="10"/>
        <v>18097352400_2028</v>
      </c>
      <c r="B646">
        <v>18097352400</v>
      </c>
      <c r="C646">
        <v>2028</v>
      </c>
      <c r="E646">
        <f>-(IF(VLOOKUP(B646,'2023 Z Scores'!$A$1:$K$309,11,FALSE)&gt;2,VLOOKUP(B646,'2023 Z Scores'!$A$1:$K$309,10,FALSE)/VLOOKUP(B646,'2023 Z Scores'!$A$1:$K$309,11,FALSE),"Not Enough data"))</f>
        <v>0.76808315685291551</v>
      </c>
      <c r="F646">
        <f>IF(VLOOKUP(A646,'Delta Z Scores'!$A$1:$N$1541,14,FALSE)&gt;2,VLOOKUP(A646,'Delta Z Scores'!$A$1:$N$1541,13,FALSE)/VLOOKUP(A646,'Delta Z Scores'!$A$1:$N$1541,14,FALSE),"Not Enough Data")</f>
        <v>-0.15694852614000329</v>
      </c>
      <c r="G646">
        <f>IF(VLOOKUP(A646,'Forecast Z Scores'!$A$1:$N$1541,14,FALSE)&gt;2,VLOOKUP(A646,'Forecast Z Scores'!$A$1:$N$1541,13,FALSE)/VLOOKUP(A646,'Forecast Z Scores'!$A$1:$N$1541,14,FALSE),"Not Enough Data")</f>
        <v>-0.66830299639839663</v>
      </c>
      <c r="H646">
        <v>-5.3529222956371941E-2</v>
      </c>
    </row>
    <row r="647" spans="1:8" x14ac:dyDescent="0.35">
      <c r="A647" t="str">
        <f t="shared" si="10"/>
        <v>18097352500_2024</v>
      </c>
      <c r="B647">
        <v>18097352500</v>
      </c>
      <c r="C647">
        <v>2024</v>
      </c>
      <c r="E647">
        <f>-(IF(VLOOKUP(B647,'2023 Z Scores'!$A$1:$K$309,11,FALSE)&gt;2,VLOOKUP(B647,'2023 Z Scores'!$A$1:$K$309,10,FALSE)/VLOOKUP(B647,'2023 Z Scores'!$A$1:$K$309,11,FALSE),"Not Enough data"))</f>
        <v>0.13698201423403369</v>
      </c>
      <c r="F647">
        <f>IF(VLOOKUP(A647,'Delta Z Scores'!$A$1:$N$1541,14,FALSE)&gt;2,VLOOKUP(A647,'Delta Z Scores'!$A$1:$N$1541,13,FALSE)/VLOOKUP(A647,'Delta Z Scores'!$A$1:$N$1541,14,FALSE),"Not Enough Data")</f>
        <v>-0.14927201239447396</v>
      </c>
      <c r="G647">
        <f>IF(VLOOKUP(A647,'Forecast Z Scores'!$A$1:$N$1541,14,FALSE)&gt;2,VLOOKUP(A647,'Forecast Z Scores'!$A$1:$N$1541,13,FALSE)/VLOOKUP(A647,'Forecast Z Scores'!$A$1:$N$1541,14,FALSE),"Not Enough Data")</f>
        <v>-2.85883829720045E-2</v>
      </c>
      <c r="H647">
        <v>-4.7537598381729683E-2</v>
      </c>
    </row>
    <row r="648" spans="1:8" x14ac:dyDescent="0.35">
      <c r="A648" t="str">
        <f t="shared" si="10"/>
        <v>18097352500_2025</v>
      </c>
      <c r="B648">
        <v>18097352500</v>
      </c>
      <c r="C648">
        <v>2025</v>
      </c>
      <c r="E648">
        <f>-(IF(VLOOKUP(B648,'2023 Z Scores'!$A$1:$K$309,11,FALSE)&gt;2,VLOOKUP(B648,'2023 Z Scores'!$A$1:$K$309,10,FALSE)/VLOOKUP(B648,'2023 Z Scores'!$A$1:$K$309,11,FALSE),"Not Enough data"))</f>
        <v>0.13698201423403369</v>
      </c>
      <c r="F648">
        <f>IF(VLOOKUP(A648,'Delta Z Scores'!$A$1:$N$1541,14,FALSE)&gt;2,VLOOKUP(A648,'Delta Z Scores'!$A$1:$N$1541,13,FALSE)/VLOOKUP(A648,'Delta Z Scores'!$A$1:$N$1541,14,FALSE),"Not Enough Data")</f>
        <v>-9.5547974281141382E-2</v>
      </c>
      <c r="G648">
        <f>IF(VLOOKUP(A648,'Forecast Z Scores'!$A$1:$N$1541,14,FALSE)&gt;2,VLOOKUP(A648,'Forecast Z Scores'!$A$1:$N$1541,13,FALSE)/VLOOKUP(A648,'Forecast Z Scores'!$A$1:$N$1541,14,FALSE),"Not Enough Data")</f>
        <v>-7.4173688766447393E-2</v>
      </c>
      <c r="H648">
        <v>-3.2071905773674116E-2</v>
      </c>
    </row>
    <row r="649" spans="1:8" x14ac:dyDescent="0.35">
      <c r="A649" t="str">
        <f t="shared" si="10"/>
        <v>18097352500_2026</v>
      </c>
      <c r="B649">
        <v>18097352500</v>
      </c>
      <c r="C649">
        <v>2026</v>
      </c>
      <c r="E649">
        <f>-(IF(VLOOKUP(B649,'2023 Z Scores'!$A$1:$K$309,11,FALSE)&gt;2,VLOOKUP(B649,'2023 Z Scores'!$A$1:$K$309,10,FALSE)/VLOOKUP(B649,'2023 Z Scores'!$A$1:$K$309,11,FALSE),"Not Enough data"))</f>
        <v>0.13698201423403369</v>
      </c>
      <c r="F649">
        <f>IF(VLOOKUP(A649,'Delta Z Scores'!$A$1:$N$1541,14,FALSE)&gt;2,VLOOKUP(A649,'Delta Z Scores'!$A$1:$N$1541,13,FALSE)/VLOOKUP(A649,'Delta Z Scores'!$A$1:$N$1541,14,FALSE),"Not Enough Data")</f>
        <v>8.6839456105122378E-2</v>
      </c>
      <c r="G649">
        <f>IF(VLOOKUP(A649,'Forecast Z Scores'!$A$1:$N$1541,14,FALSE)&gt;2,VLOOKUP(A649,'Forecast Z Scores'!$A$1:$N$1541,13,FALSE)/VLOOKUP(A649,'Forecast Z Scores'!$A$1:$N$1541,14,FALSE),"Not Enough Data")</f>
        <v>-9.7225072943674481E-2</v>
      </c>
      <c r="H649">
        <v>5.3358963375150989E-2</v>
      </c>
    </row>
    <row r="650" spans="1:8" x14ac:dyDescent="0.35">
      <c r="A650" t="str">
        <f t="shared" si="10"/>
        <v>18097352500_2027</v>
      </c>
      <c r="B650">
        <v>18097352500</v>
      </c>
      <c r="C650">
        <v>2027</v>
      </c>
      <c r="E650">
        <f>-(IF(VLOOKUP(B650,'2023 Z Scores'!$A$1:$K$309,11,FALSE)&gt;2,VLOOKUP(B650,'2023 Z Scores'!$A$1:$K$309,10,FALSE)/VLOOKUP(B650,'2023 Z Scores'!$A$1:$K$309,11,FALSE),"Not Enough data"))</f>
        <v>0.13698201423403369</v>
      </c>
      <c r="F650">
        <f>IF(VLOOKUP(A650,'Delta Z Scores'!$A$1:$N$1541,14,FALSE)&gt;2,VLOOKUP(A650,'Delta Z Scores'!$A$1:$N$1541,13,FALSE)/VLOOKUP(A650,'Delta Z Scores'!$A$1:$N$1541,14,FALSE),"Not Enough Data")</f>
        <v>-9.4099253323334017E-3</v>
      </c>
      <c r="G650">
        <f>IF(VLOOKUP(A650,'Forecast Z Scores'!$A$1:$N$1541,14,FALSE)&gt;2,VLOOKUP(A650,'Forecast Z Scores'!$A$1:$N$1541,13,FALSE)/VLOOKUP(A650,'Forecast Z Scores'!$A$1:$N$1541,14,FALSE),"Not Enough Data")</f>
        <v>-0.13618500967700969</v>
      </c>
      <c r="H650">
        <v>-4.5057115269106982E-3</v>
      </c>
    </row>
    <row r="651" spans="1:8" x14ac:dyDescent="0.35">
      <c r="A651" t="str">
        <f t="shared" si="10"/>
        <v>18097352500_2028</v>
      </c>
      <c r="B651">
        <v>18097352500</v>
      </c>
      <c r="C651">
        <v>2028</v>
      </c>
      <c r="E651">
        <f>-(IF(VLOOKUP(B651,'2023 Z Scores'!$A$1:$K$309,11,FALSE)&gt;2,VLOOKUP(B651,'2023 Z Scores'!$A$1:$K$309,10,FALSE)/VLOOKUP(B651,'2023 Z Scores'!$A$1:$K$309,11,FALSE),"Not Enough data"))</f>
        <v>0.13698201423403369</v>
      </c>
      <c r="F651">
        <f>IF(VLOOKUP(A651,'Delta Z Scores'!$A$1:$N$1541,14,FALSE)&gt;2,VLOOKUP(A651,'Delta Z Scores'!$A$1:$N$1541,13,FALSE)/VLOOKUP(A651,'Delta Z Scores'!$A$1:$N$1541,14,FALSE),"Not Enough Data")</f>
        <v>0.14357387014150605</v>
      </c>
      <c r="G651">
        <f>IF(VLOOKUP(A651,'Forecast Z Scores'!$A$1:$N$1541,14,FALSE)&gt;2,VLOOKUP(A651,'Forecast Z Scores'!$A$1:$N$1541,13,FALSE)/VLOOKUP(A651,'Forecast Z Scores'!$A$1:$N$1541,14,FALSE),"Not Enough Data")</f>
        <v>-0.15606630356926973</v>
      </c>
      <c r="H651">
        <v>6.7015862736944015E-2</v>
      </c>
    </row>
    <row r="652" spans="1:8" x14ac:dyDescent="0.35">
      <c r="A652" t="str">
        <f t="shared" si="10"/>
        <v>18097352600_2024</v>
      </c>
      <c r="B652">
        <v>18097352600</v>
      </c>
      <c r="C652">
        <v>2024</v>
      </c>
      <c r="E652">
        <f>-(IF(VLOOKUP(B652,'2023 Z Scores'!$A$1:$K$309,11,FALSE)&gt;2,VLOOKUP(B652,'2023 Z Scores'!$A$1:$K$309,10,FALSE)/VLOOKUP(B652,'2023 Z Scores'!$A$1:$K$309,11,FALSE),"Not Enough data"))</f>
        <v>0.72260859485996676</v>
      </c>
      <c r="F652">
        <f>IF(VLOOKUP(A652,'Delta Z Scores'!$A$1:$N$1541,14,FALSE)&gt;2,VLOOKUP(A652,'Delta Z Scores'!$A$1:$N$1541,13,FALSE)/VLOOKUP(A652,'Delta Z Scores'!$A$1:$N$1541,14,FALSE),"Not Enough Data")</f>
        <v>-0.5415284535505881</v>
      </c>
      <c r="G652">
        <f>IF(VLOOKUP(A652,'Forecast Z Scores'!$A$1:$N$1541,14,FALSE)&gt;2,VLOOKUP(A652,'Forecast Z Scores'!$A$1:$N$1541,13,FALSE)/VLOOKUP(A652,'Forecast Z Scores'!$A$1:$N$1541,14,FALSE),"Not Enough Data")</f>
        <v>-0.39256308565709719</v>
      </c>
      <c r="H652">
        <v>-0.18825284947457666</v>
      </c>
    </row>
    <row r="653" spans="1:8" x14ac:dyDescent="0.35">
      <c r="A653" t="str">
        <f t="shared" si="10"/>
        <v>18097352600_2025</v>
      </c>
      <c r="B653">
        <v>18097352600</v>
      </c>
      <c r="C653">
        <v>2025</v>
      </c>
      <c r="E653">
        <f>-(IF(VLOOKUP(B653,'2023 Z Scores'!$A$1:$K$309,11,FALSE)&gt;2,VLOOKUP(B653,'2023 Z Scores'!$A$1:$K$309,10,FALSE)/VLOOKUP(B653,'2023 Z Scores'!$A$1:$K$309,11,FALSE),"Not Enough data"))</f>
        <v>0.72260859485996676</v>
      </c>
      <c r="F653">
        <f>IF(VLOOKUP(A653,'Delta Z Scores'!$A$1:$N$1541,14,FALSE)&gt;2,VLOOKUP(A653,'Delta Z Scores'!$A$1:$N$1541,13,FALSE)/VLOOKUP(A653,'Delta Z Scores'!$A$1:$N$1541,14,FALSE),"Not Enough Data")</f>
        <v>0.38689416897032058</v>
      </c>
      <c r="G653">
        <f>IF(VLOOKUP(A653,'Forecast Z Scores'!$A$1:$N$1541,14,FALSE)&gt;2,VLOOKUP(A653,'Forecast Z Scores'!$A$1:$N$1541,13,FALSE)/VLOOKUP(A653,'Forecast Z Scores'!$A$1:$N$1541,14,FALSE),"Not Enough Data")</f>
        <v>-0.38753666364901501</v>
      </c>
      <c r="H653">
        <v>0.27721506728789824</v>
      </c>
    </row>
    <row r="654" spans="1:8" x14ac:dyDescent="0.35">
      <c r="A654" t="str">
        <f t="shared" si="10"/>
        <v>18097352600_2026</v>
      </c>
      <c r="B654">
        <v>18097352600</v>
      </c>
      <c r="C654">
        <v>2026</v>
      </c>
      <c r="E654">
        <f>-(IF(VLOOKUP(B654,'2023 Z Scores'!$A$1:$K$309,11,FALSE)&gt;2,VLOOKUP(B654,'2023 Z Scores'!$A$1:$K$309,10,FALSE)/VLOOKUP(B654,'2023 Z Scores'!$A$1:$K$309,11,FALSE),"Not Enough data"))</f>
        <v>0.72260859485996676</v>
      </c>
      <c r="F654">
        <f>IF(VLOOKUP(A654,'Delta Z Scores'!$A$1:$N$1541,14,FALSE)&gt;2,VLOOKUP(A654,'Delta Z Scores'!$A$1:$N$1541,13,FALSE)/VLOOKUP(A654,'Delta Z Scores'!$A$1:$N$1541,14,FALSE),"Not Enough Data")</f>
        <v>0.19384968240424996</v>
      </c>
      <c r="G654">
        <f>IF(VLOOKUP(A654,'Forecast Z Scores'!$A$1:$N$1541,14,FALSE)&gt;2,VLOOKUP(A654,'Forecast Z Scores'!$A$1:$N$1541,13,FALSE)/VLOOKUP(A654,'Forecast Z Scores'!$A$1:$N$1541,14,FALSE),"Not Enough Data")</f>
        <v>-0.36375970629820581</v>
      </c>
      <c r="H654">
        <v>0.18663706334256522</v>
      </c>
    </row>
    <row r="655" spans="1:8" x14ac:dyDescent="0.35">
      <c r="A655" t="str">
        <f t="shared" si="10"/>
        <v>18097352600_2027</v>
      </c>
      <c r="B655">
        <v>18097352600</v>
      </c>
      <c r="C655">
        <v>2027</v>
      </c>
      <c r="E655">
        <f>-(IF(VLOOKUP(B655,'2023 Z Scores'!$A$1:$K$309,11,FALSE)&gt;2,VLOOKUP(B655,'2023 Z Scores'!$A$1:$K$309,10,FALSE)/VLOOKUP(B655,'2023 Z Scores'!$A$1:$K$309,11,FALSE),"Not Enough data"))</f>
        <v>0.72260859485996676</v>
      </c>
      <c r="F655">
        <f>IF(VLOOKUP(A655,'Delta Z Scores'!$A$1:$N$1541,14,FALSE)&gt;2,VLOOKUP(A655,'Delta Z Scores'!$A$1:$N$1541,13,FALSE)/VLOOKUP(A655,'Delta Z Scores'!$A$1:$N$1541,14,FALSE),"Not Enough Data")</f>
        <v>0.38314069008650198</v>
      </c>
      <c r="G655">
        <f>IF(VLOOKUP(A655,'Forecast Z Scores'!$A$1:$N$1541,14,FALSE)&gt;2,VLOOKUP(A655,'Forecast Z Scores'!$A$1:$N$1541,13,FALSE)/VLOOKUP(A655,'Forecast Z Scores'!$A$1:$N$1541,14,FALSE),"Not Enough Data")</f>
        <v>-0.35201607798946871</v>
      </c>
      <c r="H655">
        <v>0.28421847426087549</v>
      </c>
    </row>
    <row r="656" spans="1:8" x14ac:dyDescent="0.35">
      <c r="A656" t="str">
        <f t="shared" si="10"/>
        <v>18097352600_2028</v>
      </c>
      <c r="B656">
        <v>18097352600</v>
      </c>
      <c r="C656">
        <v>2028</v>
      </c>
      <c r="E656">
        <f>-(IF(VLOOKUP(B656,'2023 Z Scores'!$A$1:$K$309,11,FALSE)&gt;2,VLOOKUP(B656,'2023 Z Scores'!$A$1:$K$309,10,FALSE)/VLOOKUP(B656,'2023 Z Scores'!$A$1:$K$309,11,FALSE),"Not Enough data"))</f>
        <v>0.72260859485996676</v>
      </c>
      <c r="F656">
        <f>IF(VLOOKUP(A656,'Delta Z Scores'!$A$1:$N$1541,14,FALSE)&gt;2,VLOOKUP(A656,'Delta Z Scores'!$A$1:$N$1541,13,FALSE)/VLOOKUP(A656,'Delta Z Scores'!$A$1:$N$1541,14,FALSE),"Not Enough Data")</f>
        <v>0.25588292362709791</v>
      </c>
      <c r="G656">
        <f>IF(VLOOKUP(A656,'Forecast Z Scores'!$A$1:$N$1541,14,FALSE)&gt;2,VLOOKUP(A656,'Forecast Z Scores'!$A$1:$N$1541,13,FALSE)/VLOOKUP(A656,'Forecast Z Scores'!$A$1:$N$1541,14,FALSE),"Not Enough Data")</f>
        <v>-0.33342946066320112</v>
      </c>
      <c r="H656">
        <v>0.22523624536274037</v>
      </c>
    </row>
    <row r="657" spans="1:8" x14ac:dyDescent="0.35">
      <c r="A657" t="str">
        <f t="shared" si="10"/>
        <v>18097352700_2024</v>
      </c>
      <c r="B657">
        <v>18097352700</v>
      </c>
      <c r="C657">
        <v>2024</v>
      </c>
      <c r="E657">
        <f>-(IF(VLOOKUP(B657,'2023 Z Scores'!$A$1:$K$309,11,FALSE)&gt;2,VLOOKUP(B657,'2023 Z Scores'!$A$1:$K$309,10,FALSE)/VLOOKUP(B657,'2023 Z Scores'!$A$1:$K$309,11,FALSE),"Not Enough data"))</f>
        <v>0.27803329580949354</v>
      </c>
      <c r="F657">
        <f>IF(VLOOKUP(A657,'Delta Z Scores'!$A$1:$N$1541,14,FALSE)&gt;2,VLOOKUP(A657,'Delta Z Scores'!$A$1:$N$1541,13,FALSE)/VLOOKUP(A657,'Delta Z Scores'!$A$1:$N$1541,14,FALSE),"Not Enough Data")</f>
        <v>-0.31369603529405016</v>
      </c>
      <c r="G657">
        <f>IF(VLOOKUP(A657,'Forecast Z Scores'!$A$1:$N$1541,14,FALSE)&gt;2,VLOOKUP(A657,'Forecast Z Scores'!$A$1:$N$1541,13,FALSE)/VLOOKUP(A657,'Forecast Z Scores'!$A$1:$N$1541,14,FALSE),"Not Enough Data")</f>
        <v>-0.18540472131070251</v>
      </c>
      <c r="H657">
        <v>-0.13369087402232732</v>
      </c>
    </row>
    <row r="658" spans="1:8" x14ac:dyDescent="0.35">
      <c r="A658" t="str">
        <f t="shared" si="10"/>
        <v>18097352700_2025</v>
      </c>
      <c r="B658">
        <v>18097352700</v>
      </c>
      <c r="C658">
        <v>2025</v>
      </c>
      <c r="E658">
        <f>-(IF(VLOOKUP(B658,'2023 Z Scores'!$A$1:$K$309,11,FALSE)&gt;2,VLOOKUP(B658,'2023 Z Scores'!$A$1:$K$309,10,FALSE)/VLOOKUP(B658,'2023 Z Scores'!$A$1:$K$309,11,FALSE),"Not Enough data"))</f>
        <v>0.27803329580949354</v>
      </c>
      <c r="F658">
        <f>IF(VLOOKUP(A658,'Delta Z Scores'!$A$1:$N$1541,14,FALSE)&gt;2,VLOOKUP(A658,'Delta Z Scores'!$A$1:$N$1541,13,FALSE)/VLOOKUP(A658,'Delta Z Scores'!$A$1:$N$1541,14,FALSE),"Not Enough Data")</f>
        <v>0.78520487318358601</v>
      </c>
      <c r="G658">
        <f>IF(VLOOKUP(A658,'Forecast Z Scores'!$A$1:$N$1541,14,FALSE)&gt;2,VLOOKUP(A658,'Forecast Z Scores'!$A$1:$N$1541,13,FALSE)/VLOOKUP(A658,'Forecast Z Scores'!$A$1:$N$1541,14,FALSE),"Not Enough Data")</f>
        <v>-0.11954222022640065</v>
      </c>
      <c r="H658">
        <v>0.43222520548756621</v>
      </c>
    </row>
    <row r="659" spans="1:8" x14ac:dyDescent="0.35">
      <c r="A659" t="str">
        <f t="shared" si="10"/>
        <v>18097352700_2026</v>
      </c>
      <c r="B659">
        <v>18097352700</v>
      </c>
      <c r="C659">
        <v>2026</v>
      </c>
      <c r="E659">
        <f>-(IF(VLOOKUP(B659,'2023 Z Scores'!$A$1:$K$309,11,FALSE)&gt;2,VLOOKUP(B659,'2023 Z Scores'!$A$1:$K$309,10,FALSE)/VLOOKUP(B659,'2023 Z Scores'!$A$1:$K$309,11,FALSE),"Not Enough data"))</f>
        <v>0.27803329580949354</v>
      </c>
      <c r="F659">
        <f>IF(VLOOKUP(A659,'Delta Z Scores'!$A$1:$N$1541,14,FALSE)&gt;2,VLOOKUP(A659,'Delta Z Scores'!$A$1:$N$1541,13,FALSE)/VLOOKUP(A659,'Delta Z Scores'!$A$1:$N$1541,14,FALSE),"Not Enough Data")</f>
        <v>3.9942846790773909E-2</v>
      </c>
      <c r="G659">
        <f>IF(VLOOKUP(A659,'Forecast Z Scores'!$A$1:$N$1541,14,FALSE)&gt;2,VLOOKUP(A659,'Forecast Z Scores'!$A$1:$N$1541,13,FALSE)/VLOOKUP(A659,'Forecast Z Scores'!$A$1:$N$1541,14,FALSE),"Not Enough Data")</f>
        <v>-0.10935357762082781</v>
      </c>
      <c r="H659">
        <v>6.2141352942553386E-2</v>
      </c>
    </row>
    <row r="660" spans="1:8" x14ac:dyDescent="0.35">
      <c r="A660" t="str">
        <f t="shared" si="10"/>
        <v>18097352700_2027</v>
      </c>
      <c r="B660">
        <v>18097352700</v>
      </c>
      <c r="C660">
        <v>2027</v>
      </c>
      <c r="E660">
        <f>-(IF(VLOOKUP(B660,'2023 Z Scores'!$A$1:$K$309,11,FALSE)&gt;2,VLOOKUP(B660,'2023 Z Scores'!$A$1:$K$309,10,FALSE)/VLOOKUP(B660,'2023 Z Scores'!$A$1:$K$309,11,FALSE),"Not Enough data"))</f>
        <v>0.27803329580949354</v>
      </c>
      <c r="F660">
        <f>IF(VLOOKUP(A660,'Delta Z Scores'!$A$1:$N$1541,14,FALSE)&gt;2,VLOOKUP(A660,'Delta Z Scores'!$A$1:$N$1541,13,FALSE)/VLOOKUP(A660,'Delta Z Scores'!$A$1:$N$1541,14,FALSE),"Not Enough Data")</f>
        <v>0.72262034412328191</v>
      </c>
      <c r="G660">
        <f>IF(VLOOKUP(A660,'Forecast Z Scores'!$A$1:$N$1541,14,FALSE)&gt;2,VLOOKUP(A660,'Forecast Z Scores'!$A$1:$N$1541,13,FALSE)/VLOOKUP(A660,'Forecast Z Scores'!$A$1:$N$1541,14,FALSE),"Not Enough Data")</f>
        <v>-5.0829532163598493E-2</v>
      </c>
      <c r="H660">
        <v>0.41811111297311471</v>
      </c>
    </row>
    <row r="661" spans="1:8" x14ac:dyDescent="0.35">
      <c r="A661" t="str">
        <f t="shared" si="10"/>
        <v>18097352700_2028</v>
      </c>
      <c r="B661">
        <v>18097352700</v>
      </c>
      <c r="C661">
        <v>2028</v>
      </c>
      <c r="E661">
        <f>-(IF(VLOOKUP(B661,'2023 Z Scores'!$A$1:$K$309,11,FALSE)&gt;2,VLOOKUP(B661,'2023 Z Scores'!$A$1:$K$309,10,FALSE)/VLOOKUP(B661,'2023 Z Scores'!$A$1:$K$309,11,FALSE),"Not Enough data"))</f>
        <v>0.27803329580949354</v>
      </c>
      <c r="F661">
        <f>IF(VLOOKUP(A661,'Delta Z Scores'!$A$1:$N$1541,14,FALSE)&gt;2,VLOOKUP(A661,'Delta Z Scores'!$A$1:$N$1541,13,FALSE)/VLOOKUP(A661,'Delta Z Scores'!$A$1:$N$1541,14,FALSE),"Not Enough Data")</f>
        <v>2.2604003548057347E-2</v>
      </c>
      <c r="G661">
        <f>IF(VLOOKUP(A661,'Forecast Z Scores'!$A$1:$N$1541,14,FALSE)&gt;2,VLOOKUP(A661,'Forecast Z Scores'!$A$1:$N$1541,13,FALSE)/VLOOKUP(A661,'Forecast Z Scores'!$A$1:$N$1541,14,FALSE),"Not Enough Data")</f>
        <v>-3.9720514834804085E-2</v>
      </c>
      <c r="H661">
        <v>7.0880197017701041E-2</v>
      </c>
    </row>
    <row r="662" spans="1:8" x14ac:dyDescent="0.35">
      <c r="A662" t="str">
        <f t="shared" si="10"/>
        <v>18097352800_2024</v>
      </c>
      <c r="B662">
        <v>18097352800</v>
      </c>
      <c r="C662">
        <v>2024</v>
      </c>
      <c r="E662">
        <f>-(IF(VLOOKUP(B662,'2023 Z Scores'!$A$1:$K$309,11,FALSE)&gt;2,VLOOKUP(B662,'2023 Z Scores'!$A$1:$K$309,10,FALSE)/VLOOKUP(B662,'2023 Z Scores'!$A$1:$K$309,11,FALSE),"Not Enough data"))</f>
        <v>0.57146362268513073</v>
      </c>
      <c r="F662">
        <f>IF(VLOOKUP(A662,'Delta Z Scores'!$A$1:$N$1541,14,FALSE)&gt;2,VLOOKUP(A662,'Delta Z Scores'!$A$1:$N$1541,13,FALSE)/VLOOKUP(A662,'Delta Z Scores'!$A$1:$N$1541,14,FALSE),"Not Enough Data")</f>
        <v>0.46546766307904758</v>
      </c>
      <c r="G662">
        <f>IF(VLOOKUP(A662,'Forecast Z Scores'!$A$1:$N$1541,14,FALSE)&gt;2,VLOOKUP(A662,'Forecast Z Scores'!$A$1:$N$1541,13,FALSE)/VLOOKUP(A662,'Forecast Z Scores'!$A$1:$N$1541,14,FALSE),"Not Enough Data")</f>
        <v>-0.32231647681705405</v>
      </c>
      <c r="H662">
        <v>0.295020618006543</v>
      </c>
    </row>
    <row r="663" spans="1:8" x14ac:dyDescent="0.35">
      <c r="A663" t="str">
        <f t="shared" si="10"/>
        <v>18097352800_2025</v>
      </c>
      <c r="B663">
        <v>18097352800</v>
      </c>
      <c r="C663">
        <v>2025</v>
      </c>
      <c r="E663">
        <f>-(IF(VLOOKUP(B663,'2023 Z Scores'!$A$1:$K$309,11,FALSE)&gt;2,VLOOKUP(B663,'2023 Z Scores'!$A$1:$K$309,10,FALSE)/VLOOKUP(B663,'2023 Z Scores'!$A$1:$K$309,11,FALSE),"Not Enough data"))</f>
        <v>0.57146362268513073</v>
      </c>
      <c r="F663">
        <f>IF(VLOOKUP(A663,'Delta Z Scores'!$A$1:$N$1541,14,FALSE)&gt;2,VLOOKUP(A663,'Delta Z Scores'!$A$1:$N$1541,13,FALSE)/VLOOKUP(A663,'Delta Z Scores'!$A$1:$N$1541,14,FALSE),"Not Enough Data")</f>
        <v>9.0956304203617042E-2</v>
      </c>
      <c r="G663">
        <f>IF(VLOOKUP(A663,'Forecast Z Scores'!$A$1:$N$1541,14,FALSE)&gt;2,VLOOKUP(A663,'Forecast Z Scores'!$A$1:$N$1541,13,FALSE)/VLOOKUP(A663,'Forecast Z Scores'!$A$1:$N$1541,14,FALSE),"Not Enough Data")</f>
        <v>-0.25576664040184832</v>
      </c>
      <c r="H663">
        <v>0.12440239767262912</v>
      </c>
    </row>
    <row r="664" spans="1:8" x14ac:dyDescent="0.35">
      <c r="A664" t="str">
        <f t="shared" si="10"/>
        <v>18097352800_2026</v>
      </c>
      <c r="B664">
        <v>18097352800</v>
      </c>
      <c r="C664">
        <v>2026</v>
      </c>
      <c r="E664">
        <f>-(IF(VLOOKUP(B664,'2023 Z Scores'!$A$1:$K$309,11,FALSE)&gt;2,VLOOKUP(B664,'2023 Z Scores'!$A$1:$K$309,10,FALSE)/VLOOKUP(B664,'2023 Z Scores'!$A$1:$K$309,11,FALSE),"Not Enough data"))</f>
        <v>0.57146362268513073</v>
      </c>
      <c r="F664">
        <f>IF(VLOOKUP(A664,'Delta Z Scores'!$A$1:$N$1541,14,FALSE)&gt;2,VLOOKUP(A664,'Delta Z Scores'!$A$1:$N$1541,13,FALSE)/VLOOKUP(A664,'Delta Z Scores'!$A$1:$N$1541,14,FALSE),"Not Enough Data")</f>
        <v>0.46750868979306182</v>
      </c>
      <c r="G664">
        <f>IF(VLOOKUP(A664,'Forecast Z Scores'!$A$1:$N$1541,14,FALSE)&gt;2,VLOOKUP(A664,'Forecast Z Scores'!$A$1:$N$1541,13,FALSE)/VLOOKUP(A664,'Forecast Z Scores'!$A$1:$N$1541,14,FALSE),"Not Enough Data")</f>
        <v>-0.22756732789957143</v>
      </c>
      <c r="H664">
        <v>0.31972841859292073</v>
      </c>
    </row>
    <row r="665" spans="1:8" x14ac:dyDescent="0.35">
      <c r="A665" t="str">
        <f t="shared" si="10"/>
        <v>18097352800_2027</v>
      </c>
      <c r="B665">
        <v>18097352800</v>
      </c>
      <c r="C665">
        <v>2027</v>
      </c>
      <c r="E665">
        <f>-(IF(VLOOKUP(B665,'2023 Z Scores'!$A$1:$K$309,11,FALSE)&gt;2,VLOOKUP(B665,'2023 Z Scores'!$A$1:$K$309,10,FALSE)/VLOOKUP(B665,'2023 Z Scores'!$A$1:$K$309,11,FALSE),"Not Enough data"))</f>
        <v>0.57146362268513073</v>
      </c>
      <c r="F665">
        <f>IF(VLOOKUP(A665,'Delta Z Scores'!$A$1:$N$1541,14,FALSE)&gt;2,VLOOKUP(A665,'Delta Z Scores'!$A$1:$N$1541,13,FALSE)/VLOOKUP(A665,'Delta Z Scores'!$A$1:$N$1541,14,FALSE),"Not Enough Data")</f>
        <v>3.4981489859049635E-2</v>
      </c>
      <c r="G665">
        <f>IF(VLOOKUP(A665,'Forecast Z Scores'!$A$1:$N$1541,14,FALSE)&gt;2,VLOOKUP(A665,'Forecast Z Scores'!$A$1:$N$1541,13,FALSE)/VLOOKUP(A665,'Forecast Z Scores'!$A$1:$N$1541,14,FALSE),"Not Enough Data")</f>
        <v>-0.1830791577189706</v>
      </c>
      <c r="H665">
        <v>0.11458686117106485</v>
      </c>
    </row>
    <row r="666" spans="1:8" x14ac:dyDescent="0.35">
      <c r="A666" t="str">
        <f t="shared" si="10"/>
        <v>18097352800_2028</v>
      </c>
      <c r="B666">
        <v>18097352800</v>
      </c>
      <c r="C666">
        <v>2028</v>
      </c>
      <c r="E666">
        <f>-(IF(VLOOKUP(B666,'2023 Z Scores'!$A$1:$K$309,11,FALSE)&gt;2,VLOOKUP(B666,'2023 Z Scores'!$A$1:$K$309,10,FALSE)/VLOOKUP(B666,'2023 Z Scores'!$A$1:$K$309,11,FALSE),"Not Enough data"))</f>
        <v>0.57146362268513073</v>
      </c>
      <c r="F666">
        <f>IF(VLOOKUP(A666,'Delta Z Scores'!$A$1:$N$1541,14,FALSE)&gt;2,VLOOKUP(A666,'Delta Z Scores'!$A$1:$N$1541,13,FALSE)/VLOOKUP(A666,'Delta Z Scores'!$A$1:$N$1541,14,FALSE),"Not Enough Data")</f>
        <v>0.34625955045559575</v>
      </c>
      <c r="G666">
        <f>IF(VLOOKUP(A666,'Forecast Z Scores'!$A$1:$N$1541,14,FALSE)&gt;2,VLOOKUP(A666,'Forecast Z Scores'!$A$1:$N$1541,13,FALSE)/VLOOKUP(A666,'Forecast Z Scores'!$A$1:$N$1541,14,FALSE),"Not Enough Data")</f>
        <v>-0.14789741007880247</v>
      </c>
      <c r="H666">
        <v>0.27902132837937998</v>
      </c>
    </row>
    <row r="667" spans="1:8" x14ac:dyDescent="0.35">
      <c r="A667" t="str">
        <f t="shared" si="10"/>
        <v>18097353300_2024</v>
      </c>
      <c r="B667">
        <v>18097353300</v>
      </c>
      <c r="C667">
        <v>2024</v>
      </c>
      <c r="E667">
        <f>-(IF(VLOOKUP(B667,'2023 Z Scores'!$A$1:$K$309,11,FALSE)&gt;2,VLOOKUP(B667,'2023 Z Scores'!$A$1:$K$309,10,FALSE)/VLOOKUP(B667,'2023 Z Scores'!$A$1:$K$309,11,FALSE),"Not Enough data"))</f>
        <v>-0.43212968545484248</v>
      </c>
      <c r="F667">
        <f>IF(VLOOKUP(A667,'Delta Z Scores'!$A$1:$N$1541,14,FALSE)&gt;2,VLOOKUP(A667,'Delta Z Scores'!$A$1:$N$1541,13,FALSE)/VLOOKUP(A667,'Delta Z Scores'!$A$1:$N$1541,14,FALSE),"Not Enough Data")</f>
        <v>-4.1070914610338127E-2</v>
      </c>
      <c r="G667">
        <f>IF(VLOOKUP(A667,'Forecast Z Scores'!$A$1:$N$1541,14,FALSE)&gt;2,VLOOKUP(A667,'Forecast Z Scores'!$A$1:$N$1541,13,FALSE)/VLOOKUP(A667,'Forecast Z Scores'!$A$1:$N$1541,14,FALSE),"Not Enough Data")</f>
        <v>0.58961316176400336</v>
      </c>
      <c r="H667">
        <v>1.8835411772121155E-2</v>
      </c>
    </row>
    <row r="668" spans="1:8" x14ac:dyDescent="0.35">
      <c r="A668" t="str">
        <f t="shared" si="10"/>
        <v>18097353300_2025</v>
      </c>
      <c r="B668">
        <v>18097353300</v>
      </c>
      <c r="C668">
        <v>2025</v>
      </c>
      <c r="E668">
        <f>-(IF(VLOOKUP(B668,'2023 Z Scores'!$A$1:$K$309,11,FALSE)&gt;2,VLOOKUP(B668,'2023 Z Scores'!$A$1:$K$309,10,FALSE)/VLOOKUP(B668,'2023 Z Scores'!$A$1:$K$309,11,FALSE),"Not Enough data"))</f>
        <v>-0.43212968545484248</v>
      </c>
      <c r="F668">
        <f>IF(VLOOKUP(A668,'Delta Z Scores'!$A$1:$N$1541,14,FALSE)&gt;2,VLOOKUP(A668,'Delta Z Scores'!$A$1:$N$1541,13,FALSE)/VLOOKUP(A668,'Delta Z Scores'!$A$1:$N$1541,14,FALSE),"Not Enough Data")</f>
        <v>-0.11861095449917584</v>
      </c>
      <c r="G668">
        <f>IF(VLOOKUP(A668,'Forecast Z Scores'!$A$1:$N$1541,14,FALSE)&gt;2,VLOOKUP(A668,'Forecast Z Scores'!$A$1:$N$1541,13,FALSE)/VLOOKUP(A668,'Forecast Z Scores'!$A$1:$N$1541,14,FALSE),"Not Enough Data")</f>
        <v>0.57675603936240072</v>
      </c>
      <c r="H668">
        <v>-2.314888877269837E-2</v>
      </c>
    </row>
    <row r="669" spans="1:8" x14ac:dyDescent="0.35">
      <c r="A669" t="str">
        <f t="shared" si="10"/>
        <v>18097353300_2026</v>
      </c>
      <c r="B669">
        <v>18097353300</v>
      </c>
      <c r="C669">
        <v>2026</v>
      </c>
      <c r="E669">
        <f>-(IF(VLOOKUP(B669,'2023 Z Scores'!$A$1:$K$309,11,FALSE)&gt;2,VLOOKUP(B669,'2023 Z Scores'!$A$1:$K$309,10,FALSE)/VLOOKUP(B669,'2023 Z Scores'!$A$1:$K$309,11,FALSE),"Not Enough data"))</f>
        <v>-0.43212968545484248</v>
      </c>
      <c r="F669">
        <f>IF(VLOOKUP(A669,'Delta Z Scores'!$A$1:$N$1541,14,FALSE)&gt;2,VLOOKUP(A669,'Delta Z Scores'!$A$1:$N$1541,13,FALSE)/VLOOKUP(A669,'Delta Z Scores'!$A$1:$N$1541,14,FALSE),"Not Enough Data")</f>
        <v>-0.13687342623012841</v>
      </c>
      <c r="G669">
        <f>IF(VLOOKUP(A669,'Forecast Z Scores'!$A$1:$N$1541,14,FALSE)&gt;2,VLOOKUP(A669,'Forecast Z Scores'!$A$1:$N$1541,13,FALSE)/VLOOKUP(A669,'Forecast Z Scores'!$A$1:$N$1541,14,FALSE),"Not Enough Data")</f>
        <v>0.55845849211005127</v>
      </c>
      <c r="H669">
        <v>-3.6854511451262006E-2</v>
      </c>
    </row>
    <row r="670" spans="1:8" x14ac:dyDescent="0.35">
      <c r="A670" t="str">
        <f t="shared" si="10"/>
        <v>18097353300_2027</v>
      </c>
      <c r="B670">
        <v>18097353300</v>
      </c>
      <c r="C670">
        <v>2027</v>
      </c>
      <c r="E670">
        <f>-(IF(VLOOKUP(B670,'2023 Z Scores'!$A$1:$K$309,11,FALSE)&gt;2,VLOOKUP(B670,'2023 Z Scores'!$A$1:$K$309,10,FALSE)/VLOOKUP(B670,'2023 Z Scores'!$A$1:$K$309,11,FALSE),"Not Enough data"))</f>
        <v>-0.43212968545484248</v>
      </c>
      <c r="F670">
        <f>IF(VLOOKUP(A670,'Delta Z Scores'!$A$1:$N$1541,14,FALSE)&gt;2,VLOOKUP(A670,'Delta Z Scores'!$A$1:$N$1541,13,FALSE)/VLOOKUP(A670,'Delta Z Scores'!$A$1:$N$1541,14,FALSE),"Not Enough Data")</f>
        <v>-3.0566768334627778E-2</v>
      </c>
      <c r="G670">
        <f>IF(VLOOKUP(A670,'Forecast Z Scores'!$A$1:$N$1541,14,FALSE)&gt;2,VLOOKUP(A670,'Forecast Z Scores'!$A$1:$N$1541,13,FALSE)/VLOOKUP(A670,'Forecast Z Scores'!$A$1:$N$1541,14,FALSE),"Not Enough Data")</f>
        <v>0.54915573340433022</v>
      </c>
      <c r="H670">
        <v>1.3973127820058037E-2</v>
      </c>
    </row>
    <row r="671" spans="1:8" x14ac:dyDescent="0.35">
      <c r="A671" t="str">
        <f t="shared" si="10"/>
        <v>18097353300_2028</v>
      </c>
      <c r="B671">
        <v>18097353300</v>
      </c>
      <c r="C671">
        <v>2028</v>
      </c>
      <c r="E671">
        <f>-(IF(VLOOKUP(B671,'2023 Z Scores'!$A$1:$K$309,11,FALSE)&gt;2,VLOOKUP(B671,'2023 Z Scores'!$A$1:$K$309,10,FALSE)/VLOOKUP(B671,'2023 Z Scores'!$A$1:$K$309,11,FALSE),"Not Enough data"))</f>
        <v>-0.43212968545484248</v>
      </c>
      <c r="F671">
        <f>IF(VLOOKUP(A671,'Delta Z Scores'!$A$1:$N$1541,14,FALSE)&gt;2,VLOOKUP(A671,'Delta Z Scores'!$A$1:$N$1541,13,FALSE)/VLOOKUP(A671,'Delta Z Scores'!$A$1:$N$1541,14,FALSE),"Not Enough Data")</f>
        <v>-5.5481395746601103E-2</v>
      </c>
      <c r="G671">
        <f>IF(VLOOKUP(A671,'Forecast Z Scores'!$A$1:$N$1541,14,FALSE)&gt;2,VLOOKUP(A671,'Forecast Z Scores'!$A$1:$N$1541,13,FALSE)/VLOOKUP(A671,'Forecast Z Scores'!$A$1:$N$1541,14,FALSE),"Not Enough Data")</f>
        <v>0.54491950014322743</v>
      </c>
      <c r="H671">
        <v>4.5675579879568551E-4</v>
      </c>
    </row>
    <row r="672" spans="1:8" x14ac:dyDescent="0.35">
      <c r="A672" t="str">
        <f t="shared" si="10"/>
        <v>18097353500_2024</v>
      </c>
      <c r="B672">
        <v>18097353500</v>
      </c>
      <c r="C672">
        <v>2024</v>
      </c>
      <c r="E672">
        <f>-(IF(VLOOKUP(B672,'2023 Z Scores'!$A$1:$K$309,11,FALSE)&gt;2,VLOOKUP(B672,'2023 Z Scores'!$A$1:$K$309,10,FALSE)/VLOOKUP(B672,'2023 Z Scores'!$A$1:$K$309,11,FALSE),"Not Enough data"))</f>
        <v>-0.54983108893485999</v>
      </c>
      <c r="F672">
        <f>IF(VLOOKUP(A672,'Delta Z Scores'!$A$1:$N$1541,14,FALSE)&gt;2,VLOOKUP(A672,'Delta Z Scores'!$A$1:$N$1541,13,FALSE)/VLOOKUP(A672,'Delta Z Scores'!$A$1:$N$1541,14,FALSE),"Not Enough Data")</f>
        <v>0.39343843631616215</v>
      </c>
      <c r="G672">
        <f>IF(VLOOKUP(A672,'Forecast Z Scores'!$A$1:$N$1541,14,FALSE)&gt;2,VLOOKUP(A672,'Forecast Z Scores'!$A$1:$N$1541,13,FALSE)/VLOOKUP(A672,'Forecast Z Scores'!$A$1:$N$1541,14,FALSE),"Not Enough Data")</f>
        <v>0.76355214418154072</v>
      </c>
      <c r="H672">
        <v>0.25014948196975129</v>
      </c>
    </row>
    <row r="673" spans="1:8" x14ac:dyDescent="0.35">
      <c r="A673" t="str">
        <f t="shared" si="10"/>
        <v>18097353500_2025</v>
      </c>
      <c r="B673">
        <v>18097353500</v>
      </c>
      <c r="C673">
        <v>2025</v>
      </c>
      <c r="E673">
        <f>-(IF(VLOOKUP(B673,'2023 Z Scores'!$A$1:$K$309,11,FALSE)&gt;2,VLOOKUP(B673,'2023 Z Scores'!$A$1:$K$309,10,FALSE)/VLOOKUP(B673,'2023 Z Scores'!$A$1:$K$309,11,FALSE),"Not Enough data"))</f>
        <v>-0.54983108893485999</v>
      </c>
      <c r="F673">
        <f>IF(VLOOKUP(A673,'Delta Z Scores'!$A$1:$N$1541,14,FALSE)&gt;2,VLOOKUP(A673,'Delta Z Scores'!$A$1:$N$1541,13,FALSE)/VLOOKUP(A673,'Delta Z Scores'!$A$1:$N$1541,14,FALSE),"Not Enough Data")</f>
        <v>0.60019553543290383</v>
      </c>
      <c r="G673">
        <f>IF(VLOOKUP(A673,'Forecast Z Scores'!$A$1:$N$1541,14,FALSE)&gt;2,VLOOKUP(A673,'Forecast Z Scores'!$A$1:$N$1541,13,FALSE)/VLOOKUP(A673,'Forecast Z Scores'!$A$1:$N$1541,14,FALSE),"Not Enough Data")</f>
        <v>0.79153946076194359</v>
      </c>
      <c r="H673">
        <v>0.36052486067322276</v>
      </c>
    </row>
    <row r="674" spans="1:8" x14ac:dyDescent="0.35">
      <c r="A674" t="str">
        <f t="shared" si="10"/>
        <v>18097353500_2026</v>
      </c>
      <c r="B674">
        <v>18097353500</v>
      </c>
      <c r="C674">
        <v>2026</v>
      </c>
      <c r="E674">
        <f>-(IF(VLOOKUP(B674,'2023 Z Scores'!$A$1:$K$309,11,FALSE)&gt;2,VLOOKUP(B674,'2023 Z Scores'!$A$1:$K$309,10,FALSE)/VLOOKUP(B674,'2023 Z Scores'!$A$1:$K$309,11,FALSE),"Not Enough data"))</f>
        <v>-0.54983108893485999</v>
      </c>
      <c r="F674">
        <f>IF(VLOOKUP(A674,'Delta Z Scores'!$A$1:$N$1541,14,FALSE)&gt;2,VLOOKUP(A674,'Delta Z Scores'!$A$1:$N$1541,13,FALSE)/VLOOKUP(A674,'Delta Z Scores'!$A$1:$N$1541,14,FALSE),"Not Enough Data")</f>
        <v>8.8736885347850472E-2</v>
      </c>
      <c r="G674">
        <f>IF(VLOOKUP(A674,'Forecast Z Scores'!$A$1:$N$1541,14,FALSE)&gt;2,VLOOKUP(A674,'Forecast Z Scores'!$A$1:$N$1541,13,FALSE)/VLOOKUP(A674,'Forecast Z Scores'!$A$1:$N$1541,14,FALSE),"Not Enough Data")</f>
        <v>0.81520149365288186</v>
      </c>
      <c r="H674">
        <v>0.1107110438534307</v>
      </c>
    </row>
    <row r="675" spans="1:8" x14ac:dyDescent="0.35">
      <c r="A675" t="str">
        <f t="shared" si="10"/>
        <v>18097353500_2027</v>
      </c>
      <c r="B675">
        <v>18097353500</v>
      </c>
      <c r="C675">
        <v>2027</v>
      </c>
      <c r="E675">
        <f>-(IF(VLOOKUP(B675,'2023 Z Scores'!$A$1:$K$309,11,FALSE)&gt;2,VLOOKUP(B675,'2023 Z Scores'!$A$1:$K$309,10,FALSE)/VLOOKUP(B675,'2023 Z Scores'!$A$1:$K$309,11,FALSE),"Not Enough data"))</f>
        <v>-0.54983108893485999</v>
      </c>
      <c r="F675">
        <f>IF(VLOOKUP(A675,'Delta Z Scores'!$A$1:$N$1541,14,FALSE)&gt;2,VLOOKUP(A675,'Delta Z Scores'!$A$1:$N$1541,13,FALSE)/VLOOKUP(A675,'Delta Z Scores'!$A$1:$N$1541,14,FALSE),"Not Enough Data")</f>
        <v>-5.7683144445919335E-2</v>
      </c>
      <c r="G675">
        <f>IF(VLOOKUP(A675,'Forecast Z Scores'!$A$1:$N$1541,14,FALSE)&gt;2,VLOOKUP(A675,'Forecast Z Scores'!$A$1:$N$1541,13,FALSE)/VLOOKUP(A675,'Forecast Z Scores'!$A$1:$N$1541,14,FALSE),"Not Enough Data")</f>
        <v>0.80804492242599735</v>
      </c>
      <c r="H675">
        <v>3.5711886149824679E-2</v>
      </c>
    </row>
    <row r="676" spans="1:8" x14ac:dyDescent="0.35">
      <c r="A676" t="str">
        <f t="shared" si="10"/>
        <v>18097353500_2028</v>
      </c>
      <c r="B676">
        <v>18097353500</v>
      </c>
      <c r="C676">
        <v>2028</v>
      </c>
      <c r="E676">
        <f>-(IF(VLOOKUP(B676,'2023 Z Scores'!$A$1:$K$309,11,FALSE)&gt;2,VLOOKUP(B676,'2023 Z Scores'!$A$1:$K$309,10,FALSE)/VLOOKUP(B676,'2023 Z Scores'!$A$1:$K$309,11,FALSE),"Not Enough data"))</f>
        <v>-0.54983108893485999</v>
      </c>
      <c r="F676">
        <f>IF(VLOOKUP(A676,'Delta Z Scores'!$A$1:$N$1541,14,FALSE)&gt;2,VLOOKUP(A676,'Delta Z Scores'!$A$1:$N$1541,13,FALSE)/VLOOKUP(A676,'Delta Z Scores'!$A$1:$N$1541,14,FALSE),"Not Enough Data")</f>
        <v>0.46497573978623513</v>
      </c>
      <c r="G676">
        <f>IF(VLOOKUP(A676,'Forecast Z Scores'!$A$1:$N$1541,14,FALSE)&gt;2,VLOOKUP(A676,'Forecast Z Scores'!$A$1:$N$1541,13,FALSE)/VLOOKUP(A676,'Forecast Z Scores'!$A$1:$N$1541,14,FALSE),"Not Enough Data")</f>
        <v>0.85099351745918961</v>
      </c>
      <c r="H676">
        <v>0.30777847702419991</v>
      </c>
    </row>
    <row r="677" spans="1:8" x14ac:dyDescent="0.35">
      <c r="A677" t="str">
        <f t="shared" si="10"/>
        <v>18097353600_2024</v>
      </c>
      <c r="B677">
        <v>18097353600</v>
      </c>
      <c r="C677">
        <v>2024</v>
      </c>
      <c r="E677">
        <f>-(IF(VLOOKUP(B677,'2023 Z Scores'!$A$1:$K$309,11,FALSE)&gt;2,VLOOKUP(B677,'2023 Z Scores'!$A$1:$K$309,10,FALSE)/VLOOKUP(B677,'2023 Z Scores'!$A$1:$K$309,11,FALSE),"Not Enough data"))</f>
        <v>0.36868588131462648</v>
      </c>
      <c r="F677">
        <f>IF(VLOOKUP(A677,'Delta Z Scores'!$A$1:$N$1541,14,FALSE)&gt;2,VLOOKUP(A677,'Delta Z Scores'!$A$1:$N$1541,13,FALSE)/VLOOKUP(A677,'Delta Z Scores'!$A$1:$N$1541,14,FALSE),"Not Enough Data")</f>
        <v>0.11508152269036133</v>
      </c>
      <c r="G677">
        <f>IF(VLOOKUP(A677,'Forecast Z Scores'!$A$1:$N$1541,14,FALSE)&gt;2,VLOOKUP(A677,'Forecast Z Scores'!$A$1:$N$1541,13,FALSE)/VLOOKUP(A677,'Forecast Z Scores'!$A$1:$N$1541,14,FALSE),"Not Enough Data")</f>
        <v>-1.370034021826126E-2</v>
      </c>
      <c r="H677">
        <v>0.14628714661927197</v>
      </c>
    </row>
    <row r="678" spans="1:8" x14ac:dyDescent="0.35">
      <c r="A678" t="str">
        <f t="shared" si="10"/>
        <v>18097353600_2025</v>
      </c>
      <c r="B678">
        <v>18097353600</v>
      </c>
      <c r="C678">
        <v>2025</v>
      </c>
      <c r="E678">
        <f>-(IF(VLOOKUP(B678,'2023 Z Scores'!$A$1:$K$309,11,FALSE)&gt;2,VLOOKUP(B678,'2023 Z Scores'!$A$1:$K$309,10,FALSE)/VLOOKUP(B678,'2023 Z Scores'!$A$1:$K$309,11,FALSE),"Not Enough data"))</f>
        <v>0.36868588131462648</v>
      </c>
      <c r="F678">
        <f>IF(VLOOKUP(A678,'Delta Z Scores'!$A$1:$N$1541,14,FALSE)&gt;2,VLOOKUP(A678,'Delta Z Scores'!$A$1:$N$1541,13,FALSE)/VLOOKUP(A678,'Delta Z Scores'!$A$1:$N$1541,14,FALSE),"Not Enough Data")</f>
        <v>0.28474371877039156</v>
      </c>
      <c r="G678">
        <f>IF(VLOOKUP(A678,'Forecast Z Scores'!$A$1:$N$1541,14,FALSE)&gt;2,VLOOKUP(A678,'Forecast Z Scores'!$A$1:$N$1541,13,FALSE)/VLOOKUP(A678,'Forecast Z Scores'!$A$1:$N$1541,14,FALSE),"Not Enough Data")</f>
        <v>3.8791050063400431E-2</v>
      </c>
      <c r="H678">
        <v>0.24424109222970253</v>
      </c>
    </row>
    <row r="679" spans="1:8" x14ac:dyDescent="0.35">
      <c r="A679" t="str">
        <f t="shared" si="10"/>
        <v>18097353600_2026</v>
      </c>
      <c r="B679">
        <v>18097353600</v>
      </c>
      <c r="C679">
        <v>2026</v>
      </c>
      <c r="E679">
        <f>-(IF(VLOOKUP(B679,'2023 Z Scores'!$A$1:$K$309,11,FALSE)&gt;2,VLOOKUP(B679,'2023 Z Scores'!$A$1:$K$309,10,FALSE)/VLOOKUP(B679,'2023 Z Scores'!$A$1:$K$309,11,FALSE),"Not Enough data"))</f>
        <v>0.36868588131462648</v>
      </c>
      <c r="F679">
        <f>IF(VLOOKUP(A679,'Delta Z Scores'!$A$1:$N$1541,14,FALSE)&gt;2,VLOOKUP(A679,'Delta Z Scores'!$A$1:$N$1541,13,FALSE)/VLOOKUP(A679,'Delta Z Scores'!$A$1:$N$1541,14,FALSE),"Not Enough Data")</f>
        <v>0.19712471380086879</v>
      </c>
      <c r="G679">
        <f>IF(VLOOKUP(A679,'Forecast Z Scores'!$A$1:$N$1541,14,FALSE)&gt;2,VLOOKUP(A679,'Forecast Z Scores'!$A$1:$N$1541,13,FALSE)/VLOOKUP(A679,'Forecast Z Scores'!$A$1:$N$1541,14,FALSE),"Not Enough Data")</f>
        <v>7.517636913420192E-2</v>
      </c>
      <c r="H679">
        <v>0.20952791951264149</v>
      </c>
    </row>
    <row r="680" spans="1:8" x14ac:dyDescent="0.35">
      <c r="A680" t="str">
        <f t="shared" si="10"/>
        <v>18097353600_2027</v>
      </c>
      <c r="B680">
        <v>18097353600</v>
      </c>
      <c r="C680">
        <v>2027</v>
      </c>
      <c r="E680">
        <f>-(IF(VLOOKUP(B680,'2023 Z Scores'!$A$1:$K$309,11,FALSE)&gt;2,VLOOKUP(B680,'2023 Z Scores'!$A$1:$K$309,10,FALSE)/VLOOKUP(B680,'2023 Z Scores'!$A$1:$K$309,11,FALSE),"Not Enough data"))</f>
        <v>0.36868588131462648</v>
      </c>
      <c r="F680">
        <f>IF(VLOOKUP(A680,'Delta Z Scores'!$A$1:$N$1541,14,FALSE)&gt;2,VLOOKUP(A680,'Delta Z Scores'!$A$1:$N$1541,13,FALSE)/VLOOKUP(A680,'Delta Z Scores'!$A$1:$N$1541,14,FALSE),"Not Enough Data")</f>
        <v>0.30785121339253252</v>
      </c>
      <c r="G680">
        <f>IF(VLOOKUP(A680,'Forecast Z Scores'!$A$1:$N$1541,14,FALSE)&gt;2,VLOOKUP(A680,'Forecast Z Scores'!$A$1:$N$1541,13,FALSE)/VLOOKUP(A680,'Forecast Z Scores'!$A$1:$N$1541,14,FALSE),"Not Enough Data")</f>
        <v>0.11437164408700883</v>
      </c>
      <c r="H680">
        <v>0.2746899880466751</v>
      </c>
    </row>
    <row r="681" spans="1:8" x14ac:dyDescent="0.35">
      <c r="A681" t="str">
        <f t="shared" si="10"/>
        <v>18097353600_2028</v>
      </c>
      <c r="B681">
        <v>18097353600</v>
      </c>
      <c r="C681">
        <v>2028</v>
      </c>
      <c r="E681">
        <f>-(IF(VLOOKUP(B681,'2023 Z Scores'!$A$1:$K$309,11,FALSE)&gt;2,VLOOKUP(B681,'2023 Z Scores'!$A$1:$K$309,10,FALSE)/VLOOKUP(B681,'2023 Z Scores'!$A$1:$K$309,11,FALSE),"Not Enough data"))</f>
        <v>0.36868588131462648</v>
      </c>
      <c r="F681">
        <f>IF(VLOOKUP(A681,'Delta Z Scores'!$A$1:$N$1541,14,FALSE)&gt;2,VLOOKUP(A681,'Delta Z Scores'!$A$1:$N$1541,13,FALSE)/VLOOKUP(A681,'Delta Z Scores'!$A$1:$N$1541,14,FALSE),"Not Enough Data")</f>
        <v>0.2172725927436539</v>
      </c>
      <c r="G681">
        <f>IF(VLOOKUP(A681,'Forecast Z Scores'!$A$1:$N$1541,14,FALSE)&gt;2,VLOOKUP(A681,'Forecast Z Scores'!$A$1:$N$1541,13,FALSE)/VLOOKUP(A681,'Forecast Z Scores'!$A$1:$N$1541,14,FALSE),"Not Enough Data")</f>
        <v>0.14988516549337488</v>
      </c>
      <c r="H681">
        <v>0.23827905807382732</v>
      </c>
    </row>
    <row r="682" spans="1:8" x14ac:dyDescent="0.35">
      <c r="A682" t="str">
        <f t="shared" si="10"/>
        <v>18097354201_2024</v>
      </c>
      <c r="B682">
        <v>18097354201</v>
      </c>
      <c r="C682">
        <v>2024</v>
      </c>
      <c r="E682">
        <f>-(IF(VLOOKUP(B682,'2023 Z Scores'!$A$1:$K$309,11,FALSE)&gt;2,VLOOKUP(B682,'2023 Z Scores'!$A$1:$K$309,10,FALSE)/VLOOKUP(B682,'2023 Z Scores'!$A$1:$K$309,11,FALSE),"Not Enough data"))</f>
        <v>-0.81602143546169559</v>
      </c>
      <c r="F682">
        <f>IF(VLOOKUP(A682,'Delta Z Scores'!$A$1:$N$1541,14,FALSE)&gt;2,VLOOKUP(A682,'Delta Z Scores'!$A$1:$N$1541,13,FALSE)/VLOOKUP(A682,'Delta Z Scores'!$A$1:$N$1541,14,FALSE),"Not Enough Data")</f>
        <v>8.1161976941013389E-2</v>
      </c>
      <c r="G682">
        <f>IF(VLOOKUP(A682,'Forecast Z Scores'!$A$1:$N$1541,14,FALSE)&gt;2,VLOOKUP(A682,'Forecast Z Scores'!$A$1:$N$1541,13,FALSE)/VLOOKUP(A682,'Forecast Z Scores'!$A$1:$N$1541,14,FALSE),"Not Enough Data")</f>
        <v>1.4131361895381731</v>
      </c>
      <c r="H682">
        <v>0.18985967698962605</v>
      </c>
    </row>
    <row r="683" spans="1:8" x14ac:dyDescent="0.35">
      <c r="A683" t="str">
        <f t="shared" si="10"/>
        <v>18097354201_2025</v>
      </c>
      <c r="B683">
        <v>18097354201</v>
      </c>
      <c r="C683">
        <v>2025</v>
      </c>
      <c r="E683">
        <f>-(IF(VLOOKUP(B683,'2023 Z Scores'!$A$1:$K$309,11,FALSE)&gt;2,VLOOKUP(B683,'2023 Z Scores'!$A$1:$K$309,10,FALSE)/VLOOKUP(B683,'2023 Z Scores'!$A$1:$K$309,11,FALSE),"Not Enough data"))</f>
        <v>-0.81602143546169559</v>
      </c>
      <c r="F683">
        <f>IF(VLOOKUP(A683,'Delta Z Scores'!$A$1:$N$1541,14,FALSE)&gt;2,VLOOKUP(A683,'Delta Z Scores'!$A$1:$N$1541,13,FALSE)/VLOOKUP(A683,'Delta Z Scores'!$A$1:$N$1541,14,FALSE),"Not Enough Data")</f>
        <v>-5.1062198627827238E-2</v>
      </c>
      <c r="G683">
        <f>IF(VLOOKUP(A683,'Forecast Z Scores'!$A$1:$N$1541,14,FALSE)&gt;2,VLOOKUP(A683,'Forecast Z Scores'!$A$1:$N$1541,13,FALSE)/VLOOKUP(A683,'Forecast Z Scores'!$A$1:$N$1541,14,FALSE),"Not Enough Data")</f>
        <v>1.4812113495148378</v>
      </c>
      <c r="H683">
        <v>0.14076637919937193</v>
      </c>
    </row>
    <row r="684" spans="1:8" x14ac:dyDescent="0.35">
      <c r="A684" t="str">
        <f t="shared" si="10"/>
        <v>18097354201_2026</v>
      </c>
      <c r="B684">
        <v>18097354201</v>
      </c>
      <c r="C684">
        <v>2026</v>
      </c>
      <c r="E684">
        <f>-(IF(VLOOKUP(B684,'2023 Z Scores'!$A$1:$K$309,11,FALSE)&gt;2,VLOOKUP(B684,'2023 Z Scores'!$A$1:$K$309,10,FALSE)/VLOOKUP(B684,'2023 Z Scores'!$A$1:$K$309,11,FALSE),"Not Enough data"))</f>
        <v>-0.81602143546169559</v>
      </c>
      <c r="F684">
        <f>IF(VLOOKUP(A684,'Delta Z Scores'!$A$1:$N$1541,14,FALSE)&gt;2,VLOOKUP(A684,'Delta Z Scores'!$A$1:$N$1541,13,FALSE)/VLOOKUP(A684,'Delta Z Scores'!$A$1:$N$1541,14,FALSE),"Not Enough Data")</f>
        <v>0.6660872072367523</v>
      </c>
      <c r="G684">
        <f>IF(VLOOKUP(A684,'Forecast Z Scores'!$A$1:$N$1541,14,FALSE)&gt;2,VLOOKUP(A684,'Forecast Z Scores'!$A$1:$N$1541,13,FALSE)/VLOOKUP(A684,'Forecast Z Scores'!$A$1:$N$1541,14,FALSE),"Not Enough Data")</f>
        <v>1.6012650450173667</v>
      </c>
      <c r="H684">
        <v>0.52935450600729383</v>
      </c>
    </row>
    <row r="685" spans="1:8" x14ac:dyDescent="0.35">
      <c r="A685" t="str">
        <f t="shared" si="10"/>
        <v>18097354201_2027</v>
      </c>
      <c r="B685">
        <v>18097354201</v>
      </c>
      <c r="C685">
        <v>2027</v>
      </c>
      <c r="E685">
        <f>-(IF(VLOOKUP(B685,'2023 Z Scores'!$A$1:$K$309,11,FALSE)&gt;2,VLOOKUP(B685,'2023 Z Scores'!$A$1:$K$309,10,FALSE)/VLOOKUP(B685,'2023 Z Scores'!$A$1:$K$309,11,FALSE),"Not Enough data"))</f>
        <v>-0.81602143546169559</v>
      </c>
      <c r="F685">
        <f>IF(VLOOKUP(A685,'Delta Z Scores'!$A$1:$N$1541,14,FALSE)&gt;2,VLOOKUP(A685,'Delta Z Scores'!$A$1:$N$1541,13,FALSE)/VLOOKUP(A685,'Delta Z Scores'!$A$1:$N$1541,14,FALSE),"Not Enough Data")</f>
        <v>6.6769532585194316E-2</v>
      </c>
      <c r="G685">
        <f>IF(VLOOKUP(A685,'Forecast Z Scores'!$A$1:$N$1541,14,FALSE)&gt;2,VLOOKUP(A685,'Forecast Z Scores'!$A$1:$N$1541,13,FALSE)/VLOOKUP(A685,'Forecast Z Scores'!$A$1:$N$1541,14,FALSE),"Not Enough Data")</f>
        <v>1.637880402977365</v>
      </c>
      <c r="H685">
        <v>0.23884950817151454</v>
      </c>
    </row>
    <row r="686" spans="1:8" x14ac:dyDescent="0.35">
      <c r="A686" t="str">
        <f t="shared" si="10"/>
        <v>18097354201_2028</v>
      </c>
      <c r="B686">
        <v>18097354201</v>
      </c>
      <c r="C686">
        <v>2028</v>
      </c>
      <c r="E686">
        <f>-(IF(VLOOKUP(B686,'2023 Z Scores'!$A$1:$K$309,11,FALSE)&gt;2,VLOOKUP(B686,'2023 Z Scores'!$A$1:$K$309,10,FALSE)/VLOOKUP(B686,'2023 Z Scores'!$A$1:$K$309,11,FALSE),"Not Enough data"))</f>
        <v>-0.81602143546169559</v>
      </c>
      <c r="F686">
        <f>IF(VLOOKUP(A686,'Delta Z Scores'!$A$1:$N$1541,14,FALSE)&gt;2,VLOOKUP(A686,'Delta Z Scores'!$A$1:$N$1541,13,FALSE)/VLOOKUP(A686,'Delta Z Scores'!$A$1:$N$1541,14,FALSE),"Not Enough Data")</f>
        <v>0.79134257561567345</v>
      </c>
      <c r="G686">
        <f>IF(VLOOKUP(A686,'Forecast Z Scores'!$A$1:$N$1541,14,FALSE)&gt;2,VLOOKUP(A686,'Forecast Z Scores'!$A$1:$N$1541,13,FALSE)/VLOOKUP(A686,'Forecast Z Scores'!$A$1:$N$1541,14,FALSE),"Not Enough Data")</f>
        <v>1.7456381880156944</v>
      </c>
      <c r="H686">
        <v>0.62807547594633639</v>
      </c>
    </row>
    <row r="687" spans="1:8" x14ac:dyDescent="0.35">
      <c r="A687" t="str">
        <f t="shared" si="10"/>
        <v>18097354202_2024</v>
      </c>
      <c r="B687">
        <v>18097354202</v>
      </c>
      <c r="C687">
        <v>2024</v>
      </c>
      <c r="E687">
        <f>-(IF(VLOOKUP(B687,'2023 Z Scores'!$A$1:$K$309,11,FALSE)&gt;2,VLOOKUP(B687,'2023 Z Scores'!$A$1:$K$309,10,FALSE)/VLOOKUP(B687,'2023 Z Scores'!$A$1:$K$309,11,FALSE),"Not Enough data"))</f>
        <v>-0.65071928763063625</v>
      </c>
      <c r="F687">
        <f>IF(VLOOKUP(A687,'Delta Z Scores'!$A$1:$N$1541,14,FALSE)&gt;2,VLOOKUP(A687,'Delta Z Scores'!$A$1:$N$1541,13,FALSE)/VLOOKUP(A687,'Delta Z Scores'!$A$1:$N$1541,14,FALSE),"Not Enough Data")</f>
        <v>1.1463792966422082E-2</v>
      </c>
      <c r="G687">
        <f>IF(VLOOKUP(A687,'Forecast Z Scores'!$A$1:$N$1541,14,FALSE)&gt;2,VLOOKUP(A687,'Forecast Z Scores'!$A$1:$N$1541,13,FALSE)/VLOOKUP(A687,'Forecast Z Scores'!$A$1:$N$1541,14,FALSE),"Not Enough Data")</f>
        <v>1.1516285177444894</v>
      </c>
      <c r="H687">
        <v>0.13095920401167432</v>
      </c>
    </row>
    <row r="688" spans="1:8" x14ac:dyDescent="0.35">
      <c r="A688" t="str">
        <f t="shared" si="10"/>
        <v>18097354202_2025</v>
      </c>
      <c r="B688">
        <v>18097354202</v>
      </c>
      <c r="C688">
        <v>2025</v>
      </c>
      <c r="E688">
        <f>-(IF(VLOOKUP(B688,'2023 Z Scores'!$A$1:$K$309,11,FALSE)&gt;2,VLOOKUP(B688,'2023 Z Scores'!$A$1:$K$309,10,FALSE)/VLOOKUP(B688,'2023 Z Scores'!$A$1:$K$309,11,FALSE),"Not Enough data"))</f>
        <v>-0.65071928763063625</v>
      </c>
      <c r="F688">
        <f>IF(VLOOKUP(A688,'Delta Z Scores'!$A$1:$N$1541,14,FALSE)&gt;2,VLOOKUP(A688,'Delta Z Scores'!$A$1:$N$1541,13,FALSE)/VLOOKUP(A688,'Delta Z Scores'!$A$1:$N$1541,14,FALSE),"Not Enough Data")</f>
        <v>0.55871977617582502</v>
      </c>
      <c r="G688">
        <f>IF(VLOOKUP(A688,'Forecast Z Scores'!$A$1:$N$1541,14,FALSE)&gt;2,VLOOKUP(A688,'Forecast Z Scores'!$A$1:$N$1541,13,FALSE)/VLOOKUP(A688,'Forecast Z Scores'!$A$1:$N$1541,14,FALSE),"Not Enough Data")</f>
        <v>1.2774872602720027</v>
      </c>
      <c r="H688">
        <v>0.43605188124825411</v>
      </c>
    </row>
    <row r="689" spans="1:8" x14ac:dyDescent="0.35">
      <c r="A689" t="str">
        <f t="shared" si="10"/>
        <v>18097354202_2026</v>
      </c>
      <c r="B689">
        <v>18097354202</v>
      </c>
      <c r="C689">
        <v>2026</v>
      </c>
      <c r="E689">
        <f>-(IF(VLOOKUP(B689,'2023 Z Scores'!$A$1:$K$309,11,FALSE)&gt;2,VLOOKUP(B689,'2023 Z Scores'!$A$1:$K$309,10,FALSE)/VLOOKUP(B689,'2023 Z Scores'!$A$1:$K$309,11,FALSE),"Not Enough data"))</f>
        <v>-0.65071928763063625</v>
      </c>
      <c r="F689">
        <f>IF(VLOOKUP(A689,'Delta Z Scores'!$A$1:$N$1541,14,FALSE)&gt;2,VLOOKUP(A689,'Delta Z Scores'!$A$1:$N$1541,13,FALSE)/VLOOKUP(A689,'Delta Z Scores'!$A$1:$N$1541,14,FALSE),"Not Enough Data")</f>
        <v>0.41796196559183291</v>
      </c>
      <c r="G689">
        <f>IF(VLOOKUP(A689,'Forecast Z Scores'!$A$1:$N$1541,14,FALSE)&gt;2,VLOOKUP(A689,'Forecast Z Scores'!$A$1:$N$1541,13,FALSE)/VLOOKUP(A689,'Forecast Z Scores'!$A$1:$N$1541,14,FALSE),"Not Enough Data")</f>
        <v>1.3536497384574881</v>
      </c>
      <c r="H689">
        <v>0.3847135955026294</v>
      </c>
    </row>
    <row r="690" spans="1:8" x14ac:dyDescent="0.35">
      <c r="A690" t="str">
        <f t="shared" si="10"/>
        <v>18097354202_2027</v>
      </c>
      <c r="B690">
        <v>18097354202</v>
      </c>
      <c r="C690">
        <v>2027</v>
      </c>
      <c r="E690">
        <f>-(IF(VLOOKUP(B690,'2023 Z Scores'!$A$1:$K$309,11,FALSE)&gt;2,VLOOKUP(B690,'2023 Z Scores'!$A$1:$K$309,10,FALSE)/VLOOKUP(B690,'2023 Z Scores'!$A$1:$K$309,11,FALSE),"Not Enough data"))</f>
        <v>-0.65071928763063625</v>
      </c>
      <c r="F690">
        <f>IF(VLOOKUP(A690,'Delta Z Scores'!$A$1:$N$1541,14,FALSE)&gt;2,VLOOKUP(A690,'Delta Z Scores'!$A$1:$N$1541,13,FALSE)/VLOOKUP(A690,'Delta Z Scores'!$A$1:$N$1541,14,FALSE),"Not Enough Data")</f>
        <v>0.53562615918250556</v>
      </c>
      <c r="G690">
        <f>IF(VLOOKUP(A690,'Forecast Z Scores'!$A$1:$N$1541,14,FALSE)&gt;2,VLOOKUP(A690,'Forecast Z Scores'!$A$1:$N$1541,13,FALSE)/VLOOKUP(A690,'Forecast Z Scores'!$A$1:$N$1541,14,FALSE),"Not Enough Data")</f>
        <v>1.4416241292860221</v>
      </c>
      <c r="H690">
        <v>0.46553929000509919</v>
      </c>
    </row>
    <row r="691" spans="1:8" x14ac:dyDescent="0.35">
      <c r="A691" t="str">
        <f t="shared" si="10"/>
        <v>18097354202_2028</v>
      </c>
      <c r="B691">
        <v>18097354202</v>
      </c>
      <c r="C691">
        <v>2028</v>
      </c>
      <c r="E691">
        <f>-(IF(VLOOKUP(B691,'2023 Z Scores'!$A$1:$K$309,11,FALSE)&gt;2,VLOOKUP(B691,'2023 Z Scores'!$A$1:$K$309,10,FALSE)/VLOOKUP(B691,'2023 Z Scores'!$A$1:$K$309,11,FALSE),"Not Enough data"))</f>
        <v>-0.65071928763063625</v>
      </c>
      <c r="F691">
        <f>IF(VLOOKUP(A691,'Delta Z Scores'!$A$1:$N$1541,14,FALSE)&gt;2,VLOOKUP(A691,'Delta Z Scores'!$A$1:$N$1541,13,FALSE)/VLOOKUP(A691,'Delta Z Scores'!$A$1:$N$1541,14,FALSE),"Not Enough Data")</f>
        <v>0.50255643576060882</v>
      </c>
      <c r="G691">
        <f>IF(VLOOKUP(A691,'Forecast Z Scores'!$A$1:$N$1541,14,FALSE)&gt;2,VLOOKUP(A691,'Forecast Z Scores'!$A$1:$N$1541,13,FALSE)/VLOOKUP(A691,'Forecast Z Scores'!$A$1:$N$1541,14,FALSE),"Not Enough Data")</f>
        <v>1.4846879371409303</v>
      </c>
      <c r="H691">
        <v>0.45977038025787786</v>
      </c>
    </row>
    <row r="692" spans="1:8" x14ac:dyDescent="0.35">
      <c r="A692" t="str">
        <f t="shared" si="10"/>
        <v>18097354400_2024</v>
      </c>
      <c r="B692">
        <v>18097354400</v>
      </c>
      <c r="C692">
        <v>2024</v>
      </c>
      <c r="E692">
        <f>-(IF(VLOOKUP(B692,'2023 Z Scores'!$A$1:$K$309,11,FALSE)&gt;2,VLOOKUP(B692,'2023 Z Scores'!$A$1:$K$309,10,FALSE)/VLOOKUP(B692,'2023 Z Scores'!$A$1:$K$309,11,FALSE),"Not Enough data"))</f>
        <v>-0.33227501728960601</v>
      </c>
      <c r="F692">
        <f>IF(VLOOKUP(A692,'Delta Z Scores'!$A$1:$N$1541,14,FALSE)&gt;2,VLOOKUP(A692,'Delta Z Scores'!$A$1:$N$1541,13,FALSE)/VLOOKUP(A692,'Delta Z Scores'!$A$1:$N$1541,14,FALSE),"Not Enough Data")</f>
        <v>-0.29678709242412538</v>
      </c>
      <c r="G692">
        <f>IF(VLOOKUP(A692,'Forecast Z Scores'!$A$1:$N$1541,14,FALSE)&gt;2,VLOOKUP(A692,'Forecast Z Scores'!$A$1:$N$1541,13,FALSE)/VLOOKUP(A692,'Forecast Z Scores'!$A$1:$N$1541,14,FALSE),"Not Enough Data")</f>
        <v>0.24161049882481425</v>
      </c>
      <c r="H692">
        <v>-0.17105967582826065</v>
      </c>
    </row>
    <row r="693" spans="1:8" x14ac:dyDescent="0.35">
      <c r="A693" t="str">
        <f t="shared" si="10"/>
        <v>18097354400_2025</v>
      </c>
      <c r="B693">
        <v>18097354400</v>
      </c>
      <c r="C693">
        <v>2025</v>
      </c>
      <c r="E693">
        <f>-(IF(VLOOKUP(B693,'2023 Z Scores'!$A$1:$K$309,11,FALSE)&gt;2,VLOOKUP(B693,'2023 Z Scores'!$A$1:$K$309,10,FALSE)/VLOOKUP(B693,'2023 Z Scores'!$A$1:$K$309,11,FALSE),"Not Enough data"))</f>
        <v>-0.33227501728960601</v>
      </c>
      <c r="F693">
        <f>IF(VLOOKUP(A693,'Delta Z Scores'!$A$1:$N$1541,14,FALSE)&gt;2,VLOOKUP(A693,'Delta Z Scores'!$A$1:$N$1541,13,FALSE)/VLOOKUP(A693,'Delta Z Scores'!$A$1:$N$1541,14,FALSE),"Not Enough Data")</f>
        <v>-0.29550457031821126</v>
      </c>
      <c r="G693">
        <f>IF(VLOOKUP(A693,'Forecast Z Scores'!$A$1:$N$1541,14,FALSE)&gt;2,VLOOKUP(A693,'Forecast Z Scores'!$A$1:$N$1541,13,FALSE)/VLOOKUP(A693,'Forecast Z Scores'!$A$1:$N$1541,14,FALSE),"Not Enough Data")</f>
        <v>0.23649426418927727</v>
      </c>
      <c r="H693">
        <v>-0.17169747343418781</v>
      </c>
    </row>
    <row r="694" spans="1:8" x14ac:dyDescent="0.35">
      <c r="A694" t="str">
        <f t="shared" si="10"/>
        <v>18097354400_2026</v>
      </c>
      <c r="B694">
        <v>18097354400</v>
      </c>
      <c r="C694">
        <v>2026</v>
      </c>
      <c r="E694">
        <f>-(IF(VLOOKUP(B694,'2023 Z Scores'!$A$1:$K$309,11,FALSE)&gt;2,VLOOKUP(B694,'2023 Z Scores'!$A$1:$K$309,10,FALSE)/VLOOKUP(B694,'2023 Z Scores'!$A$1:$K$309,11,FALSE),"Not Enough data"))</f>
        <v>-0.33227501728960601</v>
      </c>
      <c r="F694">
        <f>IF(VLOOKUP(A694,'Delta Z Scores'!$A$1:$N$1541,14,FALSE)&gt;2,VLOOKUP(A694,'Delta Z Scores'!$A$1:$N$1541,13,FALSE)/VLOOKUP(A694,'Delta Z Scores'!$A$1:$N$1541,14,FALSE),"Not Enough Data")</f>
        <v>-0.23579620292956674</v>
      </c>
      <c r="G694">
        <f>IF(VLOOKUP(A694,'Forecast Z Scores'!$A$1:$N$1541,14,FALSE)&gt;2,VLOOKUP(A694,'Forecast Z Scores'!$A$1:$N$1541,13,FALSE)/VLOOKUP(A694,'Forecast Z Scores'!$A$1:$N$1541,14,FALSE),"Not Enough Data")</f>
        <v>0.25863199602271131</v>
      </c>
      <c r="H694">
        <v>-0.13630885678150706</v>
      </c>
    </row>
    <row r="695" spans="1:8" x14ac:dyDescent="0.35">
      <c r="A695" t="str">
        <f t="shared" si="10"/>
        <v>18097354400_2027</v>
      </c>
      <c r="B695">
        <v>18097354400</v>
      </c>
      <c r="C695">
        <v>2027</v>
      </c>
      <c r="E695">
        <f>-(IF(VLOOKUP(B695,'2023 Z Scores'!$A$1:$K$309,11,FALSE)&gt;2,VLOOKUP(B695,'2023 Z Scores'!$A$1:$K$309,10,FALSE)/VLOOKUP(B695,'2023 Z Scores'!$A$1:$K$309,11,FALSE),"Not Enough data"))</f>
        <v>-0.33227501728960601</v>
      </c>
      <c r="F695">
        <f>IF(VLOOKUP(A695,'Delta Z Scores'!$A$1:$N$1541,14,FALSE)&gt;2,VLOOKUP(A695,'Delta Z Scores'!$A$1:$N$1541,13,FALSE)/VLOOKUP(A695,'Delta Z Scores'!$A$1:$N$1541,14,FALSE),"Not Enough Data")</f>
        <v>-0.26003431542036931</v>
      </c>
      <c r="G695">
        <f>IF(VLOOKUP(A695,'Forecast Z Scores'!$A$1:$N$1541,14,FALSE)&gt;2,VLOOKUP(A695,'Forecast Z Scores'!$A$1:$N$1541,13,FALSE)/VLOOKUP(A695,'Forecast Z Scores'!$A$1:$N$1541,14,FALSE),"Not Enough Data")</f>
        <v>0.27623577662945459</v>
      </c>
      <c r="H695">
        <v>-0.14402696787522251</v>
      </c>
    </row>
    <row r="696" spans="1:8" x14ac:dyDescent="0.35">
      <c r="A696" t="str">
        <f t="shared" si="10"/>
        <v>18097354400_2028</v>
      </c>
      <c r="B696">
        <v>18097354400</v>
      </c>
      <c r="C696">
        <v>2028</v>
      </c>
      <c r="E696">
        <f>-(IF(VLOOKUP(B696,'2023 Z Scores'!$A$1:$K$309,11,FALSE)&gt;2,VLOOKUP(B696,'2023 Z Scores'!$A$1:$K$309,10,FALSE)/VLOOKUP(B696,'2023 Z Scores'!$A$1:$K$309,11,FALSE),"Not Enough data"))</f>
        <v>-0.33227501728960601</v>
      </c>
      <c r="F696">
        <f>IF(VLOOKUP(A696,'Delta Z Scores'!$A$1:$N$1541,14,FALSE)&gt;2,VLOOKUP(A696,'Delta Z Scores'!$A$1:$N$1541,13,FALSE)/VLOOKUP(A696,'Delta Z Scores'!$A$1:$N$1541,14,FALSE),"Not Enough Data")</f>
        <v>-0.28970557056542517</v>
      </c>
      <c r="G696">
        <f>IF(VLOOKUP(A696,'Forecast Z Scores'!$A$1:$N$1541,14,FALSE)&gt;2,VLOOKUP(A696,'Forecast Z Scores'!$A$1:$N$1541,13,FALSE)/VLOOKUP(A696,'Forecast Z Scores'!$A$1:$N$1541,14,FALSE),"Not Enough Data")</f>
        <v>0.30071452102708535</v>
      </c>
      <c r="H696">
        <v>-0.15274290934834275</v>
      </c>
    </row>
    <row r="697" spans="1:8" x14ac:dyDescent="0.35">
      <c r="A697" t="str">
        <f t="shared" si="10"/>
        <v>18097354500_2024</v>
      </c>
      <c r="B697">
        <v>18097354500</v>
      </c>
      <c r="C697">
        <v>2024</v>
      </c>
      <c r="E697">
        <f>-(IF(VLOOKUP(B697,'2023 Z Scores'!$A$1:$K$309,11,FALSE)&gt;2,VLOOKUP(B697,'2023 Z Scores'!$A$1:$K$309,10,FALSE)/VLOOKUP(B697,'2023 Z Scores'!$A$1:$K$309,11,FALSE),"Not Enough data"))</f>
        <v>0.43057243046582638</v>
      </c>
      <c r="F697">
        <f>IF(VLOOKUP(A697,'Delta Z Scores'!$A$1:$N$1541,14,FALSE)&gt;2,VLOOKUP(A697,'Delta Z Scores'!$A$1:$N$1541,13,FALSE)/VLOOKUP(A697,'Delta Z Scores'!$A$1:$N$1541,14,FALSE),"Not Enough Data")</f>
        <v>-0.25601421508850564</v>
      </c>
      <c r="G697">
        <f>IF(VLOOKUP(A697,'Forecast Z Scores'!$A$1:$N$1541,14,FALSE)&gt;2,VLOOKUP(A697,'Forecast Z Scores'!$A$1:$N$1541,13,FALSE)/VLOOKUP(A697,'Forecast Z Scores'!$A$1:$N$1541,14,FALSE),"Not Enough Data")</f>
        <v>-0.21878987619108664</v>
      </c>
      <c r="H697">
        <v>-7.5061468975567897E-2</v>
      </c>
    </row>
    <row r="698" spans="1:8" x14ac:dyDescent="0.35">
      <c r="A698" t="str">
        <f t="shared" si="10"/>
        <v>18097354500_2025</v>
      </c>
      <c r="B698">
        <v>18097354500</v>
      </c>
      <c r="C698">
        <v>2025</v>
      </c>
      <c r="E698">
        <f>-(IF(VLOOKUP(B698,'2023 Z Scores'!$A$1:$K$309,11,FALSE)&gt;2,VLOOKUP(B698,'2023 Z Scores'!$A$1:$K$309,10,FALSE)/VLOOKUP(B698,'2023 Z Scores'!$A$1:$K$309,11,FALSE),"Not Enough data"))</f>
        <v>0.43057243046582638</v>
      </c>
      <c r="F698">
        <f>IF(VLOOKUP(A698,'Delta Z Scores'!$A$1:$N$1541,14,FALSE)&gt;2,VLOOKUP(A698,'Delta Z Scores'!$A$1:$N$1541,13,FALSE)/VLOOKUP(A698,'Delta Z Scores'!$A$1:$N$1541,14,FALSE),"Not Enough Data")</f>
        <v>-9.0746201826714057E-2</v>
      </c>
      <c r="G698">
        <f>IF(VLOOKUP(A698,'Forecast Z Scores'!$A$1:$N$1541,14,FALSE)&gt;2,VLOOKUP(A698,'Forecast Z Scores'!$A$1:$N$1541,13,FALSE)/VLOOKUP(A698,'Forecast Z Scores'!$A$1:$N$1541,14,FALSE),"Not Enough Data")</f>
        <v>-0.24313585617029532</v>
      </c>
      <c r="H698">
        <v>1.4860426605257382E-3</v>
      </c>
    </row>
    <row r="699" spans="1:8" x14ac:dyDescent="0.35">
      <c r="A699" t="str">
        <f t="shared" si="10"/>
        <v>18097354500_2026</v>
      </c>
      <c r="B699">
        <v>18097354500</v>
      </c>
      <c r="C699">
        <v>2026</v>
      </c>
      <c r="E699">
        <f>-(IF(VLOOKUP(B699,'2023 Z Scores'!$A$1:$K$309,11,FALSE)&gt;2,VLOOKUP(B699,'2023 Z Scores'!$A$1:$K$309,10,FALSE)/VLOOKUP(B699,'2023 Z Scores'!$A$1:$K$309,11,FALSE),"Not Enough data"))</f>
        <v>0.43057243046582638</v>
      </c>
      <c r="F699">
        <f>IF(VLOOKUP(A699,'Delta Z Scores'!$A$1:$N$1541,14,FALSE)&gt;2,VLOOKUP(A699,'Delta Z Scores'!$A$1:$N$1541,13,FALSE)/VLOOKUP(A699,'Delta Z Scores'!$A$1:$N$1541,14,FALSE),"Not Enough Data")</f>
        <v>6.5383337329614877E-2</v>
      </c>
      <c r="G699">
        <f>IF(VLOOKUP(A699,'Forecast Z Scores'!$A$1:$N$1541,14,FALSE)&gt;2,VLOOKUP(A699,'Forecast Z Scores'!$A$1:$N$1541,13,FALSE)/VLOOKUP(A699,'Forecast Z Scores'!$A$1:$N$1541,14,FALSE),"Not Enough Data")</f>
        <v>-0.24355868945587233</v>
      </c>
      <c r="H699">
        <v>7.9445103917295951E-2</v>
      </c>
    </row>
    <row r="700" spans="1:8" x14ac:dyDescent="0.35">
      <c r="A700" t="str">
        <f t="shared" si="10"/>
        <v>18097354500_2027</v>
      </c>
      <c r="B700">
        <v>18097354500</v>
      </c>
      <c r="C700">
        <v>2027</v>
      </c>
      <c r="E700">
        <f>-(IF(VLOOKUP(B700,'2023 Z Scores'!$A$1:$K$309,11,FALSE)&gt;2,VLOOKUP(B700,'2023 Z Scores'!$A$1:$K$309,10,FALSE)/VLOOKUP(B700,'2023 Z Scores'!$A$1:$K$309,11,FALSE),"Not Enough data"))</f>
        <v>0.43057243046582638</v>
      </c>
      <c r="F700">
        <f>IF(VLOOKUP(A700,'Delta Z Scores'!$A$1:$N$1541,14,FALSE)&gt;2,VLOOKUP(A700,'Delta Z Scores'!$A$1:$N$1541,13,FALSE)/VLOOKUP(A700,'Delta Z Scores'!$A$1:$N$1541,14,FALSE),"Not Enough Data")</f>
        <v>-4.4518512716773588E-2</v>
      </c>
      <c r="G700">
        <f>IF(VLOOKUP(A700,'Forecast Z Scores'!$A$1:$N$1541,14,FALSE)&gt;2,VLOOKUP(A700,'Forecast Z Scores'!$A$1:$N$1541,13,FALSE)/VLOOKUP(A700,'Forecast Z Scores'!$A$1:$N$1541,14,FALSE),"Not Enough Data")</f>
        <v>-0.25647656466554763</v>
      </c>
      <c r="H700">
        <v>2.126471009168289E-2</v>
      </c>
    </row>
    <row r="701" spans="1:8" x14ac:dyDescent="0.35">
      <c r="A701" t="str">
        <f t="shared" si="10"/>
        <v>18097354500_2028</v>
      </c>
      <c r="B701">
        <v>18097354500</v>
      </c>
      <c r="C701">
        <v>2028</v>
      </c>
      <c r="E701">
        <f>-(IF(VLOOKUP(B701,'2023 Z Scores'!$A$1:$K$309,11,FALSE)&gt;2,VLOOKUP(B701,'2023 Z Scores'!$A$1:$K$309,10,FALSE)/VLOOKUP(B701,'2023 Z Scores'!$A$1:$K$309,11,FALSE),"Not Enough data"))</f>
        <v>0.43057243046582638</v>
      </c>
      <c r="F701">
        <f>IF(VLOOKUP(A701,'Delta Z Scores'!$A$1:$N$1541,14,FALSE)&gt;2,VLOOKUP(A701,'Delta Z Scores'!$A$1:$N$1541,13,FALSE)/VLOOKUP(A701,'Delta Z Scores'!$A$1:$N$1541,14,FALSE),"Not Enough Data")</f>
        <v>6.6033125444824356E-2</v>
      </c>
      <c r="G701">
        <f>IF(VLOOKUP(A701,'Forecast Z Scores'!$A$1:$N$1541,14,FALSE)&gt;2,VLOOKUP(A701,'Forecast Z Scores'!$A$1:$N$1541,13,FALSE)/VLOOKUP(A701,'Forecast Z Scores'!$A$1:$N$1541,14,FALSE),"Not Enough Data")</f>
        <v>-0.25191410993242169</v>
      </c>
      <c r="H701">
        <v>7.7681142855763358E-2</v>
      </c>
    </row>
    <row r="702" spans="1:8" x14ac:dyDescent="0.35">
      <c r="A702" t="str">
        <f t="shared" si="10"/>
        <v>18097354700_2024</v>
      </c>
      <c r="B702">
        <v>18097354700</v>
      </c>
      <c r="C702">
        <v>2024</v>
      </c>
      <c r="E702">
        <f>-(IF(VLOOKUP(B702,'2023 Z Scores'!$A$1:$K$309,11,FALSE)&gt;2,VLOOKUP(B702,'2023 Z Scores'!$A$1:$K$309,10,FALSE)/VLOOKUP(B702,'2023 Z Scores'!$A$1:$K$309,11,FALSE),"Not Enough data"))</f>
        <v>0.8503493680068136</v>
      </c>
      <c r="F702">
        <f>IF(VLOOKUP(A702,'Delta Z Scores'!$A$1:$N$1541,14,FALSE)&gt;2,VLOOKUP(A702,'Delta Z Scores'!$A$1:$N$1541,13,FALSE)/VLOOKUP(A702,'Delta Z Scores'!$A$1:$N$1541,14,FALSE),"Not Enough Data")</f>
        <v>1.0337213534699023</v>
      </c>
      <c r="G702">
        <f>IF(VLOOKUP(A702,'Forecast Z Scores'!$A$1:$N$1541,14,FALSE)&gt;2,VLOOKUP(A702,'Forecast Z Scores'!$A$1:$N$1541,13,FALSE)/VLOOKUP(A702,'Forecast Z Scores'!$A$1:$N$1541,14,FALSE),"Not Enough Data")</f>
        <v>-0.47583334291270396</v>
      </c>
      <c r="H702">
        <v>0.61048968300847861</v>
      </c>
    </row>
    <row r="703" spans="1:8" x14ac:dyDescent="0.35">
      <c r="A703" t="str">
        <f t="shared" si="10"/>
        <v>18097354700_2025</v>
      </c>
      <c r="B703">
        <v>18097354700</v>
      </c>
      <c r="C703">
        <v>2025</v>
      </c>
      <c r="E703">
        <f>-(IF(VLOOKUP(B703,'2023 Z Scores'!$A$1:$K$309,11,FALSE)&gt;2,VLOOKUP(B703,'2023 Z Scores'!$A$1:$K$309,10,FALSE)/VLOOKUP(B703,'2023 Z Scores'!$A$1:$K$309,11,FALSE),"Not Enough data"))</f>
        <v>0.8503493680068136</v>
      </c>
      <c r="F703">
        <f>IF(VLOOKUP(A703,'Delta Z Scores'!$A$1:$N$1541,14,FALSE)&gt;2,VLOOKUP(A703,'Delta Z Scores'!$A$1:$N$1541,13,FALSE)/VLOOKUP(A703,'Delta Z Scores'!$A$1:$N$1541,14,FALSE),"Not Enough Data")</f>
        <v>0.14939715493617661</v>
      </c>
      <c r="G703">
        <f>IF(VLOOKUP(A703,'Forecast Z Scores'!$A$1:$N$1541,14,FALSE)&gt;2,VLOOKUP(A703,'Forecast Z Scores'!$A$1:$N$1541,13,FALSE)/VLOOKUP(A703,'Forecast Z Scores'!$A$1:$N$1541,14,FALSE),"Not Enough Data")</f>
        <v>-0.45366889650481124</v>
      </c>
      <c r="H703">
        <v>0.1738686953435889</v>
      </c>
    </row>
    <row r="704" spans="1:8" x14ac:dyDescent="0.35">
      <c r="A704" t="str">
        <f t="shared" si="10"/>
        <v>18097354700_2026</v>
      </c>
      <c r="B704">
        <v>18097354700</v>
      </c>
      <c r="C704">
        <v>2026</v>
      </c>
      <c r="E704">
        <f>-(IF(VLOOKUP(B704,'2023 Z Scores'!$A$1:$K$309,11,FALSE)&gt;2,VLOOKUP(B704,'2023 Z Scores'!$A$1:$K$309,10,FALSE)/VLOOKUP(B704,'2023 Z Scores'!$A$1:$K$309,11,FALSE),"Not Enough data"))</f>
        <v>0.8503493680068136</v>
      </c>
      <c r="F704">
        <f>IF(VLOOKUP(A704,'Delta Z Scores'!$A$1:$N$1541,14,FALSE)&gt;2,VLOOKUP(A704,'Delta Z Scores'!$A$1:$N$1541,13,FALSE)/VLOOKUP(A704,'Delta Z Scores'!$A$1:$N$1541,14,FALSE),"Not Enough Data")</f>
        <v>0.29917663660112731</v>
      </c>
      <c r="G704">
        <f>IF(VLOOKUP(A704,'Forecast Z Scores'!$A$1:$N$1541,14,FALSE)&gt;2,VLOOKUP(A704,'Forecast Z Scores'!$A$1:$N$1541,13,FALSE)/VLOOKUP(A704,'Forecast Z Scores'!$A$1:$N$1541,14,FALSE),"Not Enough Data")</f>
        <v>-0.40614142383392715</v>
      </c>
      <c r="H704">
        <v>0.26064030434378527</v>
      </c>
    </row>
    <row r="705" spans="1:8" x14ac:dyDescent="0.35">
      <c r="A705" t="str">
        <f t="shared" si="10"/>
        <v>18097354700_2027</v>
      </c>
      <c r="B705">
        <v>18097354700</v>
      </c>
      <c r="C705">
        <v>2027</v>
      </c>
      <c r="E705">
        <f>-(IF(VLOOKUP(B705,'2023 Z Scores'!$A$1:$K$309,11,FALSE)&gt;2,VLOOKUP(B705,'2023 Z Scores'!$A$1:$K$309,10,FALSE)/VLOOKUP(B705,'2023 Z Scores'!$A$1:$K$309,11,FALSE),"Not Enough data"))</f>
        <v>0.8503493680068136</v>
      </c>
      <c r="F705">
        <f>IF(VLOOKUP(A705,'Delta Z Scores'!$A$1:$N$1541,14,FALSE)&gt;2,VLOOKUP(A705,'Delta Z Scores'!$A$1:$N$1541,13,FALSE)/VLOOKUP(A705,'Delta Z Scores'!$A$1:$N$1541,14,FALSE),"Not Enough Data")</f>
        <v>0.18069624422396216</v>
      </c>
      <c r="G705">
        <f>IF(VLOOKUP(A705,'Forecast Z Scores'!$A$1:$N$1541,14,FALSE)&gt;2,VLOOKUP(A705,'Forecast Z Scores'!$A$1:$N$1541,13,FALSE)/VLOOKUP(A705,'Forecast Z Scores'!$A$1:$N$1541,14,FALSE),"Not Enough Data")</f>
        <v>-0.37063512078235872</v>
      </c>
      <c r="H705">
        <v>0.21027668391809479</v>
      </c>
    </row>
    <row r="706" spans="1:8" x14ac:dyDescent="0.35">
      <c r="A706" t="str">
        <f t="shared" si="10"/>
        <v>18097354700_2028</v>
      </c>
      <c r="B706">
        <v>18097354700</v>
      </c>
      <c r="C706">
        <v>2028</v>
      </c>
      <c r="E706">
        <f>-(IF(VLOOKUP(B706,'2023 Z Scores'!$A$1:$K$309,11,FALSE)&gt;2,VLOOKUP(B706,'2023 Z Scores'!$A$1:$K$309,10,FALSE)/VLOOKUP(B706,'2023 Z Scores'!$A$1:$K$309,11,FALSE),"Not Enough data"))</f>
        <v>0.8503493680068136</v>
      </c>
      <c r="F706">
        <f>IF(VLOOKUP(A706,'Delta Z Scores'!$A$1:$N$1541,14,FALSE)&gt;2,VLOOKUP(A706,'Delta Z Scores'!$A$1:$N$1541,13,FALSE)/VLOOKUP(A706,'Delta Z Scores'!$A$1:$N$1541,14,FALSE),"Not Enough Data")</f>
        <v>0.25031206488012242</v>
      </c>
      <c r="G706">
        <f>IF(VLOOKUP(A706,'Forecast Z Scores'!$A$1:$N$1541,14,FALSE)&gt;2,VLOOKUP(A706,'Forecast Z Scores'!$A$1:$N$1541,13,FALSE)/VLOOKUP(A706,'Forecast Z Scores'!$A$1:$N$1541,14,FALSE),"Not Enough Data")</f>
        <v>-0.32314998490161795</v>
      </c>
      <c r="H706">
        <v>0.25695587821636012</v>
      </c>
    </row>
    <row r="707" spans="1:8" x14ac:dyDescent="0.35">
      <c r="A707" t="str">
        <f t="shared" ref="A707:A770" si="11">TEXT(B707,0)&amp;"_"&amp;TEXT(C707,0)</f>
        <v>18097354800_2024</v>
      </c>
      <c r="B707">
        <v>18097354800</v>
      </c>
      <c r="C707">
        <v>2024</v>
      </c>
      <c r="E707">
        <f>-(IF(VLOOKUP(B707,'2023 Z Scores'!$A$1:$K$309,11,FALSE)&gt;2,VLOOKUP(B707,'2023 Z Scores'!$A$1:$K$309,10,FALSE)/VLOOKUP(B707,'2023 Z Scores'!$A$1:$K$309,11,FALSE),"Not Enough data"))</f>
        <v>0.71600054995775098</v>
      </c>
      <c r="F707">
        <f>IF(VLOOKUP(A707,'Delta Z Scores'!$A$1:$N$1541,14,FALSE)&gt;2,VLOOKUP(A707,'Delta Z Scores'!$A$1:$N$1541,13,FALSE)/VLOOKUP(A707,'Delta Z Scores'!$A$1:$N$1541,14,FALSE),"Not Enough Data")</f>
        <v>-4.1885712524626695E-2</v>
      </c>
      <c r="G707">
        <f>IF(VLOOKUP(A707,'Forecast Z Scores'!$A$1:$N$1541,14,FALSE)&gt;2,VLOOKUP(A707,'Forecast Z Scores'!$A$1:$N$1541,13,FALSE)/VLOOKUP(A707,'Forecast Z Scores'!$A$1:$N$1541,14,FALSE),"Not Enough Data")</f>
        <v>-0.60089084963983785</v>
      </c>
      <c r="H707">
        <v>7.834568817164933E-3</v>
      </c>
    </row>
    <row r="708" spans="1:8" x14ac:dyDescent="0.35">
      <c r="A708" t="str">
        <f t="shared" si="11"/>
        <v>18097354800_2025</v>
      </c>
      <c r="B708">
        <v>18097354800</v>
      </c>
      <c r="C708">
        <v>2025</v>
      </c>
      <c r="E708">
        <f>-(IF(VLOOKUP(B708,'2023 Z Scores'!$A$1:$K$309,11,FALSE)&gt;2,VLOOKUP(B708,'2023 Z Scores'!$A$1:$K$309,10,FALSE)/VLOOKUP(B708,'2023 Z Scores'!$A$1:$K$309,11,FALSE),"Not Enough data"))</f>
        <v>0.71600054995775098</v>
      </c>
      <c r="F708">
        <f>IF(VLOOKUP(A708,'Delta Z Scores'!$A$1:$N$1541,14,FALSE)&gt;2,VLOOKUP(A708,'Delta Z Scores'!$A$1:$N$1541,13,FALSE)/VLOOKUP(A708,'Delta Z Scores'!$A$1:$N$1541,14,FALSE),"Not Enough Data")</f>
        <v>0.27203853582866905</v>
      </c>
      <c r="G708">
        <f>IF(VLOOKUP(A708,'Forecast Z Scores'!$A$1:$N$1541,14,FALSE)&gt;2,VLOOKUP(A708,'Forecast Z Scores'!$A$1:$N$1541,13,FALSE)/VLOOKUP(A708,'Forecast Z Scores'!$A$1:$N$1541,14,FALSE),"Not Enough Data")</f>
        <v>-0.56069229358709116</v>
      </c>
      <c r="H708">
        <v>0.17484633200699948</v>
      </c>
    </row>
    <row r="709" spans="1:8" x14ac:dyDescent="0.35">
      <c r="A709" t="str">
        <f t="shared" si="11"/>
        <v>18097354800_2026</v>
      </c>
      <c r="B709">
        <v>18097354800</v>
      </c>
      <c r="C709">
        <v>2026</v>
      </c>
      <c r="E709">
        <f>-(IF(VLOOKUP(B709,'2023 Z Scores'!$A$1:$K$309,11,FALSE)&gt;2,VLOOKUP(B709,'2023 Z Scores'!$A$1:$K$309,10,FALSE)/VLOOKUP(B709,'2023 Z Scores'!$A$1:$K$309,11,FALSE),"Not Enough data"))</f>
        <v>0.71600054995775098</v>
      </c>
      <c r="F709">
        <f>IF(VLOOKUP(A709,'Delta Z Scores'!$A$1:$N$1541,14,FALSE)&gt;2,VLOOKUP(A709,'Delta Z Scores'!$A$1:$N$1541,13,FALSE)/VLOOKUP(A709,'Delta Z Scores'!$A$1:$N$1541,14,FALSE),"Not Enough Data")</f>
        <v>0.3330011892983637</v>
      </c>
      <c r="G709">
        <f>IF(VLOOKUP(A709,'Forecast Z Scores'!$A$1:$N$1541,14,FALSE)&gt;2,VLOOKUP(A709,'Forecast Z Scores'!$A$1:$N$1541,13,FALSE)/VLOOKUP(A709,'Forecast Z Scores'!$A$1:$N$1541,14,FALSE),"Not Enough Data")</f>
        <v>-0.50507375436193347</v>
      </c>
      <c r="H709">
        <v>0.21923229354813623</v>
      </c>
    </row>
    <row r="710" spans="1:8" x14ac:dyDescent="0.35">
      <c r="A710" t="str">
        <f t="shared" si="11"/>
        <v>18097354800_2027</v>
      </c>
      <c r="B710">
        <v>18097354800</v>
      </c>
      <c r="C710">
        <v>2027</v>
      </c>
      <c r="E710">
        <f>-(IF(VLOOKUP(B710,'2023 Z Scores'!$A$1:$K$309,11,FALSE)&gt;2,VLOOKUP(B710,'2023 Z Scores'!$A$1:$K$309,10,FALSE)/VLOOKUP(B710,'2023 Z Scores'!$A$1:$K$309,11,FALSE),"Not Enough data"))</f>
        <v>0.71600054995775098</v>
      </c>
      <c r="F710">
        <f>IF(VLOOKUP(A710,'Delta Z Scores'!$A$1:$N$1541,14,FALSE)&gt;2,VLOOKUP(A710,'Delta Z Scores'!$A$1:$N$1541,13,FALSE)/VLOOKUP(A710,'Delta Z Scores'!$A$1:$N$1541,14,FALSE),"Not Enough Data")</f>
        <v>0.30736676116630357</v>
      </c>
      <c r="G710">
        <f>IF(VLOOKUP(A710,'Forecast Z Scores'!$A$1:$N$1541,14,FALSE)&gt;2,VLOOKUP(A710,'Forecast Z Scores'!$A$1:$N$1541,13,FALSE)/VLOOKUP(A710,'Forecast Z Scores'!$A$1:$N$1541,14,FALSE),"Not Enough Data")</f>
        <v>-0.44958335417919482</v>
      </c>
      <c r="H710">
        <v>0.22028767952779083</v>
      </c>
    </row>
    <row r="711" spans="1:8" x14ac:dyDescent="0.35">
      <c r="A711" t="str">
        <f t="shared" si="11"/>
        <v>18097354800_2028</v>
      </c>
      <c r="B711">
        <v>18097354800</v>
      </c>
      <c r="C711">
        <v>2028</v>
      </c>
      <c r="E711">
        <f>-(IF(VLOOKUP(B711,'2023 Z Scores'!$A$1:$K$309,11,FALSE)&gt;2,VLOOKUP(B711,'2023 Z Scores'!$A$1:$K$309,10,FALSE)/VLOOKUP(B711,'2023 Z Scores'!$A$1:$K$309,11,FALSE),"Not Enough data"))</f>
        <v>0.71600054995775098</v>
      </c>
      <c r="F711">
        <f>IF(VLOOKUP(A711,'Delta Z Scores'!$A$1:$N$1541,14,FALSE)&gt;2,VLOOKUP(A711,'Delta Z Scores'!$A$1:$N$1541,13,FALSE)/VLOOKUP(A711,'Delta Z Scores'!$A$1:$N$1541,14,FALSE),"Not Enough Data")</f>
        <v>0.34975838348080485</v>
      </c>
      <c r="G711">
        <f>IF(VLOOKUP(A711,'Forecast Z Scores'!$A$1:$N$1541,14,FALSE)&gt;2,VLOOKUP(A711,'Forecast Z Scores'!$A$1:$N$1541,13,FALSE)/VLOOKUP(A711,'Forecast Z Scores'!$A$1:$N$1541,14,FALSE),"Not Enough Data")</f>
        <v>-0.3852878150944381</v>
      </c>
      <c r="H711">
        <v>0.25755737545623064</v>
      </c>
    </row>
    <row r="712" spans="1:8" x14ac:dyDescent="0.35">
      <c r="A712" t="str">
        <f t="shared" si="11"/>
        <v>18097354900_2024</v>
      </c>
      <c r="B712">
        <v>18097354900</v>
      </c>
      <c r="C712">
        <v>2024</v>
      </c>
      <c r="E712">
        <f>-(IF(VLOOKUP(B712,'2023 Z Scores'!$A$1:$K$309,11,FALSE)&gt;2,VLOOKUP(B712,'2023 Z Scores'!$A$1:$K$309,10,FALSE)/VLOOKUP(B712,'2023 Z Scores'!$A$1:$K$309,11,FALSE),"Not Enough data"))</f>
        <v>0.68547614504273757</v>
      </c>
      <c r="F712">
        <f>IF(VLOOKUP(A712,'Delta Z Scores'!$A$1:$N$1541,14,FALSE)&gt;2,VLOOKUP(A712,'Delta Z Scores'!$A$1:$N$1541,13,FALSE)/VLOOKUP(A712,'Delta Z Scores'!$A$1:$N$1541,14,FALSE),"Not Enough Data")</f>
        <v>0.20766311361413101</v>
      </c>
      <c r="G712">
        <f>IF(VLOOKUP(A712,'Forecast Z Scores'!$A$1:$N$1541,14,FALSE)&gt;2,VLOOKUP(A712,'Forecast Z Scores'!$A$1:$N$1541,13,FALSE)/VLOOKUP(A712,'Forecast Z Scores'!$A$1:$N$1541,14,FALSE),"Not Enough Data")</f>
        <v>-0.29068101632171522</v>
      </c>
      <c r="H712">
        <v>0.20253033898732109</v>
      </c>
    </row>
    <row r="713" spans="1:8" x14ac:dyDescent="0.35">
      <c r="A713" t="str">
        <f t="shared" si="11"/>
        <v>18097354900_2025</v>
      </c>
      <c r="B713">
        <v>18097354900</v>
      </c>
      <c r="C713">
        <v>2025</v>
      </c>
      <c r="E713">
        <f>-(IF(VLOOKUP(B713,'2023 Z Scores'!$A$1:$K$309,11,FALSE)&gt;2,VLOOKUP(B713,'2023 Z Scores'!$A$1:$K$309,10,FALSE)/VLOOKUP(B713,'2023 Z Scores'!$A$1:$K$309,11,FALSE),"Not Enough data"))</f>
        <v>0.68547614504273757</v>
      </c>
      <c r="F713">
        <f>IF(VLOOKUP(A713,'Delta Z Scores'!$A$1:$N$1541,14,FALSE)&gt;2,VLOOKUP(A713,'Delta Z Scores'!$A$1:$N$1541,13,FALSE)/VLOOKUP(A713,'Delta Z Scores'!$A$1:$N$1541,14,FALSE),"Not Enough Data")</f>
        <v>0.23377991615093341</v>
      </c>
      <c r="G713">
        <f>IF(VLOOKUP(A713,'Forecast Z Scores'!$A$1:$N$1541,14,FALSE)&gt;2,VLOOKUP(A713,'Forecast Z Scores'!$A$1:$N$1541,13,FALSE)/VLOOKUP(A713,'Forecast Z Scores'!$A$1:$N$1541,14,FALSE),"Not Enough Data")</f>
        <v>-0.29593032415209303</v>
      </c>
      <c r="H713">
        <v>0.21427641329812785</v>
      </c>
    </row>
    <row r="714" spans="1:8" x14ac:dyDescent="0.35">
      <c r="A714" t="str">
        <f t="shared" si="11"/>
        <v>18097354900_2026</v>
      </c>
      <c r="B714">
        <v>18097354900</v>
      </c>
      <c r="C714">
        <v>2026</v>
      </c>
      <c r="E714">
        <f>-(IF(VLOOKUP(B714,'2023 Z Scores'!$A$1:$K$309,11,FALSE)&gt;2,VLOOKUP(B714,'2023 Z Scores'!$A$1:$K$309,10,FALSE)/VLOOKUP(B714,'2023 Z Scores'!$A$1:$K$309,11,FALSE),"Not Enough data"))</f>
        <v>0.68547614504273757</v>
      </c>
      <c r="F714">
        <f>IF(VLOOKUP(A714,'Delta Z Scores'!$A$1:$N$1541,14,FALSE)&gt;2,VLOOKUP(A714,'Delta Z Scores'!$A$1:$N$1541,13,FALSE)/VLOOKUP(A714,'Delta Z Scores'!$A$1:$N$1541,14,FALSE),"Not Enough Data")</f>
        <v>0.41606506599744714</v>
      </c>
      <c r="G714">
        <f>IF(VLOOKUP(A714,'Forecast Z Scores'!$A$1:$N$1541,14,FALSE)&gt;2,VLOOKUP(A714,'Forecast Z Scores'!$A$1:$N$1541,13,FALSE)/VLOOKUP(A714,'Forecast Z Scores'!$A$1:$N$1541,14,FALSE),"Not Enough Data")</f>
        <v>-0.27862548717651436</v>
      </c>
      <c r="H714">
        <v>0.3097451974652794</v>
      </c>
    </row>
    <row r="715" spans="1:8" x14ac:dyDescent="0.35">
      <c r="A715" t="str">
        <f t="shared" si="11"/>
        <v>18097354900_2027</v>
      </c>
      <c r="B715">
        <v>18097354900</v>
      </c>
      <c r="C715">
        <v>2027</v>
      </c>
      <c r="E715">
        <f>-(IF(VLOOKUP(B715,'2023 Z Scores'!$A$1:$K$309,11,FALSE)&gt;2,VLOOKUP(B715,'2023 Z Scores'!$A$1:$K$309,10,FALSE)/VLOOKUP(B715,'2023 Z Scores'!$A$1:$K$309,11,FALSE),"Not Enough data"))</f>
        <v>0.68547614504273757</v>
      </c>
      <c r="F715">
        <f>IF(VLOOKUP(A715,'Delta Z Scores'!$A$1:$N$1541,14,FALSE)&gt;2,VLOOKUP(A715,'Delta Z Scores'!$A$1:$N$1541,13,FALSE)/VLOOKUP(A715,'Delta Z Scores'!$A$1:$N$1541,14,FALSE),"Not Enough Data")</f>
        <v>0.30182186673300554</v>
      </c>
      <c r="G715">
        <f>IF(VLOOKUP(A715,'Forecast Z Scores'!$A$1:$N$1541,14,FALSE)&gt;2,VLOOKUP(A715,'Forecast Z Scores'!$A$1:$N$1541,13,FALSE)/VLOOKUP(A715,'Forecast Z Scores'!$A$1:$N$1541,14,FALSE),"Not Enough Data")</f>
        <v>-0.28073137809438287</v>
      </c>
      <c r="H715">
        <v>0.25209712510359145</v>
      </c>
    </row>
    <row r="716" spans="1:8" x14ac:dyDescent="0.35">
      <c r="A716" t="str">
        <f t="shared" si="11"/>
        <v>18097354900_2028</v>
      </c>
      <c r="B716">
        <v>18097354900</v>
      </c>
      <c r="C716">
        <v>2028</v>
      </c>
      <c r="E716">
        <f>-(IF(VLOOKUP(B716,'2023 Z Scores'!$A$1:$K$309,11,FALSE)&gt;2,VLOOKUP(B716,'2023 Z Scores'!$A$1:$K$309,10,FALSE)/VLOOKUP(B716,'2023 Z Scores'!$A$1:$K$309,11,FALSE),"Not Enough data"))</f>
        <v>0.68547614504273757</v>
      </c>
      <c r="F716">
        <f>IF(VLOOKUP(A716,'Delta Z Scores'!$A$1:$N$1541,14,FALSE)&gt;2,VLOOKUP(A716,'Delta Z Scores'!$A$1:$N$1541,13,FALSE)/VLOOKUP(A716,'Delta Z Scores'!$A$1:$N$1541,14,FALSE),"Not Enough Data")</f>
        <v>0.42041984558487899</v>
      </c>
      <c r="G716">
        <f>IF(VLOOKUP(A716,'Forecast Z Scores'!$A$1:$N$1541,14,FALSE)&gt;2,VLOOKUP(A716,'Forecast Z Scores'!$A$1:$N$1541,13,FALSE)/VLOOKUP(A716,'Forecast Z Scores'!$A$1:$N$1541,14,FALSE),"Not Enough Data")</f>
        <v>-0.26641937973282159</v>
      </c>
      <c r="H716">
        <v>0.31497411411991849</v>
      </c>
    </row>
    <row r="717" spans="1:8" x14ac:dyDescent="0.35">
      <c r="A717" t="str">
        <f t="shared" si="11"/>
        <v>18097355000_2024</v>
      </c>
      <c r="B717">
        <v>18097355000</v>
      </c>
      <c r="C717">
        <v>2024</v>
      </c>
      <c r="E717">
        <f>-(IF(VLOOKUP(B717,'2023 Z Scores'!$A$1:$K$309,11,FALSE)&gt;2,VLOOKUP(B717,'2023 Z Scores'!$A$1:$K$309,10,FALSE)/VLOOKUP(B717,'2023 Z Scores'!$A$1:$K$309,11,FALSE),"Not Enough data"))</f>
        <v>1.001265098085133</v>
      </c>
      <c r="F717">
        <f>IF(VLOOKUP(A717,'Delta Z Scores'!$A$1:$N$1541,14,FALSE)&gt;2,VLOOKUP(A717,'Delta Z Scores'!$A$1:$N$1541,13,FALSE)/VLOOKUP(A717,'Delta Z Scores'!$A$1:$N$1541,14,FALSE),"Not Enough Data")</f>
        <v>-5.5395221958854254E-2</v>
      </c>
      <c r="G717">
        <f>IF(VLOOKUP(A717,'Forecast Z Scores'!$A$1:$N$1541,14,FALSE)&gt;2,VLOOKUP(A717,'Forecast Z Scores'!$A$1:$N$1541,13,FALSE)/VLOOKUP(A717,'Forecast Z Scores'!$A$1:$N$1541,14,FALSE),"Not Enough Data")</f>
        <v>-0.69927347061859491</v>
      </c>
      <c r="H717">
        <v>4.7800295887207384E-2</v>
      </c>
    </row>
    <row r="718" spans="1:8" x14ac:dyDescent="0.35">
      <c r="A718" t="str">
        <f t="shared" si="11"/>
        <v>18097355000_2025</v>
      </c>
      <c r="B718">
        <v>18097355000</v>
      </c>
      <c r="C718">
        <v>2025</v>
      </c>
      <c r="E718">
        <f>-(IF(VLOOKUP(B718,'2023 Z Scores'!$A$1:$K$309,11,FALSE)&gt;2,VLOOKUP(B718,'2023 Z Scores'!$A$1:$K$309,10,FALSE)/VLOOKUP(B718,'2023 Z Scores'!$A$1:$K$309,11,FALSE),"Not Enough data"))</f>
        <v>1.001265098085133</v>
      </c>
      <c r="F718">
        <f>IF(VLOOKUP(A718,'Delta Z Scores'!$A$1:$N$1541,14,FALSE)&gt;2,VLOOKUP(A718,'Delta Z Scores'!$A$1:$N$1541,13,FALSE)/VLOOKUP(A718,'Delta Z Scores'!$A$1:$N$1541,14,FALSE),"Not Enough Data")</f>
        <v>0.17424823006828277</v>
      </c>
      <c r="G718">
        <f>IF(VLOOKUP(A718,'Forecast Z Scores'!$A$1:$N$1541,14,FALSE)&gt;2,VLOOKUP(A718,'Forecast Z Scores'!$A$1:$N$1541,13,FALSE)/VLOOKUP(A718,'Forecast Z Scores'!$A$1:$N$1541,14,FALSE),"Not Enough Data")</f>
        <v>-0.68875669523955008</v>
      </c>
      <c r="H718">
        <v>0.16525121574553711</v>
      </c>
    </row>
    <row r="719" spans="1:8" x14ac:dyDescent="0.35">
      <c r="A719" t="str">
        <f t="shared" si="11"/>
        <v>18097355000_2026</v>
      </c>
      <c r="B719">
        <v>18097355000</v>
      </c>
      <c r="C719">
        <v>2026</v>
      </c>
      <c r="E719">
        <f>-(IF(VLOOKUP(B719,'2023 Z Scores'!$A$1:$K$309,11,FALSE)&gt;2,VLOOKUP(B719,'2023 Z Scores'!$A$1:$K$309,10,FALSE)/VLOOKUP(B719,'2023 Z Scores'!$A$1:$K$309,11,FALSE),"Not Enough data"))</f>
        <v>1.001265098085133</v>
      </c>
      <c r="F719">
        <f>IF(VLOOKUP(A719,'Delta Z Scores'!$A$1:$N$1541,14,FALSE)&gt;2,VLOOKUP(A719,'Delta Z Scores'!$A$1:$N$1541,13,FALSE)/VLOOKUP(A719,'Delta Z Scores'!$A$1:$N$1541,14,FALSE),"Not Enough Data")</f>
        <v>9.4041879222884935E-3</v>
      </c>
      <c r="G719">
        <f>IF(VLOOKUP(A719,'Forecast Z Scores'!$A$1:$N$1541,14,FALSE)&gt;2,VLOOKUP(A719,'Forecast Z Scores'!$A$1:$N$1541,13,FALSE)/VLOOKUP(A719,'Forecast Z Scores'!$A$1:$N$1541,14,FALSE),"Not Enough Data")</f>
        <v>-0.66483345456869913</v>
      </c>
      <c r="H719">
        <v>8.8810004840252699E-2</v>
      </c>
    </row>
    <row r="720" spans="1:8" x14ac:dyDescent="0.35">
      <c r="A720" t="str">
        <f t="shared" si="11"/>
        <v>18097355000_2027</v>
      </c>
      <c r="B720">
        <v>18097355000</v>
      </c>
      <c r="C720">
        <v>2027</v>
      </c>
      <c r="E720">
        <f>-(IF(VLOOKUP(B720,'2023 Z Scores'!$A$1:$K$309,11,FALSE)&gt;2,VLOOKUP(B720,'2023 Z Scores'!$A$1:$K$309,10,FALSE)/VLOOKUP(B720,'2023 Z Scores'!$A$1:$K$309,11,FALSE),"Not Enough data"))</f>
        <v>1.001265098085133</v>
      </c>
      <c r="F720">
        <f>IF(VLOOKUP(A720,'Delta Z Scores'!$A$1:$N$1541,14,FALSE)&gt;2,VLOOKUP(A720,'Delta Z Scores'!$A$1:$N$1541,13,FALSE)/VLOOKUP(A720,'Delta Z Scores'!$A$1:$N$1541,14,FALSE),"Not Enough Data")</f>
        <v>0.18226415256393519</v>
      </c>
      <c r="G720">
        <f>IF(VLOOKUP(A720,'Forecast Z Scores'!$A$1:$N$1541,14,FALSE)&gt;2,VLOOKUP(A720,'Forecast Z Scores'!$A$1:$N$1541,13,FALSE)/VLOOKUP(A720,'Forecast Z Scores'!$A$1:$N$1541,14,FALSE),"Not Enough Data")</f>
        <v>-0.64070517192867427</v>
      </c>
      <c r="H720">
        <v>0.18127205782108227</v>
      </c>
    </row>
    <row r="721" spans="1:8" x14ac:dyDescent="0.35">
      <c r="A721" t="str">
        <f t="shared" si="11"/>
        <v>18097355000_2028</v>
      </c>
      <c r="B721">
        <v>18097355000</v>
      </c>
      <c r="C721">
        <v>2028</v>
      </c>
      <c r="E721">
        <f>-(IF(VLOOKUP(B721,'2023 Z Scores'!$A$1:$K$309,11,FALSE)&gt;2,VLOOKUP(B721,'2023 Z Scores'!$A$1:$K$309,10,FALSE)/VLOOKUP(B721,'2023 Z Scores'!$A$1:$K$309,11,FALSE),"Not Enough data"))</f>
        <v>1.001265098085133</v>
      </c>
      <c r="F721">
        <f>IF(VLOOKUP(A721,'Delta Z Scores'!$A$1:$N$1541,14,FALSE)&gt;2,VLOOKUP(A721,'Delta Z Scores'!$A$1:$N$1541,13,FALSE)/VLOOKUP(A721,'Delta Z Scores'!$A$1:$N$1541,14,FALSE),"Not Enough Data")</f>
        <v>-3.1928018058856901E-3</v>
      </c>
      <c r="G721">
        <f>IF(VLOOKUP(A721,'Forecast Z Scores'!$A$1:$N$1541,14,FALSE)&gt;2,VLOOKUP(A721,'Forecast Z Scores'!$A$1:$N$1541,13,FALSE)/VLOOKUP(A721,'Forecast Z Scores'!$A$1:$N$1541,14,FALSE),"Not Enough Data")</f>
        <v>-0.61091879805494576</v>
      </c>
      <c r="H721">
        <v>9.5990174104603948E-2</v>
      </c>
    </row>
    <row r="722" spans="1:8" x14ac:dyDescent="0.35">
      <c r="A722" t="str">
        <f t="shared" si="11"/>
        <v>18097355100_2024</v>
      </c>
      <c r="B722">
        <v>18097355100</v>
      </c>
      <c r="C722">
        <v>2024</v>
      </c>
      <c r="E722">
        <f>-(IF(VLOOKUP(B722,'2023 Z Scores'!$A$1:$K$309,11,FALSE)&gt;2,VLOOKUP(B722,'2023 Z Scores'!$A$1:$K$309,10,FALSE)/VLOOKUP(B722,'2023 Z Scores'!$A$1:$K$309,11,FALSE),"Not Enough data"))</f>
        <v>0.49284576348247733</v>
      </c>
      <c r="F722">
        <f>IF(VLOOKUP(A722,'Delta Z Scores'!$A$1:$N$1541,14,FALSE)&gt;2,VLOOKUP(A722,'Delta Z Scores'!$A$1:$N$1541,13,FALSE)/VLOOKUP(A722,'Delta Z Scores'!$A$1:$N$1541,14,FALSE),"Not Enough Data")</f>
        <v>0.23105340965666757</v>
      </c>
      <c r="G722">
        <f>IF(VLOOKUP(A722,'Forecast Z Scores'!$A$1:$N$1541,14,FALSE)&gt;2,VLOOKUP(A722,'Forecast Z Scores'!$A$1:$N$1541,13,FALSE)/VLOOKUP(A722,'Forecast Z Scores'!$A$1:$N$1541,14,FALSE),"Not Enough Data")</f>
        <v>-0.17011523593314329</v>
      </c>
      <c r="H722">
        <v>0.19620933671566729</v>
      </c>
    </row>
    <row r="723" spans="1:8" x14ac:dyDescent="0.35">
      <c r="A723" t="str">
        <f t="shared" si="11"/>
        <v>18097355100_2025</v>
      </c>
      <c r="B723">
        <v>18097355100</v>
      </c>
      <c r="C723">
        <v>2025</v>
      </c>
      <c r="E723">
        <f>-(IF(VLOOKUP(B723,'2023 Z Scores'!$A$1:$K$309,11,FALSE)&gt;2,VLOOKUP(B723,'2023 Z Scores'!$A$1:$K$309,10,FALSE)/VLOOKUP(B723,'2023 Z Scores'!$A$1:$K$309,11,FALSE),"Not Enough data"))</f>
        <v>0.49284576348247733</v>
      </c>
      <c r="F723">
        <f>IF(VLOOKUP(A723,'Delta Z Scores'!$A$1:$N$1541,14,FALSE)&gt;2,VLOOKUP(A723,'Delta Z Scores'!$A$1:$N$1541,13,FALSE)/VLOOKUP(A723,'Delta Z Scores'!$A$1:$N$1541,14,FALSE),"Not Enough Data")</f>
        <v>8.2413981796349275E-2</v>
      </c>
      <c r="G723">
        <f>IF(VLOOKUP(A723,'Forecast Z Scores'!$A$1:$N$1541,14,FALSE)&gt;2,VLOOKUP(A723,'Forecast Z Scores'!$A$1:$N$1541,13,FALSE)/VLOOKUP(A723,'Forecast Z Scores'!$A$1:$N$1541,14,FALSE),"Not Enough Data")</f>
        <v>-0.16268873289271013</v>
      </c>
      <c r="H723">
        <v>0.12374624854561644</v>
      </c>
    </row>
    <row r="724" spans="1:8" x14ac:dyDescent="0.35">
      <c r="A724" t="str">
        <f t="shared" si="11"/>
        <v>18097355100_2026</v>
      </c>
      <c r="B724">
        <v>18097355100</v>
      </c>
      <c r="C724">
        <v>2026</v>
      </c>
      <c r="E724">
        <f>-(IF(VLOOKUP(B724,'2023 Z Scores'!$A$1:$K$309,11,FALSE)&gt;2,VLOOKUP(B724,'2023 Z Scores'!$A$1:$K$309,10,FALSE)/VLOOKUP(B724,'2023 Z Scores'!$A$1:$K$309,11,FALSE),"Not Enough data"))</f>
        <v>0.49284576348247733</v>
      </c>
      <c r="F724">
        <f>IF(VLOOKUP(A724,'Delta Z Scores'!$A$1:$N$1541,14,FALSE)&gt;2,VLOOKUP(A724,'Delta Z Scores'!$A$1:$N$1541,13,FALSE)/VLOOKUP(A724,'Delta Z Scores'!$A$1:$N$1541,14,FALSE),"Not Enough Data")</f>
        <v>0.23731967954402222</v>
      </c>
      <c r="G724">
        <f>IF(VLOOKUP(A724,'Forecast Z Scores'!$A$1:$N$1541,14,FALSE)&gt;2,VLOOKUP(A724,'Forecast Z Scores'!$A$1:$N$1541,13,FALSE)/VLOOKUP(A724,'Forecast Z Scores'!$A$1:$N$1541,14,FALSE),"Not Enough Data")</f>
        <v>-0.14469779251108222</v>
      </c>
      <c r="H724">
        <v>0.20569683251485987</v>
      </c>
    </row>
    <row r="725" spans="1:8" x14ac:dyDescent="0.35">
      <c r="A725" t="str">
        <f t="shared" si="11"/>
        <v>18097355100_2027</v>
      </c>
      <c r="B725">
        <v>18097355100</v>
      </c>
      <c r="C725">
        <v>2027</v>
      </c>
      <c r="E725">
        <f>-(IF(VLOOKUP(B725,'2023 Z Scores'!$A$1:$K$309,11,FALSE)&gt;2,VLOOKUP(B725,'2023 Z Scores'!$A$1:$K$309,10,FALSE)/VLOOKUP(B725,'2023 Z Scores'!$A$1:$K$309,11,FALSE),"Not Enough data"))</f>
        <v>0.49284576348247733</v>
      </c>
      <c r="F725">
        <f>IF(VLOOKUP(A725,'Delta Z Scores'!$A$1:$N$1541,14,FALSE)&gt;2,VLOOKUP(A725,'Delta Z Scores'!$A$1:$N$1541,13,FALSE)/VLOOKUP(A725,'Delta Z Scores'!$A$1:$N$1541,14,FALSE),"Not Enough Data")</f>
        <v>0.10944900519717565</v>
      </c>
      <c r="G725">
        <f>IF(VLOOKUP(A725,'Forecast Z Scores'!$A$1:$N$1541,14,FALSE)&gt;2,VLOOKUP(A725,'Forecast Z Scores'!$A$1:$N$1541,13,FALSE)/VLOOKUP(A725,'Forecast Z Scores'!$A$1:$N$1541,14,FALSE),"Not Enough Data")</f>
        <v>-0.14750169645878872</v>
      </c>
      <c r="H725">
        <v>0.14106051935450997</v>
      </c>
    </row>
    <row r="726" spans="1:8" x14ac:dyDescent="0.35">
      <c r="A726" t="str">
        <f t="shared" si="11"/>
        <v>18097355100_2028</v>
      </c>
      <c r="B726">
        <v>18097355100</v>
      </c>
      <c r="C726">
        <v>2028</v>
      </c>
      <c r="E726">
        <f>-(IF(VLOOKUP(B726,'2023 Z Scores'!$A$1:$K$309,11,FALSE)&gt;2,VLOOKUP(B726,'2023 Z Scores'!$A$1:$K$309,10,FALSE)/VLOOKUP(B726,'2023 Z Scores'!$A$1:$K$309,11,FALSE),"Not Enough data"))</f>
        <v>0.49284576348247733</v>
      </c>
      <c r="F726">
        <f>IF(VLOOKUP(A726,'Delta Z Scores'!$A$1:$N$1541,14,FALSE)&gt;2,VLOOKUP(A726,'Delta Z Scores'!$A$1:$N$1541,13,FALSE)/VLOOKUP(A726,'Delta Z Scores'!$A$1:$N$1541,14,FALSE),"Not Enough Data")</f>
        <v>0.21445310684552621</v>
      </c>
      <c r="G726">
        <f>IF(VLOOKUP(A726,'Forecast Z Scores'!$A$1:$N$1541,14,FALSE)&gt;2,VLOOKUP(A726,'Forecast Z Scores'!$A$1:$N$1541,13,FALSE)/VLOOKUP(A726,'Forecast Z Scores'!$A$1:$N$1541,14,FALSE),"Not Enough Data")</f>
        <v>-0.13303455717942092</v>
      </c>
      <c r="H726">
        <v>0.19717935499852721</v>
      </c>
    </row>
    <row r="727" spans="1:8" x14ac:dyDescent="0.35">
      <c r="A727" t="str">
        <f t="shared" si="11"/>
        <v>18097355300_2024</v>
      </c>
      <c r="B727">
        <v>18097355300</v>
      </c>
      <c r="C727">
        <v>2024</v>
      </c>
      <c r="E727">
        <f>-(IF(VLOOKUP(B727,'2023 Z Scores'!$A$1:$K$309,11,FALSE)&gt;2,VLOOKUP(B727,'2023 Z Scores'!$A$1:$K$309,10,FALSE)/VLOOKUP(B727,'2023 Z Scores'!$A$1:$K$309,11,FALSE),"Not Enough data"))</f>
        <v>0.25423310732744919</v>
      </c>
      <c r="F727">
        <f>IF(VLOOKUP(A727,'Delta Z Scores'!$A$1:$N$1541,14,FALSE)&gt;2,VLOOKUP(A727,'Delta Z Scores'!$A$1:$N$1541,13,FALSE)/VLOOKUP(A727,'Delta Z Scores'!$A$1:$N$1541,14,FALSE),"Not Enough Data")</f>
        <v>-2.6631734391539565E-2</v>
      </c>
      <c r="G727">
        <f>IF(VLOOKUP(A727,'Forecast Z Scores'!$A$1:$N$1541,14,FALSE)&gt;2,VLOOKUP(A727,'Forecast Z Scores'!$A$1:$N$1541,13,FALSE)/VLOOKUP(A727,'Forecast Z Scores'!$A$1:$N$1541,14,FALSE),"Not Enough Data")</f>
        <v>6.8818040318409435E-2</v>
      </c>
      <c r="H727">
        <v>6.7446919715694872E-2</v>
      </c>
    </row>
    <row r="728" spans="1:8" x14ac:dyDescent="0.35">
      <c r="A728" t="str">
        <f t="shared" si="11"/>
        <v>18097355300_2025</v>
      </c>
      <c r="B728">
        <v>18097355300</v>
      </c>
      <c r="C728">
        <v>2025</v>
      </c>
      <c r="E728">
        <f>-(IF(VLOOKUP(B728,'2023 Z Scores'!$A$1:$K$309,11,FALSE)&gt;2,VLOOKUP(B728,'2023 Z Scores'!$A$1:$K$309,10,FALSE)/VLOOKUP(B728,'2023 Z Scores'!$A$1:$K$309,11,FALSE),"Not Enough data"))</f>
        <v>0.25423310732744919</v>
      </c>
      <c r="F728">
        <f>IF(VLOOKUP(A728,'Delta Z Scores'!$A$1:$N$1541,14,FALSE)&gt;2,VLOOKUP(A728,'Delta Z Scores'!$A$1:$N$1541,13,FALSE)/VLOOKUP(A728,'Delta Z Scores'!$A$1:$N$1541,14,FALSE),"Not Enough Data")</f>
        <v>-3.0370729761228059E-2</v>
      </c>
      <c r="G728">
        <f>IF(VLOOKUP(A728,'Forecast Z Scores'!$A$1:$N$1541,14,FALSE)&gt;2,VLOOKUP(A728,'Forecast Z Scores'!$A$1:$N$1541,13,FALSE)/VLOOKUP(A728,'Forecast Z Scores'!$A$1:$N$1541,14,FALSE),"Not Enough Data")</f>
        <v>2.9604506774134731E-2</v>
      </c>
      <c r="H728">
        <v>5.5774038644781948E-2</v>
      </c>
    </row>
    <row r="729" spans="1:8" x14ac:dyDescent="0.35">
      <c r="A729" t="str">
        <f t="shared" si="11"/>
        <v>18097355300_2026</v>
      </c>
      <c r="B729">
        <v>18097355300</v>
      </c>
      <c r="C729">
        <v>2026</v>
      </c>
      <c r="E729">
        <f>-(IF(VLOOKUP(B729,'2023 Z Scores'!$A$1:$K$309,11,FALSE)&gt;2,VLOOKUP(B729,'2023 Z Scores'!$A$1:$K$309,10,FALSE)/VLOOKUP(B729,'2023 Z Scores'!$A$1:$K$309,11,FALSE),"Not Enough data"))</f>
        <v>0.25423310732744919</v>
      </c>
      <c r="F729">
        <f>IF(VLOOKUP(A729,'Delta Z Scores'!$A$1:$N$1541,14,FALSE)&gt;2,VLOOKUP(A729,'Delta Z Scores'!$A$1:$N$1541,13,FALSE)/VLOOKUP(A729,'Delta Z Scores'!$A$1:$N$1541,14,FALSE),"Not Enough Data")</f>
        <v>0.16844736958369919</v>
      </c>
      <c r="G729">
        <f>IF(VLOOKUP(A729,'Forecast Z Scores'!$A$1:$N$1541,14,FALSE)&gt;2,VLOOKUP(A729,'Forecast Z Scores'!$A$1:$N$1541,13,FALSE)/VLOOKUP(A729,'Forecast Z Scores'!$A$1:$N$1541,14,FALSE),"Not Enough Data")</f>
        <v>1.9671278230411898E-2</v>
      </c>
      <c r="H729">
        <v>0.15269978118131486</v>
      </c>
    </row>
    <row r="730" spans="1:8" x14ac:dyDescent="0.35">
      <c r="A730" t="str">
        <f t="shared" si="11"/>
        <v>18097355300_2027</v>
      </c>
      <c r="B730">
        <v>18097355300</v>
      </c>
      <c r="C730">
        <v>2027</v>
      </c>
      <c r="E730">
        <f>-(IF(VLOOKUP(B730,'2023 Z Scores'!$A$1:$K$309,11,FALSE)&gt;2,VLOOKUP(B730,'2023 Z Scores'!$A$1:$K$309,10,FALSE)/VLOOKUP(B730,'2023 Z Scores'!$A$1:$K$309,11,FALSE),"Not Enough data"))</f>
        <v>0.25423310732744919</v>
      </c>
      <c r="F730">
        <f>IF(VLOOKUP(A730,'Delta Z Scores'!$A$1:$N$1541,14,FALSE)&gt;2,VLOOKUP(A730,'Delta Z Scores'!$A$1:$N$1541,13,FALSE)/VLOOKUP(A730,'Delta Z Scores'!$A$1:$N$1541,14,FALSE),"Not Enough Data")</f>
        <v>7.5308641505966376E-2</v>
      </c>
      <c r="G730">
        <f>IF(VLOOKUP(A730,'Forecast Z Scores'!$A$1:$N$1541,14,FALSE)&gt;2,VLOOKUP(A730,'Forecast Z Scores'!$A$1:$N$1541,13,FALSE)/VLOOKUP(A730,'Forecast Z Scores'!$A$1:$N$1541,14,FALSE),"Not Enough Data")</f>
        <v>-4.4147203147093875E-3</v>
      </c>
      <c r="H730">
        <v>0.10010891750616814</v>
      </c>
    </row>
    <row r="731" spans="1:8" x14ac:dyDescent="0.35">
      <c r="A731" t="str">
        <f t="shared" si="11"/>
        <v>18097355300_2028</v>
      </c>
      <c r="B731">
        <v>18097355300</v>
      </c>
      <c r="C731">
        <v>2028</v>
      </c>
      <c r="E731">
        <f>-(IF(VLOOKUP(B731,'2023 Z Scores'!$A$1:$K$309,11,FALSE)&gt;2,VLOOKUP(B731,'2023 Z Scores'!$A$1:$K$309,10,FALSE)/VLOOKUP(B731,'2023 Z Scores'!$A$1:$K$309,11,FALSE),"Not Enough data"))</f>
        <v>0.25423310732744919</v>
      </c>
      <c r="F731">
        <f>IF(VLOOKUP(A731,'Delta Z Scores'!$A$1:$N$1541,14,FALSE)&gt;2,VLOOKUP(A731,'Delta Z Scores'!$A$1:$N$1541,13,FALSE)/VLOOKUP(A731,'Delta Z Scores'!$A$1:$N$1541,14,FALSE),"Not Enough Data")</f>
        <v>0.20596404804140769</v>
      </c>
      <c r="G731">
        <f>IF(VLOOKUP(A731,'Forecast Z Scores'!$A$1:$N$1541,14,FALSE)&gt;2,VLOOKUP(A731,'Forecast Z Scores'!$A$1:$N$1541,13,FALSE)/VLOOKUP(A731,'Forecast Z Scores'!$A$1:$N$1541,14,FALSE),"Not Enough Data")</f>
        <v>-8.9984325734279863E-3</v>
      </c>
      <c r="H731">
        <v>0.16429069270920915</v>
      </c>
    </row>
    <row r="732" spans="1:8" x14ac:dyDescent="0.35">
      <c r="A732" t="str">
        <f t="shared" si="11"/>
        <v>18097355400_2024</v>
      </c>
      <c r="B732">
        <v>18097355400</v>
      </c>
      <c r="C732">
        <v>2024</v>
      </c>
      <c r="E732">
        <f>-(IF(VLOOKUP(B732,'2023 Z Scores'!$A$1:$K$309,11,FALSE)&gt;2,VLOOKUP(B732,'2023 Z Scores'!$A$1:$K$309,10,FALSE)/VLOOKUP(B732,'2023 Z Scores'!$A$1:$K$309,11,FALSE),"Not Enough data"))</f>
        <v>0.75389595536149978</v>
      </c>
      <c r="F732">
        <f>IF(VLOOKUP(A732,'Delta Z Scores'!$A$1:$N$1541,14,FALSE)&gt;2,VLOOKUP(A732,'Delta Z Scores'!$A$1:$N$1541,13,FALSE)/VLOOKUP(A732,'Delta Z Scores'!$A$1:$N$1541,14,FALSE),"Not Enough Data")</f>
        <v>-8.8466466462238519E-2</v>
      </c>
      <c r="G732">
        <f>IF(VLOOKUP(A732,'Forecast Z Scores'!$A$1:$N$1541,14,FALSE)&gt;2,VLOOKUP(A732,'Forecast Z Scores'!$A$1:$N$1541,13,FALSE)/VLOOKUP(A732,'Forecast Z Scores'!$A$1:$N$1541,14,FALSE),"Not Enough Data")</f>
        <v>-0.41847414399811411</v>
      </c>
      <c r="H732">
        <v>3.9622219609727144E-2</v>
      </c>
    </row>
    <row r="733" spans="1:8" x14ac:dyDescent="0.35">
      <c r="A733" t="str">
        <f t="shared" si="11"/>
        <v>18097355400_2025</v>
      </c>
      <c r="B733">
        <v>18097355400</v>
      </c>
      <c r="C733">
        <v>2025</v>
      </c>
      <c r="E733">
        <f>-(IF(VLOOKUP(B733,'2023 Z Scores'!$A$1:$K$309,11,FALSE)&gt;2,VLOOKUP(B733,'2023 Z Scores'!$A$1:$K$309,10,FALSE)/VLOOKUP(B733,'2023 Z Scores'!$A$1:$K$309,11,FALSE),"Not Enough data"))</f>
        <v>0.75389595536149978</v>
      </c>
      <c r="F733">
        <f>IF(VLOOKUP(A733,'Delta Z Scores'!$A$1:$N$1541,14,FALSE)&gt;2,VLOOKUP(A733,'Delta Z Scores'!$A$1:$N$1541,13,FALSE)/VLOOKUP(A733,'Delta Z Scores'!$A$1:$N$1541,14,FALSE),"Not Enough Data")</f>
        <v>-0.17367316494020177</v>
      </c>
      <c r="G733">
        <f>IF(VLOOKUP(A733,'Forecast Z Scores'!$A$1:$N$1541,14,FALSE)&gt;2,VLOOKUP(A733,'Forecast Z Scores'!$A$1:$N$1541,13,FALSE)/VLOOKUP(A733,'Forecast Z Scores'!$A$1:$N$1541,14,FALSE),"Not Enough Data")</f>
        <v>-0.47107310525048163</v>
      </c>
      <c r="H733">
        <v>-1.6130869942346332E-2</v>
      </c>
    </row>
    <row r="734" spans="1:8" x14ac:dyDescent="0.35">
      <c r="A734" t="str">
        <f t="shared" si="11"/>
        <v>18097355400_2026</v>
      </c>
      <c r="B734">
        <v>18097355400</v>
      </c>
      <c r="C734">
        <v>2026</v>
      </c>
      <c r="E734">
        <f>-(IF(VLOOKUP(B734,'2023 Z Scores'!$A$1:$K$309,11,FALSE)&gt;2,VLOOKUP(B734,'2023 Z Scores'!$A$1:$K$309,10,FALSE)/VLOOKUP(B734,'2023 Z Scores'!$A$1:$K$309,11,FALSE),"Not Enough data"))</f>
        <v>0.75389595536149978</v>
      </c>
      <c r="F734">
        <f>IF(VLOOKUP(A734,'Delta Z Scores'!$A$1:$N$1541,14,FALSE)&gt;2,VLOOKUP(A734,'Delta Z Scores'!$A$1:$N$1541,13,FALSE)/VLOOKUP(A734,'Delta Z Scores'!$A$1:$N$1541,14,FALSE),"Not Enough Data")</f>
        <v>2.6031589575701092E-2</v>
      </c>
      <c r="G734">
        <f>IF(VLOOKUP(A734,'Forecast Z Scores'!$A$1:$N$1541,14,FALSE)&gt;2,VLOOKUP(A734,'Forecast Z Scores'!$A$1:$N$1541,13,FALSE)/VLOOKUP(A734,'Forecast Z Scores'!$A$1:$N$1541,14,FALSE),"Not Enough Data")</f>
        <v>-0.48786471784322127</v>
      </c>
      <c r="H734">
        <v>7.9523604167420173E-2</v>
      </c>
    </row>
    <row r="735" spans="1:8" x14ac:dyDescent="0.35">
      <c r="A735" t="str">
        <f t="shared" si="11"/>
        <v>18097355400_2027</v>
      </c>
      <c r="B735">
        <v>18097355400</v>
      </c>
      <c r="C735">
        <v>2027</v>
      </c>
      <c r="E735">
        <f>-(IF(VLOOKUP(B735,'2023 Z Scores'!$A$1:$K$309,11,FALSE)&gt;2,VLOOKUP(B735,'2023 Z Scores'!$A$1:$K$309,10,FALSE)/VLOOKUP(B735,'2023 Z Scores'!$A$1:$K$309,11,FALSE),"Not Enough data"))</f>
        <v>0.75389595536149978</v>
      </c>
      <c r="F735">
        <f>IF(VLOOKUP(A735,'Delta Z Scores'!$A$1:$N$1541,14,FALSE)&gt;2,VLOOKUP(A735,'Delta Z Scores'!$A$1:$N$1541,13,FALSE)/VLOOKUP(A735,'Delta Z Scores'!$A$1:$N$1541,14,FALSE),"Not Enough Data")</f>
        <v>-5.787642683463369E-2</v>
      </c>
      <c r="G735">
        <f>IF(VLOOKUP(A735,'Forecast Z Scores'!$A$1:$N$1541,14,FALSE)&gt;2,VLOOKUP(A735,'Forecast Z Scores'!$A$1:$N$1541,13,FALSE)/VLOOKUP(A735,'Forecast Z Scores'!$A$1:$N$1541,14,FALSE),"Not Enough Data")</f>
        <v>-0.51725428623613279</v>
      </c>
      <c r="H735">
        <v>3.022220386402491E-2</v>
      </c>
    </row>
    <row r="736" spans="1:8" x14ac:dyDescent="0.35">
      <c r="A736" t="str">
        <f t="shared" si="11"/>
        <v>18097355400_2028</v>
      </c>
      <c r="B736">
        <v>18097355400</v>
      </c>
      <c r="C736">
        <v>2028</v>
      </c>
      <c r="E736">
        <f>-(IF(VLOOKUP(B736,'2023 Z Scores'!$A$1:$K$309,11,FALSE)&gt;2,VLOOKUP(B736,'2023 Z Scores'!$A$1:$K$309,10,FALSE)/VLOOKUP(B736,'2023 Z Scores'!$A$1:$K$309,11,FALSE),"Not Enough data"))</f>
        <v>0.75389595536149978</v>
      </c>
      <c r="F736">
        <f>IF(VLOOKUP(A736,'Delta Z Scores'!$A$1:$N$1541,14,FALSE)&gt;2,VLOOKUP(A736,'Delta Z Scores'!$A$1:$N$1541,13,FALSE)/VLOOKUP(A736,'Delta Z Scores'!$A$1:$N$1541,14,FALSE),"Not Enough Data")</f>
        <v>7.0967016462989821E-2</v>
      </c>
      <c r="G736">
        <f>IF(VLOOKUP(A736,'Forecast Z Scores'!$A$1:$N$1541,14,FALSE)&gt;2,VLOOKUP(A736,'Forecast Z Scores'!$A$1:$N$1541,13,FALSE)/VLOOKUP(A736,'Forecast Z Scores'!$A$1:$N$1541,14,FALSE),"Not Enough Data")</f>
        <v>-0.52072886562961906</v>
      </c>
      <c r="H736">
        <v>9.3775280664465083E-2</v>
      </c>
    </row>
    <row r="737" spans="1:8" x14ac:dyDescent="0.35">
      <c r="A737" t="str">
        <f t="shared" si="11"/>
        <v>18097355500_2024</v>
      </c>
      <c r="B737">
        <v>18097355500</v>
      </c>
      <c r="C737">
        <v>2024</v>
      </c>
      <c r="E737">
        <f>-(IF(VLOOKUP(B737,'2023 Z Scores'!$A$1:$K$309,11,FALSE)&gt;2,VLOOKUP(B737,'2023 Z Scores'!$A$1:$K$309,10,FALSE)/VLOOKUP(B737,'2023 Z Scores'!$A$1:$K$309,11,FALSE),"Not Enough data"))</f>
        <v>0.25570789432200913</v>
      </c>
      <c r="F737">
        <f>IF(VLOOKUP(A737,'Delta Z Scores'!$A$1:$N$1541,14,FALSE)&gt;2,VLOOKUP(A737,'Delta Z Scores'!$A$1:$N$1541,13,FALSE)/VLOOKUP(A737,'Delta Z Scores'!$A$1:$N$1541,14,FALSE),"Not Enough Data")</f>
        <v>-0.19295396433472001</v>
      </c>
      <c r="G737">
        <f>IF(VLOOKUP(A737,'Forecast Z Scores'!$A$1:$N$1541,14,FALSE)&gt;2,VLOOKUP(A737,'Forecast Z Scores'!$A$1:$N$1541,13,FALSE)/VLOOKUP(A737,'Forecast Z Scores'!$A$1:$N$1541,14,FALSE),"Not Enough Data")</f>
        <v>-6.0629908871239813E-2</v>
      </c>
      <c r="H737">
        <v>-4.7707485804667674E-2</v>
      </c>
    </row>
    <row r="738" spans="1:8" x14ac:dyDescent="0.35">
      <c r="A738" t="str">
        <f t="shared" si="11"/>
        <v>18097355500_2025</v>
      </c>
      <c r="B738">
        <v>18097355500</v>
      </c>
      <c r="C738">
        <v>2025</v>
      </c>
      <c r="E738">
        <f>-(IF(VLOOKUP(B738,'2023 Z Scores'!$A$1:$K$309,11,FALSE)&gt;2,VLOOKUP(B738,'2023 Z Scores'!$A$1:$K$309,10,FALSE)/VLOOKUP(B738,'2023 Z Scores'!$A$1:$K$309,11,FALSE),"Not Enough data"))</f>
        <v>0.25570789432200913</v>
      </c>
      <c r="F738">
        <f>IF(VLOOKUP(A738,'Delta Z Scores'!$A$1:$N$1541,14,FALSE)&gt;2,VLOOKUP(A738,'Delta Z Scores'!$A$1:$N$1541,13,FALSE)/VLOOKUP(A738,'Delta Z Scores'!$A$1:$N$1541,14,FALSE),"Not Enough Data")</f>
        <v>2.1427985556638718E-2</v>
      </c>
      <c r="G738">
        <f>IF(VLOOKUP(A738,'Forecast Z Scores'!$A$1:$N$1541,14,FALSE)&gt;2,VLOOKUP(A738,'Forecast Z Scores'!$A$1:$N$1541,13,FALSE)/VLOOKUP(A738,'Forecast Z Scores'!$A$1:$N$1541,14,FALSE),"Not Enough Data")</f>
        <v>-6.355946594542089E-2</v>
      </c>
      <c r="H738">
        <v>5.875109987246642E-2</v>
      </c>
    </row>
    <row r="739" spans="1:8" x14ac:dyDescent="0.35">
      <c r="A739" t="str">
        <f t="shared" si="11"/>
        <v>18097355500_2026</v>
      </c>
      <c r="B739">
        <v>18097355500</v>
      </c>
      <c r="C739">
        <v>2026</v>
      </c>
      <c r="E739">
        <f>-(IF(VLOOKUP(B739,'2023 Z Scores'!$A$1:$K$309,11,FALSE)&gt;2,VLOOKUP(B739,'2023 Z Scores'!$A$1:$K$309,10,FALSE)/VLOOKUP(B739,'2023 Z Scores'!$A$1:$K$309,11,FALSE),"Not Enough data"))</f>
        <v>0.25570789432200913</v>
      </c>
      <c r="F739">
        <f>IF(VLOOKUP(A739,'Delta Z Scores'!$A$1:$N$1541,14,FALSE)&gt;2,VLOOKUP(A739,'Delta Z Scores'!$A$1:$N$1541,13,FALSE)/VLOOKUP(A739,'Delta Z Scores'!$A$1:$N$1541,14,FALSE),"Not Enough Data")</f>
        <v>0.31684116686203639</v>
      </c>
      <c r="G739">
        <f>IF(VLOOKUP(A739,'Forecast Z Scores'!$A$1:$N$1541,14,FALSE)&gt;2,VLOOKUP(A739,'Forecast Z Scores'!$A$1:$N$1541,13,FALSE)/VLOOKUP(A739,'Forecast Z Scores'!$A$1:$N$1541,14,FALSE),"Not Enough Data")</f>
        <v>-5.362879629854865E-2</v>
      </c>
      <c r="H739">
        <v>0.20894035793688331</v>
      </c>
    </row>
    <row r="740" spans="1:8" x14ac:dyDescent="0.35">
      <c r="A740" t="str">
        <f t="shared" si="11"/>
        <v>18097355500_2027</v>
      </c>
      <c r="B740">
        <v>18097355500</v>
      </c>
      <c r="C740">
        <v>2027</v>
      </c>
      <c r="E740">
        <f>-(IF(VLOOKUP(B740,'2023 Z Scores'!$A$1:$K$309,11,FALSE)&gt;2,VLOOKUP(B740,'2023 Z Scores'!$A$1:$K$309,10,FALSE)/VLOOKUP(B740,'2023 Z Scores'!$A$1:$K$309,11,FALSE),"Not Enough data"))</f>
        <v>0.25570789432200913</v>
      </c>
      <c r="F740">
        <f>IF(VLOOKUP(A740,'Delta Z Scores'!$A$1:$N$1541,14,FALSE)&gt;2,VLOOKUP(A740,'Delta Z Scores'!$A$1:$N$1541,13,FALSE)/VLOOKUP(A740,'Delta Z Scores'!$A$1:$N$1541,14,FALSE),"Not Enough Data")</f>
        <v>-1.6708141306939494E-2</v>
      </c>
      <c r="G740">
        <f>IF(VLOOKUP(A740,'Forecast Z Scores'!$A$1:$N$1541,14,FALSE)&gt;2,VLOOKUP(A740,'Forecast Z Scores'!$A$1:$N$1541,13,FALSE)/VLOOKUP(A740,'Forecast Z Scores'!$A$1:$N$1541,14,FALSE),"Not Enough Data")</f>
        <v>-5.4508358596819823E-2</v>
      </c>
      <c r="H740">
        <v>4.1945813277827579E-2</v>
      </c>
    </row>
    <row r="741" spans="1:8" x14ac:dyDescent="0.35">
      <c r="A741" t="str">
        <f t="shared" si="11"/>
        <v>18097355500_2028</v>
      </c>
      <c r="B741">
        <v>18097355500</v>
      </c>
      <c r="C741">
        <v>2028</v>
      </c>
      <c r="E741">
        <f>-(IF(VLOOKUP(B741,'2023 Z Scores'!$A$1:$K$309,11,FALSE)&gt;2,VLOOKUP(B741,'2023 Z Scores'!$A$1:$K$309,10,FALSE)/VLOOKUP(B741,'2023 Z Scores'!$A$1:$K$309,11,FALSE),"Not Enough data"))</f>
        <v>0.25570789432200913</v>
      </c>
      <c r="F741">
        <f>IF(VLOOKUP(A741,'Delta Z Scores'!$A$1:$N$1541,14,FALSE)&gt;2,VLOOKUP(A741,'Delta Z Scores'!$A$1:$N$1541,13,FALSE)/VLOOKUP(A741,'Delta Z Scores'!$A$1:$N$1541,14,FALSE),"Not Enough Data")</f>
        <v>0.2367503989888404</v>
      </c>
      <c r="G741">
        <f>IF(VLOOKUP(A741,'Forecast Z Scores'!$A$1:$N$1541,14,FALSE)&gt;2,VLOOKUP(A741,'Forecast Z Scores'!$A$1:$N$1541,13,FALSE)/VLOOKUP(A741,'Forecast Z Scores'!$A$1:$N$1541,14,FALSE),"Not Enough Data")</f>
        <v>-4.547511954165874E-2</v>
      </c>
      <c r="H741">
        <v>0.17093339318950779</v>
      </c>
    </row>
    <row r="742" spans="1:8" x14ac:dyDescent="0.35">
      <c r="A742" t="str">
        <f t="shared" si="11"/>
        <v>18097355600_2024</v>
      </c>
      <c r="B742">
        <v>18097355600</v>
      </c>
      <c r="C742">
        <v>2024</v>
      </c>
      <c r="E742">
        <f>-(IF(VLOOKUP(B742,'2023 Z Scores'!$A$1:$K$309,11,FALSE)&gt;2,VLOOKUP(B742,'2023 Z Scores'!$A$1:$K$309,10,FALSE)/VLOOKUP(B742,'2023 Z Scores'!$A$1:$K$309,11,FALSE),"Not Enough data"))</f>
        <v>0.56172191852858588</v>
      </c>
      <c r="F742">
        <f>IF(VLOOKUP(A742,'Delta Z Scores'!$A$1:$N$1541,14,FALSE)&gt;2,VLOOKUP(A742,'Delta Z Scores'!$A$1:$N$1541,13,FALSE)/VLOOKUP(A742,'Delta Z Scores'!$A$1:$N$1541,14,FALSE),"Not Enough Data")</f>
        <v>-9.5904869628672951E-2</v>
      </c>
      <c r="G742">
        <f>IF(VLOOKUP(A742,'Forecast Z Scores'!$A$1:$N$1541,14,FALSE)&gt;2,VLOOKUP(A742,'Forecast Z Scores'!$A$1:$N$1541,13,FALSE)/VLOOKUP(A742,'Forecast Z Scores'!$A$1:$N$1541,14,FALSE),"Not Enough Data")</f>
        <v>-0.37780859231111752</v>
      </c>
      <c r="H742">
        <v>-1.9741032599693842E-3</v>
      </c>
    </row>
    <row r="743" spans="1:8" x14ac:dyDescent="0.35">
      <c r="A743" t="str">
        <f t="shared" si="11"/>
        <v>18097355600_2025</v>
      </c>
      <c r="B743">
        <v>18097355600</v>
      </c>
      <c r="C743">
        <v>2025</v>
      </c>
      <c r="E743">
        <f>-(IF(VLOOKUP(B743,'2023 Z Scores'!$A$1:$K$309,11,FALSE)&gt;2,VLOOKUP(B743,'2023 Z Scores'!$A$1:$K$309,10,FALSE)/VLOOKUP(B743,'2023 Z Scores'!$A$1:$K$309,11,FALSE),"Not Enough data"))</f>
        <v>0.56172191852858588</v>
      </c>
      <c r="F743">
        <f>IF(VLOOKUP(A743,'Delta Z Scores'!$A$1:$N$1541,14,FALSE)&gt;2,VLOOKUP(A743,'Delta Z Scores'!$A$1:$N$1541,13,FALSE)/VLOOKUP(A743,'Delta Z Scores'!$A$1:$N$1541,14,FALSE),"Not Enough Data")</f>
        <v>0.1138869234508878</v>
      </c>
      <c r="G743">
        <f>IF(VLOOKUP(A743,'Forecast Z Scores'!$A$1:$N$1541,14,FALSE)&gt;2,VLOOKUP(A743,'Forecast Z Scores'!$A$1:$N$1541,13,FALSE)/VLOOKUP(A743,'Forecast Z Scores'!$A$1:$N$1541,14,FALSE),"Not Enough Data")</f>
        <v>-0.37807816235555314</v>
      </c>
      <c r="H743">
        <v>0.10285440076870209</v>
      </c>
    </row>
    <row r="744" spans="1:8" x14ac:dyDescent="0.35">
      <c r="A744" t="str">
        <f t="shared" si="11"/>
        <v>18097355600_2026</v>
      </c>
      <c r="B744">
        <v>18097355600</v>
      </c>
      <c r="C744">
        <v>2026</v>
      </c>
      <c r="E744">
        <f>-(IF(VLOOKUP(B744,'2023 Z Scores'!$A$1:$K$309,11,FALSE)&gt;2,VLOOKUP(B744,'2023 Z Scores'!$A$1:$K$309,10,FALSE)/VLOOKUP(B744,'2023 Z Scores'!$A$1:$K$309,11,FALSE),"Not Enough data"))</f>
        <v>0.56172191852858588</v>
      </c>
      <c r="F744">
        <f>IF(VLOOKUP(A744,'Delta Z Scores'!$A$1:$N$1541,14,FALSE)&gt;2,VLOOKUP(A744,'Delta Z Scores'!$A$1:$N$1541,13,FALSE)/VLOOKUP(A744,'Delta Z Scores'!$A$1:$N$1541,14,FALSE),"Not Enough Data")</f>
        <v>0.17112536346990229</v>
      </c>
      <c r="G744">
        <f>IF(VLOOKUP(A744,'Forecast Z Scores'!$A$1:$N$1541,14,FALSE)&gt;2,VLOOKUP(A744,'Forecast Z Scores'!$A$1:$N$1541,13,FALSE)/VLOOKUP(A744,'Forecast Z Scores'!$A$1:$N$1541,14,FALSE),"Not Enough Data")</f>
        <v>-0.36732511833499237</v>
      </c>
      <c r="H744">
        <v>0.13416188178334953</v>
      </c>
    </row>
    <row r="745" spans="1:8" x14ac:dyDescent="0.35">
      <c r="A745" t="str">
        <f t="shared" si="11"/>
        <v>18097355600_2027</v>
      </c>
      <c r="B745">
        <v>18097355600</v>
      </c>
      <c r="C745">
        <v>2027</v>
      </c>
      <c r="E745">
        <f>-(IF(VLOOKUP(B745,'2023 Z Scores'!$A$1:$K$309,11,FALSE)&gt;2,VLOOKUP(B745,'2023 Z Scores'!$A$1:$K$309,10,FALSE)/VLOOKUP(B745,'2023 Z Scores'!$A$1:$K$309,11,FALSE),"Not Enough data"))</f>
        <v>0.56172191852858588</v>
      </c>
      <c r="F745">
        <f>IF(VLOOKUP(A745,'Delta Z Scores'!$A$1:$N$1541,14,FALSE)&gt;2,VLOOKUP(A745,'Delta Z Scores'!$A$1:$N$1541,13,FALSE)/VLOOKUP(A745,'Delta Z Scores'!$A$1:$N$1541,14,FALSE),"Not Enough Data")</f>
        <v>0.14084521000333264</v>
      </c>
      <c r="G745">
        <f>IF(VLOOKUP(A745,'Forecast Z Scores'!$A$1:$N$1541,14,FALSE)&gt;2,VLOOKUP(A745,'Forecast Z Scores'!$A$1:$N$1541,13,FALSE)/VLOOKUP(A745,'Forecast Z Scores'!$A$1:$N$1541,14,FALSE),"Not Enough Data")</f>
        <v>-0.36250815834296812</v>
      </c>
      <c r="H745">
        <v>0.12022604504807076</v>
      </c>
    </row>
    <row r="746" spans="1:8" x14ac:dyDescent="0.35">
      <c r="A746" t="str">
        <f t="shared" si="11"/>
        <v>18097355600_2028</v>
      </c>
      <c r="B746">
        <v>18097355600</v>
      </c>
      <c r="C746">
        <v>2028</v>
      </c>
      <c r="E746">
        <f>-(IF(VLOOKUP(B746,'2023 Z Scores'!$A$1:$K$309,11,FALSE)&gt;2,VLOOKUP(B746,'2023 Z Scores'!$A$1:$K$309,10,FALSE)/VLOOKUP(B746,'2023 Z Scores'!$A$1:$K$309,11,FALSE),"Not Enough data"))</f>
        <v>0.56172191852858588</v>
      </c>
      <c r="F746">
        <f>IF(VLOOKUP(A746,'Delta Z Scores'!$A$1:$N$1541,14,FALSE)&gt;2,VLOOKUP(A746,'Delta Z Scores'!$A$1:$N$1541,13,FALSE)/VLOOKUP(A746,'Delta Z Scores'!$A$1:$N$1541,14,FALSE),"Not Enough Data")</f>
        <v>0.22678042733533721</v>
      </c>
      <c r="G746">
        <f>IF(VLOOKUP(A746,'Forecast Z Scores'!$A$1:$N$1541,14,FALSE)&gt;2,VLOOKUP(A746,'Forecast Z Scores'!$A$1:$N$1541,13,FALSE)/VLOOKUP(A746,'Forecast Z Scores'!$A$1:$N$1541,14,FALSE),"Not Enough Data")</f>
        <v>-0.34488480254008641</v>
      </c>
      <c r="H746">
        <v>0.16759949266479346</v>
      </c>
    </row>
    <row r="747" spans="1:8" x14ac:dyDescent="0.35">
      <c r="A747" t="str">
        <f t="shared" si="11"/>
        <v>18097355700_2024</v>
      </c>
      <c r="B747">
        <v>18097355700</v>
      </c>
      <c r="C747">
        <v>2024</v>
      </c>
      <c r="E747">
        <f>-(IF(VLOOKUP(B747,'2023 Z Scores'!$A$1:$K$309,11,FALSE)&gt;2,VLOOKUP(B747,'2023 Z Scores'!$A$1:$K$309,10,FALSE)/VLOOKUP(B747,'2023 Z Scores'!$A$1:$K$309,11,FALSE),"Not Enough data"))</f>
        <v>0.43206744471779385</v>
      </c>
      <c r="F747">
        <f>IF(VLOOKUP(A747,'Delta Z Scores'!$A$1:$N$1541,14,FALSE)&gt;2,VLOOKUP(A747,'Delta Z Scores'!$A$1:$N$1541,13,FALSE)/VLOOKUP(A747,'Delta Z Scores'!$A$1:$N$1541,14,FALSE),"Not Enough Data")</f>
        <v>-0.47374723622531334</v>
      </c>
      <c r="G747">
        <f>IF(VLOOKUP(A747,'Forecast Z Scores'!$A$1:$N$1541,14,FALSE)&gt;2,VLOOKUP(A747,'Forecast Z Scores'!$A$1:$N$1541,13,FALSE)/VLOOKUP(A747,'Forecast Z Scores'!$A$1:$N$1541,14,FALSE),"Not Enough Data")</f>
        <v>-0.27221114247560424</v>
      </c>
      <c r="H747">
        <v>-0.19690954255210924</v>
      </c>
    </row>
    <row r="748" spans="1:8" x14ac:dyDescent="0.35">
      <c r="A748" t="str">
        <f t="shared" si="11"/>
        <v>18097355700_2025</v>
      </c>
      <c r="B748">
        <v>18097355700</v>
      </c>
      <c r="C748">
        <v>2025</v>
      </c>
      <c r="E748">
        <f>-(IF(VLOOKUP(B748,'2023 Z Scores'!$A$1:$K$309,11,FALSE)&gt;2,VLOOKUP(B748,'2023 Z Scores'!$A$1:$K$309,10,FALSE)/VLOOKUP(B748,'2023 Z Scores'!$A$1:$K$309,11,FALSE),"Not Enough data"))</f>
        <v>0.43206744471779385</v>
      </c>
      <c r="F748">
        <f>IF(VLOOKUP(A748,'Delta Z Scores'!$A$1:$N$1541,14,FALSE)&gt;2,VLOOKUP(A748,'Delta Z Scores'!$A$1:$N$1541,13,FALSE)/VLOOKUP(A748,'Delta Z Scores'!$A$1:$N$1541,14,FALSE),"Not Enough Data")</f>
        <v>-3.2332687395539572E-2</v>
      </c>
      <c r="G748">
        <f>IF(VLOOKUP(A748,'Forecast Z Scores'!$A$1:$N$1541,14,FALSE)&gt;2,VLOOKUP(A748,'Forecast Z Scores'!$A$1:$N$1541,13,FALSE)/VLOOKUP(A748,'Forecast Z Scores'!$A$1:$N$1541,14,FALSE),"Not Enough Data")</f>
        <v>-0.26509410671057387</v>
      </c>
      <c r="H748">
        <v>2.5576990804035207E-2</v>
      </c>
    </row>
    <row r="749" spans="1:8" x14ac:dyDescent="0.35">
      <c r="A749" t="str">
        <f t="shared" si="11"/>
        <v>18097355700_2026</v>
      </c>
      <c r="B749">
        <v>18097355700</v>
      </c>
      <c r="C749">
        <v>2026</v>
      </c>
      <c r="E749">
        <f>-(IF(VLOOKUP(B749,'2023 Z Scores'!$A$1:$K$309,11,FALSE)&gt;2,VLOOKUP(B749,'2023 Z Scores'!$A$1:$K$309,10,FALSE)/VLOOKUP(B749,'2023 Z Scores'!$A$1:$K$309,11,FALSE),"Not Enough data"))</f>
        <v>0.43206744471779385</v>
      </c>
      <c r="F749">
        <f>IF(VLOOKUP(A749,'Delta Z Scores'!$A$1:$N$1541,14,FALSE)&gt;2,VLOOKUP(A749,'Delta Z Scores'!$A$1:$N$1541,13,FALSE)/VLOOKUP(A749,'Delta Z Scores'!$A$1:$N$1541,14,FALSE),"Not Enough Data")</f>
        <v>0.15111646008595553</v>
      </c>
      <c r="G749">
        <f>IF(VLOOKUP(A749,'Forecast Z Scores'!$A$1:$N$1541,14,FALSE)&gt;2,VLOOKUP(A749,'Forecast Z Scores'!$A$1:$N$1541,13,FALSE)/VLOOKUP(A749,'Forecast Z Scores'!$A$1:$N$1541,14,FALSE),"Not Enough Data")</f>
        <v>-0.23782213039417921</v>
      </c>
      <c r="H749">
        <v>0.12411955862388142</v>
      </c>
    </row>
    <row r="750" spans="1:8" x14ac:dyDescent="0.35">
      <c r="A750" t="str">
        <f t="shared" si="11"/>
        <v>18097355700_2027</v>
      </c>
      <c r="B750">
        <v>18097355700</v>
      </c>
      <c r="C750">
        <v>2027</v>
      </c>
      <c r="E750">
        <f>-(IF(VLOOKUP(B750,'2023 Z Scores'!$A$1:$K$309,11,FALSE)&gt;2,VLOOKUP(B750,'2023 Z Scores'!$A$1:$K$309,10,FALSE)/VLOOKUP(B750,'2023 Z Scores'!$A$1:$K$309,11,FALSE),"Not Enough data"))</f>
        <v>0.43206744471779385</v>
      </c>
      <c r="F750">
        <f>IF(VLOOKUP(A750,'Delta Z Scores'!$A$1:$N$1541,14,FALSE)&gt;2,VLOOKUP(A750,'Delta Z Scores'!$A$1:$N$1541,13,FALSE)/VLOOKUP(A750,'Delta Z Scores'!$A$1:$N$1541,14,FALSE),"Not Enough Data")</f>
        <v>-2.9391367279286568E-2</v>
      </c>
      <c r="G750">
        <f>IF(VLOOKUP(A750,'Forecast Z Scores'!$A$1:$N$1541,14,FALSE)&gt;2,VLOOKUP(A750,'Forecast Z Scores'!$A$1:$N$1541,13,FALSE)/VLOOKUP(A750,'Forecast Z Scores'!$A$1:$N$1541,14,FALSE),"Not Enough Data")</f>
        <v>-0.22651427138710148</v>
      </c>
      <c r="H750">
        <v>3.6692609693029801E-2</v>
      </c>
    </row>
    <row r="751" spans="1:8" x14ac:dyDescent="0.35">
      <c r="A751" t="str">
        <f t="shared" si="11"/>
        <v>18097355700_2028</v>
      </c>
      <c r="B751">
        <v>18097355700</v>
      </c>
      <c r="C751">
        <v>2028</v>
      </c>
      <c r="E751">
        <f>-(IF(VLOOKUP(B751,'2023 Z Scores'!$A$1:$K$309,11,FALSE)&gt;2,VLOOKUP(B751,'2023 Z Scores'!$A$1:$K$309,10,FALSE)/VLOOKUP(B751,'2023 Z Scores'!$A$1:$K$309,11,FALSE),"Not Enough data"))</f>
        <v>0.43206744471779385</v>
      </c>
      <c r="F751">
        <f>IF(VLOOKUP(A751,'Delta Z Scores'!$A$1:$N$1541,14,FALSE)&gt;2,VLOOKUP(A751,'Delta Z Scores'!$A$1:$N$1541,13,FALSE)/VLOOKUP(A751,'Delta Z Scores'!$A$1:$N$1541,14,FALSE),"Not Enough Data")</f>
        <v>7.8261970191232308E-2</v>
      </c>
      <c r="G751">
        <f>IF(VLOOKUP(A751,'Forecast Z Scores'!$A$1:$N$1541,14,FALSE)&gt;2,VLOOKUP(A751,'Forecast Z Scores'!$A$1:$N$1541,13,FALSE)/VLOOKUP(A751,'Forecast Z Scores'!$A$1:$N$1541,14,FALSE),"Not Enough Data")</f>
        <v>-0.20169630813467657</v>
      </c>
      <c r="H751">
        <v>9.6723769241395474E-2</v>
      </c>
    </row>
    <row r="752" spans="1:8" x14ac:dyDescent="0.35">
      <c r="A752" t="str">
        <f t="shared" si="11"/>
        <v>18097355900_2024</v>
      </c>
      <c r="B752">
        <v>18097355900</v>
      </c>
      <c r="C752">
        <v>2024</v>
      </c>
      <c r="E752">
        <f>-(IF(VLOOKUP(B752,'2023 Z Scores'!$A$1:$K$309,11,FALSE)&gt;2,VLOOKUP(B752,'2023 Z Scores'!$A$1:$K$309,10,FALSE)/VLOOKUP(B752,'2023 Z Scores'!$A$1:$K$309,11,FALSE),"Not Enough data"))</f>
        <v>-0.34171459288472444</v>
      </c>
      <c r="F752">
        <f>IF(VLOOKUP(A752,'Delta Z Scores'!$A$1:$N$1541,14,FALSE)&gt;2,VLOOKUP(A752,'Delta Z Scores'!$A$1:$N$1541,13,FALSE)/VLOOKUP(A752,'Delta Z Scores'!$A$1:$N$1541,14,FALSE),"Not Enough Data")</f>
        <v>0.33465361381114744</v>
      </c>
      <c r="G752">
        <f>IF(VLOOKUP(A752,'Forecast Z Scores'!$A$1:$N$1541,14,FALSE)&gt;2,VLOOKUP(A752,'Forecast Z Scores'!$A$1:$N$1541,13,FALSE)/VLOOKUP(A752,'Forecast Z Scores'!$A$1:$N$1541,14,FALSE),"Not Enough Data")</f>
        <v>0.56450754140488324</v>
      </c>
      <c r="H752">
        <v>0.22302504403561341</v>
      </c>
    </row>
    <row r="753" spans="1:8" x14ac:dyDescent="0.35">
      <c r="A753" t="str">
        <f t="shared" si="11"/>
        <v>18097355900_2025</v>
      </c>
      <c r="B753">
        <v>18097355900</v>
      </c>
      <c r="C753">
        <v>2025</v>
      </c>
      <c r="E753">
        <f>-(IF(VLOOKUP(B753,'2023 Z Scores'!$A$1:$K$309,11,FALSE)&gt;2,VLOOKUP(B753,'2023 Z Scores'!$A$1:$K$309,10,FALSE)/VLOOKUP(B753,'2023 Z Scores'!$A$1:$K$309,11,FALSE),"Not Enough data"))</f>
        <v>-0.34171459288472444</v>
      </c>
      <c r="F753">
        <f>IF(VLOOKUP(A753,'Delta Z Scores'!$A$1:$N$1541,14,FALSE)&gt;2,VLOOKUP(A753,'Delta Z Scores'!$A$1:$N$1541,13,FALSE)/VLOOKUP(A753,'Delta Z Scores'!$A$1:$N$1541,14,FALSE),"Not Enough Data")</f>
        <v>0.36982859795993139</v>
      </c>
      <c r="G753">
        <f>IF(VLOOKUP(A753,'Forecast Z Scores'!$A$1:$N$1541,14,FALSE)&gt;2,VLOOKUP(A753,'Forecast Z Scores'!$A$1:$N$1541,13,FALSE)/VLOOKUP(A753,'Forecast Z Scores'!$A$1:$N$1541,14,FALSE),"Not Enough Data")</f>
        <v>0.62573352765799628</v>
      </c>
      <c r="H753">
        <v>0.25591903267328364</v>
      </c>
    </row>
    <row r="754" spans="1:8" x14ac:dyDescent="0.35">
      <c r="A754" t="str">
        <f t="shared" si="11"/>
        <v>18097355900_2026</v>
      </c>
      <c r="B754">
        <v>18097355900</v>
      </c>
      <c r="C754">
        <v>2026</v>
      </c>
      <c r="E754">
        <f>-(IF(VLOOKUP(B754,'2023 Z Scores'!$A$1:$K$309,11,FALSE)&gt;2,VLOOKUP(B754,'2023 Z Scores'!$A$1:$K$309,10,FALSE)/VLOOKUP(B754,'2023 Z Scores'!$A$1:$K$309,11,FALSE),"Not Enough data"))</f>
        <v>-0.34171459288472444</v>
      </c>
      <c r="F754">
        <f>IF(VLOOKUP(A754,'Delta Z Scores'!$A$1:$N$1541,14,FALSE)&gt;2,VLOOKUP(A754,'Delta Z Scores'!$A$1:$N$1541,13,FALSE)/VLOOKUP(A754,'Delta Z Scores'!$A$1:$N$1541,14,FALSE),"Not Enough Data")</f>
        <v>0.75906281394217479</v>
      </c>
      <c r="G754">
        <f>IF(VLOOKUP(A754,'Forecast Z Scores'!$A$1:$N$1541,14,FALSE)&gt;2,VLOOKUP(A754,'Forecast Z Scores'!$A$1:$N$1541,13,FALSE)/VLOOKUP(A754,'Forecast Z Scores'!$A$1:$N$1541,14,FALSE),"Not Enough Data")</f>
        <v>0.73825566226016115</v>
      </c>
      <c r="H754">
        <v>0.47866667431494658</v>
      </c>
    </row>
    <row r="755" spans="1:8" x14ac:dyDescent="0.35">
      <c r="A755" t="str">
        <f t="shared" si="11"/>
        <v>18097355900_2027</v>
      </c>
      <c r="B755">
        <v>18097355900</v>
      </c>
      <c r="C755">
        <v>2027</v>
      </c>
      <c r="E755">
        <f>-(IF(VLOOKUP(B755,'2023 Z Scores'!$A$1:$K$309,11,FALSE)&gt;2,VLOOKUP(B755,'2023 Z Scores'!$A$1:$K$309,10,FALSE)/VLOOKUP(B755,'2023 Z Scores'!$A$1:$K$309,11,FALSE),"Not Enough data"))</f>
        <v>-0.34171459288472444</v>
      </c>
      <c r="F755">
        <f>IF(VLOOKUP(A755,'Delta Z Scores'!$A$1:$N$1541,14,FALSE)&gt;2,VLOOKUP(A755,'Delta Z Scores'!$A$1:$N$1541,13,FALSE)/VLOOKUP(A755,'Delta Z Scores'!$A$1:$N$1541,14,FALSE),"Not Enough Data")</f>
        <v>0.46673545951509227</v>
      </c>
      <c r="G755">
        <f>IF(VLOOKUP(A755,'Forecast Z Scores'!$A$1:$N$1541,14,FALSE)&gt;2,VLOOKUP(A755,'Forecast Z Scores'!$A$1:$N$1541,13,FALSE)/VLOOKUP(A755,'Forecast Z Scores'!$A$1:$N$1541,14,FALSE),"Not Enough Data")</f>
        <v>0.80394042039649849</v>
      </c>
      <c r="H755">
        <v>0.34892418663548963</v>
      </c>
    </row>
    <row r="756" spans="1:8" x14ac:dyDescent="0.35">
      <c r="A756" t="str">
        <f t="shared" si="11"/>
        <v>18097355900_2028</v>
      </c>
      <c r="B756">
        <v>18097355900</v>
      </c>
      <c r="C756">
        <v>2028</v>
      </c>
      <c r="E756">
        <f>-(IF(VLOOKUP(B756,'2023 Z Scores'!$A$1:$K$309,11,FALSE)&gt;2,VLOOKUP(B756,'2023 Z Scores'!$A$1:$K$309,10,FALSE)/VLOOKUP(B756,'2023 Z Scores'!$A$1:$K$309,11,FALSE),"Not Enough data"))</f>
        <v>-0.34171459288472444</v>
      </c>
      <c r="F756">
        <f>IF(VLOOKUP(A756,'Delta Z Scores'!$A$1:$N$1541,14,FALSE)&gt;2,VLOOKUP(A756,'Delta Z Scores'!$A$1:$N$1541,13,FALSE)/VLOOKUP(A756,'Delta Z Scores'!$A$1:$N$1541,14,FALSE),"Not Enough Data")</f>
        <v>0.66991567071189384</v>
      </c>
      <c r="G756">
        <f>IF(VLOOKUP(A756,'Forecast Z Scores'!$A$1:$N$1541,14,FALSE)&gt;2,VLOOKUP(A756,'Forecast Z Scores'!$A$1:$N$1541,13,FALSE)/VLOOKUP(A756,'Forecast Z Scores'!$A$1:$N$1541,14,FALSE),"Not Enough Data")</f>
        <v>0.89444409366134636</v>
      </c>
      <c r="H756">
        <v>0.47314021055010236</v>
      </c>
    </row>
    <row r="757" spans="1:8" x14ac:dyDescent="0.35">
      <c r="A757" t="str">
        <f t="shared" si="11"/>
        <v>18097356200_2024</v>
      </c>
      <c r="B757">
        <v>18097356200</v>
      </c>
      <c r="C757">
        <v>2024</v>
      </c>
      <c r="E757">
        <f>-(IF(VLOOKUP(B757,'2023 Z Scores'!$A$1:$K$309,11,FALSE)&gt;2,VLOOKUP(B757,'2023 Z Scores'!$A$1:$K$309,10,FALSE)/VLOOKUP(B757,'2023 Z Scores'!$A$1:$K$309,11,FALSE),"Not Enough data"))</f>
        <v>-0.13015122501683846</v>
      </c>
      <c r="F757">
        <f>IF(VLOOKUP(A757,'Delta Z Scores'!$A$1:$N$1541,14,FALSE)&gt;2,VLOOKUP(A757,'Delta Z Scores'!$A$1:$N$1541,13,FALSE)/VLOOKUP(A757,'Delta Z Scores'!$A$1:$N$1541,14,FALSE),"Not Enough Data")</f>
        <v>0.10542351205685352</v>
      </c>
      <c r="G757">
        <f>IF(VLOOKUP(A757,'Forecast Z Scores'!$A$1:$N$1541,14,FALSE)&gt;2,VLOOKUP(A757,'Forecast Z Scores'!$A$1:$N$1541,13,FALSE)/VLOOKUP(A757,'Forecast Z Scores'!$A$1:$N$1541,14,FALSE),"Not Enough Data")</f>
        <v>0.47759413433888237</v>
      </c>
      <c r="H757">
        <v>0.13957248335893774</v>
      </c>
    </row>
    <row r="758" spans="1:8" x14ac:dyDescent="0.35">
      <c r="A758" t="str">
        <f t="shared" si="11"/>
        <v>18097356200_2025</v>
      </c>
      <c r="B758">
        <v>18097356200</v>
      </c>
      <c r="C758">
        <v>2025</v>
      </c>
      <c r="E758">
        <f>-(IF(VLOOKUP(B758,'2023 Z Scores'!$A$1:$K$309,11,FALSE)&gt;2,VLOOKUP(B758,'2023 Z Scores'!$A$1:$K$309,10,FALSE)/VLOOKUP(B758,'2023 Z Scores'!$A$1:$K$309,11,FALSE),"Not Enough data"))</f>
        <v>-0.13015122501683846</v>
      </c>
      <c r="F758">
        <f>IF(VLOOKUP(A758,'Delta Z Scores'!$A$1:$N$1541,14,FALSE)&gt;2,VLOOKUP(A758,'Delta Z Scores'!$A$1:$N$1541,13,FALSE)/VLOOKUP(A758,'Delta Z Scores'!$A$1:$N$1541,14,FALSE),"Not Enough Data")</f>
        <v>0.32857661303126495</v>
      </c>
      <c r="G758">
        <f>IF(VLOOKUP(A758,'Forecast Z Scores'!$A$1:$N$1541,14,FALSE)&gt;2,VLOOKUP(A758,'Forecast Z Scores'!$A$1:$N$1541,13,FALSE)/VLOOKUP(A758,'Forecast Z Scores'!$A$1:$N$1541,14,FALSE),"Not Enough Data")</f>
        <v>0.56229453116175621</v>
      </c>
      <c r="H758">
        <v>0.27232413305186193</v>
      </c>
    </row>
    <row r="759" spans="1:8" x14ac:dyDescent="0.35">
      <c r="A759" t="str">
        <f t="shared" si="11"/>
        <v>18097356200_2026</v>
      </c>
      <c r="B759">
        <v>18097356200</v>
      </c>
      <c r="C759">
        <v>2026</v>
      </c>
      <c r="E759">
        <f>-(IF(VLOOKUP(B759,'2023 Z Scores'!$A$1:$K$309,11,FALSE)&gt;2,VLOOKUP(B759,'2023 Z Scores'!$A$1:$K$309,10,FALSE)/VLOOKUP(B759,'2023 Z Scores'!$A$1:$K$309,11,FALSE),"Not Enough data"))</f>
        <v>-0.13015122501683846</v>
      </c>
      <c r="F759">
        <f>IF(VLOOKUP(A759,'Delta Z Scores'!$A$1:$N$1541,14,FALSE)&gt;2,VLOOKUP(A759,'Delta Z Scores'!$A$1:$N$1541,13,FALSE)/VLOOKUP(A759,'Delta Z Scores'!$A$1:$N$1541,14,FALSE),"Not Enough Data")</f>
        <v>0.33261872125692427</v>
      </c>
      <c r="G759">
        <f>IF(VLOOKUP(A759,'Forecast Z Scores'!$A$1:$N$1541,14,FALSE)&gt;2,VLOOKUP(A759,'Forecast Z Scores'!$A$1:$N$1541,13,FALSE)/VLOOKUP(A759,'Forecast Z Scores'!$A$1:$N$1541,14,FALSE),"Not Enough Data")</f>
        <v>0.64392591658966924</v>
      </c>
      <c r="H759">
        <v>0.29475303352166987</v>
      </c>
    </row>
    <row r="760" spans="1:8" x14ac:dyDescent="0.35">
      <c r="A760" t="str">
        <f t="shared" si="11"/>
        <v>18097356200_2027</v>
      </c>
      <c r="B760">
        <v>18097356200</v>
      </c>
      <c r="C760">
        <v>2027</v>
      </c>
      <c r="E760">
        <f>-(IF(VLOOKUP(B760,'2023 Z Scores'!$A$1:$K$309,11,FALSE)&gt;2,VLOOKUP(B760,'2023 Z Scores'!$A$1:$K$309,10,FALSE)/VLOOKUP(B760,'2023 Z Scores'!$A$1:$K$309,11,FALSE),"Not Enough data"))</f>
        <v>-0.13015122501683846</v>
      </c>
      <c r="F760">
        <f>IF(VLOOKUP(A760,'Delta Z Scores'!$A$1:$N$1541,14,FALSE)&gt;2,VLOOKUP(A760,'Delta Z Scores'!$A$1:$N$1541,13,FALSE)/VLOOKUP(A760,'Delta Z Scores'!$A$1:$N$1541,14,FALSE),"Not Enough Data")</f>
        <v>0.38920769260756954</v>
      </c>
      <c r="G760">
        <f>IF(VLOOKUP(A760,'Forecast Z Scores'!$A$1:$N$1541,14,FALSE)&gt;2,VLOOKUP(A760,'Forecast Z Scores'!$A$1:$N$1541,13,FALSE)/VLOOKUP(A760,'Forecast Z Scores'!$A$1:$N$1541,14,FALSE),"Not Enough Data")</f>
        <v>0.72433919486459741</v>
      </c>
      <c r="H760">
        <v>0.34315083876572455</v>
      </c>
    </row>
    <row r="761" spans="1:8" x14ac:dyDescent="0.35">
      <c r="A761" t="str">
        <f t="shared" si="11"/>
        <v>18097356200_2028</v>
      </c>
      <c r="B761">
        <v>18097356200</v>
      </c>
      <c r="C761">
        <v>2028</v>
      </c>
      <c r="E761">
        <f>-(IF(VLOOKUP(B761,'2023 Z Scores'!$A$1:$K$309,11,FALSE)&gt;2,VLOOKUP(B761,'2023 Z Scores'!$A$1:$K$309,10,FALSE)/VLOOKUP(B761,'2023 Z Scores'!$A$1:$K$309,11,FALSE),"Not Enough data"))</f>
        <v>-0.13015122501683846</v>
      </c>
      <c r="F761">
        <f>IF(VLOOKUP(A761,'Delta Z Scores'!$A$1:$N$1541,14,FALSE)&gt;2,VLOOKUP(A761,'Delta Z Scores'!$A$1:$N$1541,13,FALSE)/VLOOKUP(A761,'Delta Z Scores'!$A$1:$N$1541,14,FALSE),"Not Enough Data")</f>
        <v>0.35074449752130255</v>
      </c>
      <c r="G761">
        <f>IF(VLOOKUP(A761,'Forecast Z Scores'!$A$1:$N$1541,14,FALSE)&gt;2,VLOOKUP(A761,'Forecast Z Scores'!$A$1:$N$1541,13,FALSE)/VLOOKUP(A761,'Forecast Z Scores'!$A$1:$N$1541,14,FALSE),"Not Enough Data")</f>
        <v>0.7785526724976225</v>
      </c>
      <c r="H761">
        <v>0.33747261063084727</v>
      </c>
    </row>
    <row r="762" spans="1:8" x14ac:dyDescent="0.35">
      <c r="A762" t="str">
        <f t="shared" si="11"/>
        <v>18097356400_2024</v>
      </c>
      <c r="B762">
        <v>18097356400</v>
      </c>
      <c r="C762">
        <v>2024</v>
      </c>
      <c r="E762">
        <f>-(IF(VLOOKUP(B762,'2023 Z Scores'!$A$1:$K$309,11,FALSE)&gt;2,VLOOKUP(B762,'2023 Z Scores'!$A$1:$K$309,10,FALSE)/VLOOKUP(B762,'2023 Z Scores'!$A$1:$K$309,11,FALSE),"Not Enough data"))</f>
        <v>0.46341455414060956</v>
      </c>
      <c r="F762">
        <f>IF(VLOOKUP(A762,'Delta Z Scores'!$A$1:$N$1541,14,FALSE)&gt;2,VLOOKUP(A762,'Delta Z Scores'!$A$1:$N$1541,13,FALSE)/VLOOKUP(A762,'Delta Z Scores'!$A$1:$N$1541,14,FALSE),"Not Enough Data")</f>
        <v>0.15683703271367364</v>
      </c>
      <c r="G762">
        <f>IF(VLOOKUP(A762,'Forecast Z Scores'!$A$1:$N$1541,14,FALSE)&gt;2,VLOOKUP(A762,'Forecast Z Scores'!$A$1:$N$1541,13,FALSE)/VLOOKUP(A762,'Forecast Z Scores'!$A$1:$N$1541,14,FALSE),"Not Enough Data")</f>
        <v>-6.0801514192997799E-2</v>
      </c>
      <c r="H762">
        <v>0.17907177634373977</v>
      </c>
    </row>
    <row r="763" spans="1:8" x14ac:dyDescent="0.35">
      <c r="A763" t="str">
        <f t="shared" si="11"/>
        <v>18097356400_2025</v>
      </c>
      <c r="B763">
        <v>18097356400</v>
      </c>
      <c r="C763">
        <v>2025</v>
      </c>
      <c r="E763">
        <f>-(IF(VLOOKUP(B763,'2023 Z Scores'!$A$1:$K$309,11,FALSE)&gt;2,VLOOKUP(B763,'2023 Z Scores'!$A$1:$K$309,10,FALSE)/VLOOKUP(B763,'2023 Z Scores'!$A$1:$K$309,11,FALSE),"Not Enough data"))</f>
        <v>0.46341455414060956</v>
      </c>
      <c r="F763">
        <f>IF(VLOOKUP(A763,'Delta Z Scores'!$A$1:$N$1541,14,FALSE)&gt;2,VLOOKUP(A763,'Delta Z Scores'!$A$1:$N$1541,13,FALSE)/VLOOKUP(A763,'Delta Z Scores'!$A$1:$N$1541,14,FALSE),"Not Enough Data")</f>
        <v>0.51307544623540291</v>
      </c>
      <c r="G763">
        <f>IF(VLOOKUP(A763,'Forecast Z Scores'!$A$1:$N$1541,14,FALSE)&gt;2,VLOOKUP(A763,'Forecast Z Scores'!$A$1:$N$1541,13,FALSE)/VLOOKUP(A763,'Forecast Z Scores'!$A$1:$N$1541,14,FALSE),"Not Enough Data")</f>
        <v>-2.627561082578115E-2</v>
      </c>
      <c r="H763">
        <v>0.36582245894640858</v>
      </c>
    </row>
    <row r="764" spans="1:8" x14ac:dyDescent="0.35">
      <c r="A764" t="str">
        <f t="shared" si="11"/>
        <v>18097356400_2026</v>
      </c>
      <c r="B764">
        <v>18097356400</v>
      </c>
      <c r="C764">
        <v>2026</v>
      </c>
      <c r="E764">
        <f>-(IF(VLOOKUP(B764,'2023 Z Scores'!$A$1:$K$309,11,FALSE)&gt;2,VLOOKUP(B764,'2023 Z Scores'!$A$1:$K$309,10,FALSE)/VLOOKUP(B764,'2023 Z Scores'!$A$1:$K$309,11,FALSE),"Not Enough data"))</f>
        <v>0.46341455414060956</v>
      </c>
      <c r="F764">
        <f>IF(VLOOKUP(A764,'Delta Z Scores'!$A$1:$N$1541,14,FALSE)&gt;2,VLOOKUP(A764,'Delta Z Scores'!$A$1:$N$1541,13,FALSE)/VLOOKUP(A764,'Delta Z Scores'!$A$1:$N$1541,14,FALSE),"Not Enough Data")</f>
        <v>0.21949582140774967</v>
      </c>
      <c r="G764">
        <f>IF(VLOOKUP(A764,'Forecast Z Scores'!$A$1:$N$1541,14,FALSE)&gt;2,VLOOKUP(A764,'Forecast Z Scores'!$A$1:$N$1541,13,FALSE)/VLOOKUP(A764,'Forecast Z Scores'!$A$1:$N$1541,14,FALSE),"Not Enough Data")</f>
        <v>-1.7044403423341122E-2</v>
      </c>
      <c r="H764">
        <v>0.22134044838319195</v>
      </c>
    </row>
    <row r="765" spans="1:8" x14ac:dyDescent="0.35">
      <c r="A765" t="str">
        <f t="shared" si="11"/>
        <v>18097356400_2027</v>
      </c>
      <c r="B765">
        <v>18097356400</v>
      </c>
      <c r="C765">
        <v>2027</v>
      </c>
      <c r="E765">
        <f>-(IF(VLOOKUP(B765,'2023 Z Scores'!$A$1:$K$309,11,FALSE)&gt;2,VLOOKUP(B765,'2023 Z Scores'!$A$1:$K$309,10,FALSE)/VLOOKUP(B765,'2023 Z Scores'!$A$1:$K$309,11,FALSE),"Not Enough data"))</f>
        <v>0.46341455414060956</v>
      </c>
      <c r="F765">
        <f>IF(VLOOKUP(A765,'Delta Z Scores'!$A$1:$N$1541,14,FALSE)&gt;2,VLOOKUP(A765,'Delta Z Scores'!$A$1:$N$1541,13,FALSE)/VLOOKUP(A765,'Delta Z Scores'!$A$1:$N$1541,14,FALSE),"Not Enough Data")</f>
        <v>0.44013001575122923</v>
      </c>
      <c r="G765">
        <f>IF(VLOOKUP(A765,'Forecast Z Scores'!$A$1:$N$1541,14,FALSE)&gt;2,VLOOKUP(A765,'Forecast Z Scores'!$A$1:$N$1541,13,FALSE)/VLOOKUP(A765,'Forecast Z Scores'!$A$1:$N$1541,14,FALSE),"Not Enough Data")</f>
        <v>-2.9701465466963617E-6</v>
      </c>
      <c r="H765">
        <v>0.33591790387413034</v>
      </c>
    </row>
    <row r="766" spans="1:8" x14ac:dyDescent="0.35">
      <c r="A766" t="str">
        <f t="shared" si="11"/>
        <v>18097356400_2028</v>
      </c>
      <c r="B766">
        <v>18097356400</v>
      </c>
      <c r="C766">
        <v>2028</v>
      </c>
      <c r="E766">
        <f>-(IF(VLOOKUP(B766,'2023 Z Scores'!$A$1:$K$309,11,FALSE)&gt;2,VLOOKUP(B766,'2023 Z Scores'!$A$1:$K$309,10,FALSE)/VLOOKUP(B766,'2023 Z Scores'!$A$1:$K$309,11,FALSE),"Not Enough data"))</f>
        <v>0.46341455414060956</v>
      </c>
      <c r="F766">
        <f>IF(VLOOKUP(A766,'Delta Z Scores'!$A$1:$N$1541,14,FALSE)&gt;2,VLOOKUP(A766,'Delta Z Scores'!$A$1:$N$1541,13,FALSE)/VLOOKUP(A766,'Delta Z Scores'!$A$1:$N$1541,14,FALSE),"Not Enough Data")</f>
        <v>0.3039080696634065</v>
      </c>
      <c r="G766">
        <f>IF(VLOOKUP(A766,'Forecast Z Scores'!$A$1:$N$1541,14,FALSE)&gt;2,VLOOKUP(A766,'Forecast Z Scores'!$A$1:$N$1541,13,FALSE)/VLOOKUP(A766,'Forecast Z Scores'!$A$1:$N$1541,14,FALSE),"Not Enough Data")</f>
        <v>6.7391548754545047E-3</v>
      </c>
      <c r="H766">
        <v>0.26949246208571925</v>
      </c>
    </row>
    <row r="767" spans="1:8" x14ac:dyDescent="0.35">
      <c r="A767" t="str">
        <f t="shared" si="11"/>
        <v>18097356900_2024</v>
      </c>
      <c r="B767">
        <v>18097356900</v>
      </c>
      <c r="C767">
        <v>2024</v>
      </c>
      <c r="E767">
        <f>-(IF(VLOOKUP(B767,'2023 Z Scores'!$A$1:$K$309,11,FALSE)&gt;2,VLOOKUP(B767,'2023 Z Scores'!$A$1:$K$309,10,FALSE)/VLOOKUP(B767,'2023 Z Scores'!$A$1:$K$309,11,FALSE),"Not Enough data"))</f>
        <v>0.50262319221167984</v>
      </c>
      <c r="F767">
        <f>IF(VLOOKUP(A767,'Delta Z Scores'!$A$1:$N$1541,14,FALSE)&gt;2,VLOOKUP(A767,'Delta Z Scores'!$A$1:$N$1541,13,FALSE)/VLOOKUP(A767,'Delta Z Scores'!$A$1:$N$1541,14,FALSE),"Not Enough Data")</f>
        <v>-0.13403629914501855</v>
      </c>
      <c r="G767">
        <f>IF(VLOOKUP(A767,'Forecast Z Scores'!$A$1:$N$1541,14,FALSE)&gt;2,VLOOKUP(A767,'Forecast Z Scores'!$A$1:$N$1541,13,FALSE)/VLOOKUP(A767,'Forecast Z Scores'!$A$1:$N$1541,14,FALSE),"Not Enough Data")</f>
        <v>-0.18625182582914751</v>
      </c>
      <c r="H767">
        <v>1.2074692023123806E-2</v>
      </c>
    </row>
    <row r="768" spans="1:8" x14ac:dyDescent="0.35">
      <c r="A768" t="str">
        <f t="shared" si="11"/>
        <v>18097356900_2025</v>
      </c>
      <c r="B768">
        <v>18097356900</v>
      </c>
      <c r="C768">
        <v>2025</v>
      </c>
      <c r="E768">
        <f>-(IF(VLOOKUP(B768,'2023 Z Scores'!$A$1:$K$309,11,FALSE)&gt;2,VLOOKUP(B768,'2023 Z Scores'!$A$1:$K$309,10,FALSE)/VLOOKUP(B768,'2023 Z Scores'!$A$1:$K$309,11,FALSE),"Not Enough data"))</f>
        <v>0.50262319221167984</v>
      </c>
      <c r="F768">
        <f>IF(VLOOKUP(A768,'Delta Z Scores'!$A$1:$N$1541,14,FALSE)&gt;2,VLOOKUP(A768,'Delta Z Scores'!$A$1:$N$1541,13,FALSE)/VLOOKUP(A768,'Delta Z Scores'!$A$1:$N$1541,14,FALSE),"Not Enough Data")</f>
        <v>-0.28172264016991294</v>
      </c>
      <c r="G768">
        <f>IF(VLOOKUP(A768,'Forecast Z Scores'!$A$1:$N$1541,14,FALSE)&gt;2,VLOOKUP(A768,'Forecast Z Scores'!$A$1:$N$1541,13,FALSE)/VLOOKUP(A768,'Forecast Z Scores'!$A$1:$N$1541,14,FALSE),"Not Enough Data")</f>
        <v>-0.21628897819093046</v>
      </c>
      <c r="H768">
        <v>-6.9277766579769112E-2</v>
      </c>
    </row>
    <row r="769" spans="1:8" x14ac:dyDescent="0.35">
      <c r="A769" t="str">
        <f t="shared" si="11"/>
        <v>18097356900_2026</v>
      </c>
      <c r="B769">
        <v>18097356900</v>
      </c>
      <c r="C769">
        <v>2026</v>
      </c>
      <c r="E769">
        <f>-(IF(VLOOKUP(B769,'2023 Z Scores'!$A$1:$K$309,11,FALSE)&gt;2,VLOOKUP(B769,'2023 Z Scores'!$A$1:$K$309,10,FALSE)/VLOOKUP(B769,'2023 Z Scores'!$A$1:$K$309,11,FALSE),"Not Enough data"))</f>
        <v>0.50262319221167984</v>
      </c>
      <c r="F769">
        <f>IF(VLOOKUP(A769,'Delta Z Scores'!$A$1:$N$1541,14,FALSE)&gt;2,VLOOKUP(A769,'Delta Z Scores'!$A$1:$N$1541,13,FALSE)/VLOOKUP(A769,'Delta Z Scores'!$A$1:$N$1541,14,FALSE),"Not Enough Data")</f>
        <v>4.1669012126238393E-2</v>
      </c>
      <c r="G769">
        <f>IF(VLOOKUP(A769,'Forecast Z Scores'!$A$1:$N$1541,14,FALSE)&gt;2,VLOOKUP(A769,'Forecast Z Scores'!$A$1:$N$1541,13,FALSE)/VLOOKUP(A769,'Forecast Z Scores'!$A$1:$N$1541,14,FALSE),"Not Enough Data")</f>
        <v>-0.19728309017972187</v>
      </c>
      <c r="H769">
        <v>9.7169531571108692E-2</v>
      </c>
    </row>
    <row r="770" spans="1:8" x14ac:dyDescent="0.35">
      <c r="A770" t="str">
        <f t="shared" si="11"/>
        <v>18097356900_2027</v>
      </c>
      <c r="B770">
        <v>18097356900</v>
      </c>
      <c r="C770">
        <v>2027</v>
      </c>
      <c r="E770">
        <f>-(IF(VLOOKUP(B770,'2023 Z Scores'!$A$1:$K$309,11,FALSE)&gt;2,VLOOKUP(B770,'2023 Z Scores'!$A$1:$K$309,10,FALSE)/VLOOKUP(B770,'2023 Z Scores'!$A$1:$K$309,11,FALSE),"Not Enough data"))</f>
        <v>0.50262319221167984</v>
      </c>
      <c r="F770">
        <f>IF(VLOOKUP(A770,'Delta Z Scores'!$A$1:$N$1541,14,FALSE)&gt;2,VLOOKUP(A770,'Delta Z Scores'!$A$1:$N$1541,13,FALSE)/VLOOKUP(A770,'Delta Z Scores'!$A$1:$N$1541,14,FALSE),"Not Enough Data")</f>
        <v>-0.10617941921692593</v>
      </c>
      <c r="G770">
        <f>IF(VLOOKUP(A770,'Forecast Z Scores'!$A$1:$N$1541,14,FALSE)&gt;2,VLOOKUP(A770,'Forecast Z Scores'!$A$1:$N$1541,13,FALSE)/VLOOKUP(A770,'Forecast Z Scores'!$A$1:$N$1541,14,FALSE),"Not Enough Data")</f>
        <v>-0.20499634375629441</v>
      </c>
      <c r="H770">
        <v>2.1317002505383389E-2</v>
      </c>
    </row>
    <row r="771" spans="1:8" x14ac:dyDescent="0.35">
      <c r="A771" t="str">
        <f t="shared" ref="A771:A834" si="12">TEXT(B771,0)&amp;"_"&amp;TEXT(C771,0)</f>
        <v>18097356900_2028</v>
      </c>
      <c r="B771">
        <v>18097356900</v>
      </c>
      <c r="C771">
        <v>2028</v>
      </c>
      <c r="E771">
        <f>-(IF(VLOOKUP(B771,'2023 Z Scores'!$A$1:$K$309,11,FALSE)&gt;2,VLOOKUP(B771,'2023 Z Scores'!$A$1:$K$309,10,FALSE)/VLOOKUP(B771,'2023 Z Scores'!$A$1:$K$309,11,FALSE),"Not Enough data"))</f>
        <v>0.50262319221167984</v>
      </c>
      <c r="F771">
        <f>IF(VLOOKUP(A771,'Delta Z Scores'!$A$1:$N$1541,14,FALSE)&gt;2,VLOOKUP(A771,'Delta Z Scores'!$A$1:$N$1541,13,FALSE)/VLOOKUP(A771,'Delta Z Scores'!$A$1:$N$1541,14,FALSE),"Not Enough Data")</f>
        <v>5.6877453025324202E-2</v>
      </c>
      <c r="G771">
        <f>IF(VLOOKUP(A771,'Forecast Z Scores'!$A$1:$N$1541,14,FALSE)&gt;2,VLOOKUP(A771,'Forecast Z Scores'!$A$1:$N$1541,13,FALSE)/VLOOKUP(A771,'Forecast Z Scores'!$A$1:$N$1541,14,FALSE),"Not Enough Data")</f>
        <v>-0.18737709687806861</v>
      </c>
      <c r="H771">
        <v>0.1072502503460649</v>
      </c>
    </row>
    <row r="772" spans="1:8" x14ac:dyDescent="0.35">
      <c r="A772" t="str">
        <f t="shared" si="12"/>
        <v>18097357000_2024</v>
      </c>
      <c r="B772">
        <v>18097357000</v>
      </c>
      <c r="C772">
        <v>2024</v>
      </c>
      <c r="E772">
        <f>-(IF(VLOOKUP(B772,'2023 Z Scores'!$A$1:$K$309,11,FALSE)&gt;2,VLOOKUP(B772,'2023 Z Scores'!$A$1:$K$309,10,FALSE)/VLOOKUP(B772,'2023 Z Scores'!$A$1:$K$309,11,FALSE),"Not Enough data"))</f>
        <v>1.2144852689367713E-2</v>
      </c>
      <c r="F772">
        <f>IF(VLOOKUP(A772,'Delta Z Scores'!$A$1:$N$1541,14,FALSE)&gt;2,VLOOKUP(A772,'Delta Z Scores'!$A$1:$N$1541,13,FALSE)/VLOOKUP(A772,'Delta Z Scores'!$A$1:$N$1541,14,FALSE),"Not Enough Data")</f>
        <v>6.5225379960890909E-2</v>
      </c>
      <c r="G772">
        <f>IF(VLOOKUP(A772,'Forecast Z Scores'!$A$1:$N$1541,14,FALSE)&gt;2,VLOOKUP(A772,'Forecast Z Scores'!$A$1:$N$1541,13,FALSE)/VLOOKUP(A772,'Forecast Z Scores'!$A$1:$N$1541,14,FALSE),"Not Enough Data")</f>
        <v>0.1477362461754213</v>
      </c>
      <c r="H772">
        <v>7.2582964696642716E-2</v>
      </c>
    </row>
    <row r="773" spans="1:8" x14ac:dyDescent="0.35">
      <c r="A773" t="str">
        <f t="shared" si="12"/>
        <v>18097357000_2025</v>
      </c>
      <c r="B773">
        <v>18097357000</v>
      </c>
      <c r="C773">
        <v>2025</v>
      </c>
      <c r="E773">
        <f>-(IF(VLOOKUP(B773,'2023 Z Scores'!$A$1:$K$309,11,FALSE)&gt;2,VLOOKUP(B773,'2023 Z Scores'!$A$1:$K$309,10,FALSE)/VLOOKUP(B773,'2023 Z Scores'!$A$1:$K$309,11,FALSE),"Not Enough data"))</f>
        <v>1.2144852689367713E-2</v>
      </c>
      <c r="F773">
        <f>IF(VLOOKUP(A773,'Delta Z Scores'!$A$1:$N$1541,14,FALSE)&gt;2,VLOOKUP(A773,'Delta Z Scores'!$A$1:$N$1541,13,FALSE)/VLOOKUP(A773,'Delta Z Scores'!$A$1:$N$1541,14,FALSE),"Not Enough Data")</f>
        <v>0.158975383425151</v>
      </c>
      <c r="G773">
        <f>IF(VLOOKUP(A773,'Forecast Z Scores'!$A$1:$N$1541,14,FALSE)&gt;2,VLOOKUP(A773,'Forecast Z Scores'!$A$1:$N$1541,13,FALSE)/VLOOKUP(A773,'Forecast Z Scores'!$A$1:$N$1541,14,FALSE),"Not Enough Data")</f>
        <v>0.15792172968740864</v>
      </c>
      <c r="H773">
        <v>0.12200433730676959</v>
      </c>
    </row>
    <row r="774" spans="1:8" x14ac:dyDescent="0.35">
      <c r="A774" t="str">
        <f t="shared" si="12"/>
        <v>18097357000_2026</v>
      </c>
      <c r="B774">
        <v>18097357000</v>
      </c>
      <c r="C774">
        <v>2026</v>
      </c>
      <c r="E774">
        <f>-(IF(VLOOKUP(B774,'2023 Z Scores'!$A$1:$K$309,11,FALSE)&gt;2,VLOOKUP(B774,'2023 Z Scores'!$A$1:$K$309,10,FALSE)/VLOOKUP(B774,'2023 Z Scores'!$A$1:$K$309,11,FALSE),"Not Enough data"))</f>
        <v>1.2144852689367713E-2</v>
      </c>
      <c r="F774">
        <f>IF(VLOOKUP(A774,'Delta Z Scores'!$A$1:$N$1541,14,FALSE)&gt;2,VLOOKUP(A774,'Delta Z Scores'!$A$1:$N$1541,13,FALSE)/VLOOKUP(A774,'Delta Z Scores'!$A$1:$N$1541,14,FALSE),"Not Enough Data")</f>
        <v>0.52456966693686324</v>
      </c>
      <c r="G774">
        <f>IF(VLOOKUP(A774,'Forecast Z Scores'!$A$1:$N$1541,14,FALSE)&gt;2,VLOOKUP(A774,'Forecast Z Scores'!$A$1:$N$1541,13,FALSE)/VLOOKUP(A774,'Forecast Z Scores'!$A$1:$N$1541,14,FALSE),"Not Enough Data")</f>
        <v>0.21290863908892335</v>
      </c>
      <c r="H774">
        <v>0.31854820641300441</v>
      </c>
    </row>
    <row r="775" spans="1:8" x14ac:dyDescent="0.35">
      <c r="A775" t="str">
        <f t="shared" si="12"/>
        <v>18097357000_2027</v>
      </c>
      <c r="B775">
        <v>18097357000</v>
      </c>
      <c r="C775">
        <v>2027</v>
      </c>
      <c r="E775">
        <f>-(IF(VLOOKUP(B775,'2023 Z Scores'!$A$1:$K$309,11,FALSE)&gt;2,VLOOKUP(B775,'2023 Z Scores'!$A$1:$K$309,10,FALSE)/VLOOKUP(B775,'2023 Z Scores'!$A$1:$K$309,11,FALSE),"Not Enough data"))</f>
        <v>1.2144852689367713E-2</v>
      </c>
      <c r="F775">
        <f>IF(VLOOKUP(A775,'Delta Z Scores'!$A$1:$N$1541,14,FALSE)&gt;2,VLOOKUP(A775,'Delta Z Scores'!$A$1:$N$1541,13,FALSE)/VLOOKUP(A775,'Delta Z Scores'!$A$1:$N$1541,14,FALSE),"Not Enough Data")</f>
        <v>0.25105465316956393</v>
      </c>
      <c r="G775">
        <f>IF(VLOOKUP(A775,'Forecast Z Scores'!$A$1:$N$1541,14,FALSE)&gt;2,VLOOKUP(A775,'Forecast Z Scores'!$A$1:$N$1541,13,FALSE)/VLOOKUP(A775,'Forecast Z Scores'!$A$1:$N$1541,14,FALSE),"Not Enough Data")</f>
        <v>0.24920236788167002</v>
      </c>
      <c r="H775">
        <v>0.19086413172754141</v>
      </c>
    </row>
    <row r="776" spans="1:8" x14ac:dyDescent="0.35">
      <c r="A776" t="str">
        <f t="shared" si="12"/>
        <v>18097357000_2028</v>
      </c>
      <c r="B776">
        <v>18097357000</v>
      </c>
      <c r="C776">
        <v>2028</v>
      </c>
      <c r="E776">
        <f>-(IF(VLOOKUP(B776,'2023 Z Scores'!$A$1:$K$309,11,FALSE)&gt;2,VLOOKUP(B776,'2023 Z Scores'!$A$1:$K$309,10,FALSE)/VLOOKUP(B776,'2023 Z Scores'!$A$1:$K$309,11,FALSE),"Not Enough data"))</f>
        <v>1.2144852689367713E-2</v>
      </c>
      <c r="F776">
        <f>IF(VLOOKUP(A776,'Delta Z Scores'!$A$1:$N$1541,14,FALSE)&gt;2,VLOOKUP(A776,'Delta Z Scores'!$A$1:$N$1541,13,FALSE)/VLOOKUP(A776,'Delta Z Scores'!$A$1:$N$1541,14,FALSE),"Not Enough Data")</f>
        <v>0.47441676163600849</v>
      </c>
      <c r="G776">
        <f>IF(VLOOKUP(A776,'Forecast Z Scores'!$A$1:$N$1541,14,FALSE)&gt;2,VLOOKUP(A776,'Forecast Z Scores'!$A$1:$N$1541,13,FALSE)/VLOOKUP(A776,'Forecast Z Scores'!$A$1:$N$1541,14,FALSE),"Not Enough Data")</f>
        <v>0.30563270556680522</v>
      </c>
      <c r="H776">
        <v>0.31665277038204748</v>
      </c>
    </row>
    <row r="777" spans="1:8" x14ac:dyDescent="0.35">
      <c r="A777" t="str">
        <f t="shared" si="12"/>
        <v>18097357100_2024</v>
      </c>
      <c r="B777">
        <v>18097357100</v>
      </c>
      <c r="C777">
        <v>2024</v>
      </c>
      <c r="E777">
        <f>-(IF(VLOOKUP(B777,'2023 Z Scores'!$A$1:$K$309,11,FALSE)&gt;2,VLOOKUP(B777,'2023 Z Scores'!$A$1:$K$309,10,FALSE)/VLOOKUP(B777,'2023 Z Scores'!$A$1:$K$309,11,FALSE),"Not Enough data"))</f>
        <v>1.030422014649372E-3</v>
      </c>
      <c r="F777">
        <f>IF(VLOOKUP(A777,'Delta Z Scores'!$A$1:$N$1541,14,FALSE)&gt;2,VLOOKUP(A777,'Delta Z Scores'!$A$1:$N$1541,13,FALSE)/VLOOKUP(A777,'Delta Z Scores'!$A$1:$N$1541,14,FALSE),"Not Enough Data")</f>
        <v>0.3879324444668345</v>
      </c>
      <c r="G777">
        <f>IF(VLOOKUP(A777,'Forecast Z Scores'!$A$1:$N$1541,14,FALSE)&gt;2,VLOOKUP(A777,'Forecast Z Scores'!$A$1:$N$1541,13,FALSE)/VLOOKUP(A777,'Forecast Z Scores'!$A$1:$N$1541,14,FALSE),"Not Enough Data")</f>
        <v>0.29592981340277319</v>
      </c>
      <c r="H777">
        <v>0.26820628108777289</v>
      </c>
    </row>
    <row r="778" spans="1:8" x14ac:dyDescent="0.35">
      <c r="A778" t="str">
        <f t="shared" si="12"/>
        <v>18097357100_2025</v>
      </c>
      <c r="B778">
        <v>18097357100</v>
      </c>
      <c r="C778">
        <v>2025</v>
      </c>
      <c r="E778">
        <f>-(IF(VLOOKUP(B778,'2023 Z Scores'!$A$1:$K$309,11,FALSE)&gt;2,VLOOKUP(B778,'2023 Z Scores'!$A$1:$K$309,10,FALSE)/VLOOKUP(B778,'2023 Z Scores'!$A$1:$K$309,11,FALSE),"Not Enough data"))</f>
        <v>1.030422014649372E-3</v>
      </c>
      <c r="F778">
        <f>IF(VLOOKUP(A778,'Delta Z Scores'!$A$1:$N$1541,14,FALSE)&gt;2,VLOOKUP(A778,'Delta Z Scores'!$A$1:$N$1541,13,FALSE)/VLOOKUP(A778,'Delta Z Scores'!$A$1:$N$1541,14,FALSE),"Not Enough Data")</f>
        <v>0.57540028394625675</v>
      </c>
      <c r="G778">
        <f>IF(VLOOKUP(A778,'Forecast Z Scores'!$A$1:$N$1541,14,FALSE)&gt;2,VLOOKUP(A778,'Forecast Z Scores'!$A$1:$N$1541,13,FALSE)/VLOOKUP(A778,'Forecast Z Scores'!$A$1:$N$1541,14,FALSE),"Not Enough Data")</f>
        <v>0.41365179753013676</v>
      </c>
      <c r="H778">
        <v>0.39137069685932491</v>
      </c>
    </row>
    <row r="779" spans="1:8" x14ac:dyDescent="0.35">
      <c r="A779" t="str">
        <f t="shared" si="12"/>
        <v>18097357100_2026</v>
      </c>
      <c r="B779">
        <v>18097357100</v>
      </c>
      <c r="C779">
        <v>2026</v>
      </c>
      <c r="E779">
        <f>-(IF(VLOOKUP(B779,'2023 Z Scores'!$A$1:$K$309,11,FALSE)&gt;2,VLOOKUP(B779,'2023 Z Scores'!$A$1:$K$309,10,FALSE)/VLOOKUP(B779,'2023 Z Scores'!$A$1:$K$309,11,FALSE),"Not Enough data"))</f>
        <v>1.030422014649372E-3</v>
      </c>
      <c r="F779">
        <f>IF(VLOOKUP(A779,'Delta Z Scores'!$A$1:$N$1541,14,FALSE)&gt;2,VLOOKUP(A779,'Delta Z Scores'!$A$1:$N$1541,13,FALSE)/VLOOKUP(A779,'Delta Z Scores'!$A$1:$N$1541,14,FALSE),"Not Enough Data")</f>
        <v>0.71055704505900308</v>
      </c>
      <c r="G779">
        <f>IF(VLOOKUP(A779,'Forecast Z Scores'!$A$1:$N$1541,14,FALSE)&gt;2,VLOOKUP(A779,'Forecast Z Scores'!$A$1:$N$1541,13,FALSE)/VLOOKUP(A779,'Forecast Z Scores'!$A$1:$N$1541,14,FALSE),"Not Enough Data")</f>
        <v>0.52636735123467882</v>
      </c>
      <c r="H779">
        <v>0.48712796584183354</v>
      </c>
    </row>
    <row r="780" spans="1:8" x14ac:dyDescent="0.35">
      <c r="A780" t="str">
        <f t="shared" si="12"/>
        <v>18097357100_2027</v>
      </c>
      <c r="B780">
        <v>18097357100</v>
      </c>
      <c r="C780">
        <v>2027</v>
      </c>
      <c r="E780">
        <f>-(IF(VLOOKUP(B780,'2023 Z Scores'!$A$1:$K$309,11,FALSE)&gt;2,VLOOKUP(B780,'2023 Z Scores'!$A$1:$K$309,10,FALSE)/VLOOKUP(B780,'2023 Z Scores'!$A$1:$K$309,11,FALSE),"Not Enough data"))</f>
        <v>1.030422014649372E-3</v>
      </c>
      <c r="F780">
        <f>IF(VLOOKUP(A780,'Delta Z Scores'!$A$1:$N$1541,14,FALSE)&gt;2,VLOOKUP(A780,'Delta Z Scores'!$A$1:$N$1541,13,FALSE)/VLOOKUP(A780,'Delta Z Scores'!$A$1:$N$1541,14,FALSE),"Not Enough Data")</f>
        <v>0.45495922984816078</v>
      </c>
      <c r="G780">
        <f>IF(VLOOKUP(A780,'Forecast Z Scores'!$A$1:$N$1541,14,FALSE)&gt;2,VLOOKUP(A780,'Forecast Z Scores'!$A$1:$N$1541,13,FALSE)/VLOOKUP(A780,'Forecast Z Scores'!$A$1:$N$1541,14,FALSE),"Not Enough Data")</f>
        <v>0.5864039225383979</v>
      </c>
      <c r="H780">
        <v>0.37433820106234222</v>
      </c>
    </row>
    <row r="781" spans="1:8" x14ac:dyDescent="0.35">
      <c r="A781" t="str">
        <f t="shared" si="12"/>
        <v>18097357100_2028</v>
      </c>
      <c r="B781">
        <v>18097357100</v>
      </c>
      <c r="C781">
        <v>2028</v>
      </c>
      <c r="E781">
        <f>-(IF(VLOOKUP(B781,'2023 Z Scores'!$A$1:$K$309,11,FALSE)&gt;2,VLOOKUP(B781,'2023 Z Scores'!$A$1:$K$309,10,FALSE)/VLOOKUP(B781,'2023 Z Scores'!$A$1:$K$309,11,FALSE),"Not Enough data"))</f>
        <v>1.030422014649372E-3</v>
      </c>
      <c r="F781">
        <f>IF(VLOOKUP(A781,'Delta Z Scores'!$A$1:$N$1541,14,FALSE)&gt;2,VLOOKUP(A781,'Delta Z Scores'!$A$1:$N$1541,13,FALSE)/VLOOKUP(A781,'Delta Z Scores'!$A$1:$N$1541,14,FALSE),"Not Enough Data")</f>
        <v>0.57688909419270462</v>
      </c>
      <c r="G781">
        <f>IF(VLOOKUP(A781,'Forecast Z Scores'!$A$1:$N$1541,14,FALSE)&gt;2,VLOOKUP(A781,'Forecast Z Scores'!$A$1:$N$1541,13,FALSE)/VLOOKUP(A781,'Forecast Z Scores'!$A$1:$N$1541,14,FALSE),"Not Enough Data")</f>
        <v>0.65041398735476941</v>
      </c>
      <c r="H781">
        <v>0.45130564943870699</v>
      </c>
    </row>
    <row r="782" spans="1:8" x14ac:dyDescent="0.35">
      <c r="A782" t="str">
        <f t="shared" si="12"/>
        <v>18097357200_2024</v>
      </c>
      <c r="B782">
        <v>18097357200</v>
      </c>
      <c r="C782">
        <v>2024</v>
      </c>
      <c r="E782">
        <f>-(IF(VLOOKUP(B782,'2023 Z Scores'!$A$1:$K$309,11,FALSE)&gt;2,VLOOKUP(B782,'2023 Z Scores'!$A$1:$K$309,10,FALSE)/VLOOKUP(B782,'2023 Z Scores'!$A$1:$K$309,11,FALSE),"Not Enough data"))</f>
        <v>0.36331669898335689</v>
      </c>
      <c r="F782">
        <f>IF(VLOOKUP(A782,'Delta Z Scores'!$A$1:$N$1541,14,FALSE)&gt;2,VLOOKUP(A782,'Delta Z Scores'!$A$1:$N$1541,13,FALSE)/VLOOKUP(A782,'Delta Z Scores'!$A$1:$N$1541,14,FALSE),"Not Enough Data")</f>
        <v>0.16724382097477913</v>
      </c>
      <c r="G782">
        <f>IF(VLOOKUP(A782,'Forecast Z Scores'!$A$1:$N$1541,14,FALSE)&gt;2,VLOOKUP(A782,'Forecast Z Scores'!$A$1:$N$1541,13,FALSE)/VLOOKUP(A782,'Forecast Z Scores'!$A$1:$N$1541,14,FALSE),"Not Enough Data")</f>
        <v>-0.12798716046459285</v>
      </c>
      <c r="H782">
        <v>0.14245429511708058</v>
      </c>
    </row>
    <row r="783" spans="1:8" x14ac:dyDescent="0.35">
      <c r="A783" t="str">
        <f t="shared" si="12"/>
        <v>18097357200_2025</v>
      </c>
      <c r="B783">
        <v>18097357200</v>
      </c>
      <c r="C783">
        <v>2025</v>
      </c>
      <c r="E783">
        <f>-(IF(VLOOKUP(B783,'2023 Z Scores'!$A$1:$K$309,11,FALSE)&gt;2,VLOOKUP(B783,'2023 Z Scores'!$A$1:$K$309,10,FALSE)/VLOOKUP(B783,'2023 Z Scores'!$A$1:$K$309,11,FALSE),"Not Enough data"))</f>
        <v>0.36331669898335689</v>
      </c>
      <c r="F783">
        <f>IF(VLOOKUP(A783,'Delta Z Scores'!$A$1:$N$1541,14,FALSE)&gt;2,VLOOKUP(A783,'Delta Z Scores'!$A$1:$N$1541,13,FALSE)/VLOOKUP(A783,'Delta Z Scores'!$A$1:$N$1541,14,FALSE),"Not Enough Data")</f>
        <v>0.28905624569059823</v>
      </c>
      <c r="G783">
        <f>IF(VLOOKUP(A783,'Forecast Z Scores'!$A$1:$N$1541,14,FALSE)&gt;2,VLOOKUP(A783,'Forecast Z Scores'!$A$1:$N$1541,13,FALSE)/VLOOKUP(A783,'Forecast Z Scores'!$A$1:$N$1541,14,FALSE),"Not Enough Data")</f>
        <v>-6.0132776503688624E-2</v>
      </c>
      <c r="H783">
        <v>0.22032410346521619</v>
      </c>
    </row>
    <row r="784" spans="1:8" x14ac:dyDescent="0.35">
      <c r="A784" t="str">
        <f t="shared" si="12"/>
        <v>18097357200_2026</v>
      </c>
      <c r="B784">
        <v>18097357200</v>
      </c>
      <c r="C784">
        <v>2026</v>
      </c>
      <c r="E784">
        <f>-(IF(VLOOKUP(B784,'2023 Z Scores'!$A$1:$K$309,11,FALSE)&gt;2,VLOOKUP(B784,'2023 Z Scores'!$A$1:$K$309,10,FALSE)/VLOOKUP(B784,'2023 Z Scores'!$A$1:$K$309,11,FALSE),"Not Enough data"))</f>
        <v>0.36331669898335689</v>
      </c>
      <c r="F784">
        <f>IF(VLOOKUP(A784,'Delta Z Scores'!$A$1:$N$1541,14,FALSE)&gt;2,VLOOKUP(A784,'Delta Z Scores'!$A$1:$N$1541,13,FALSE)/VLOOKUP(A784,'Delta Z Scores'!$A$1:$N$1541,14,FALSE),"Not Enough Data")</f>
        <v>0.24362981586398008</v>
      </c>
      <c r="G784">
        <f>IF(VLOOKUP(A784,'Forecast Z Scores'!$A$1:$N$1541,14,FALSE)&gt;2,VLOOKUP(A784,'Forecast Z Scores'!$A$1:$N$1541,13,FALSE)/VLOOKUP(A784,'Forecast Z Scores'!$A$1:$N$1541,14,FALSE),"Not Enough Data")</f>
        <v>-1.6439882169410849E-2</v>
      </c>
      <c r="H784">
        <v>0.20853411213547657</v>
      </c>
    </row>
    <row r="785" spans="1:8" x14ac:dyDescent="0.35">
      <c r="A785" t="str">
        <f t="shared" si="12"/>
        <v>18097357200_2027</v>
      </c>
      <c r="B785">
        <v>18097357200</v>
      </c>
      <c r="C785">
        <v>2027</v>
      </c>
      <c r="E785">
        <f>-(IF(VLOOKUP(B785,'2023 Z Scores'!$A$1:$K$309,11,FALSE)&gt;2,VLOOKUP(B785,'2023 Z Scores'!$A$1:$K$309,10,FALSE)/VLOOKUP(B785,'2023 Z Scores'!$A$1:$K$309,11,FALSE),"Not Enough data"))</f>
        <v>0.36331669898335689</v>
      </c>
      <c r="F785">
        <f>IF(VLOOKUP(A785,'Delta Z Scores'!$A$1:$N$1541,14,FALSE)&gt;2,VLOOKUP(A785,'Delta Z Scores'!$A$1:$N$1541,13,FALSE)/VLOOKUP(A785,'Delta Z Scores'!$A$1:$N$1541,14,FALSE),"Not Enough Data")</f>
        <v>9.7773084322888185E-2</v>
      </c>
      <c r="G785">
        <f>IF(VLOOKUP(A785,'Forecast Z Scores'!$A$1:$N$1541,14,FALSE)&gt;2,VLOOKUP(A785,'Forecast Z Scores'!$A$1:$N$1541,13,FALSE)/VLOOKUP(A785,'Forecast Z Scores'!$A$1:$N$1541,14,FALSE),"Not Enough Data")</f>
        <v>2.3849640776602704E-2</v>
      </c>
      <c r="H785">
        <v>0.14567812710143399</v>
      </c>
    </row>
    <row r="786" spans="1:8" x14ac:dyDescent="0.35">
      <c r="A786" t="str">
        <f t="shared" si="12"/>
        <v>18097357200_2028</v>
      </c>
      <c r="B786">
        <v>18097357200</v>
      </c>
      <c r="C786">
        <v>2028</v>
      </c>
      <c r="E786">
        <f>-(IF(VLOOKUP(B786,'2023 Z Scores'!$A$1:$K$309,11,FALSE)&gt;2,VLOOKUP(B786,'2023 Z Scores'!$A$1:$K$309,10,FALSE)/VLOOKUP(B786,'2023 Z Scores'!$A$1:$K$309,11,FALSE),"Not Enough data"))</f>
        <v>0.36331669898335689</v>
      </c>
      <c r="F786">
        <f>IF(VLOOKUP(A786,'Delta Z Scores'!$A$1:$N$1541,14,FALSE)&gt;2,VLOOKUP(A786,'Delta Z Scores'!$A$1:$N$1541,13,FALSE)/VLOOKUP(A786,'Delta Z Scores'!$A$1:$N$1541,14,FALSE),"Not Enough Data")</f>
        <v>0.150314675154612</v>
      </c>
      <c r="G786">
        <f>IF(VLOOKUP(A786,'Forecast Z Scores'!$A$1:$N$1541,14,FALSE)&gt;2,VLOOKUP(A786,'Forecast Z Scores'!$A$1:$N$1541,13,FALSE)/VLOOKUP(A786,'Forecast Z Scores'!$A$1:$N$1541,14,FALSE),"Not Enough Data")</f>
        <v>6.9155696443881171E-2</v>
      </c>
      <c r="H786">
        <v>0.18327543643411554</v>
      </c>
    </row>
    <row r="787" spans="1:8" x14ac:dyDescent="0.35">
      <c r="A787" t="str">
        <f t="shared" si="12"/>
        <v>18097357300_2024</v>
      </c>
      <c r="B787">
        <v>18097357300</v>
      </c>
      <c r="C787">
        <v>2024</v>
      </c>
      <c r="E787">
        <f>-(IF(VLOOKUP(B787,'2023 Z Scores'!$A$1:$K$309,11,FALSE)&gt;2,VLOOKUP(B787,'2023 Z Scores'!$A$1:$K$309,10,FALSE)/VLOOKUP(B787,'2023 Z Scores'!$A$1:$K$309,11,FALSE),"Not Enough data"))</f>
        <v>0.61444043586456554</v>
      </c>
      <c r="F787">
        <f>IF(VLOOKUP(A787,'Delta Z Scores'!$A$1:$N$1541,14,FALSE)&gt;2,VLOOKUP(A787,'Delta Z Scores'!$A$1:$N$1541,13,FALSE)/VLOOKUP(A787,'Delta Z Scores'!$A$1:$N$1541,14,FALSE),"Not Enough Data")</f>
        <v>0.27543274445838323</v>
      </c>
      <c r="G787">
        <f>IF(VLOOKUP(A787,'Forecast Z Scores'!$A$1:$N$1541,14,FALSE)&gt;2,VLOOKUP(A787,'Forecast Z Scores'!$A$1:$N$1541,13,FALSE)/VLOOKUP(A787,'Forecast Z Scores'!$A$1:$N$1541,14,FALSE),"Not Enough Data")</f>
        <v>-0.40758621096556447</v>
      </c>
      <c r="H787">
        <v>0.18942992845394188</v>
      </c>
    </row>
    <row r="788" spans="1:8" x14ac:dyDescent="0.35">
      <c r="A788" t="str">
        <f t="shared" si="12"/>
        <v>18097357300_2025</v>
      </c>
      <c r="B788">
        <v>18097357300</v>
      </c>
      <c r="C788">
        <v>2025</v>
      </c>
      <c r="E788">
        <f>-(IF(VLOOKUP(B788,'2023 Z Scores'!$A$1:$K$309,11,FALSE)&gt;2,VLOOKUP(B788,'2023 Z Scores'!$A$1:$K$309,10,FALSE)/VLOOKUP(B788,'2023 Z Scores'!$A$1:$K$309,11,FALSE),"Not Enough data"))</f>
        <v>0.61444043586456554</v>
      </c>
      <c r="F788">
        <f>IF(VLOOKUP(A788,'Delta Z Scores'!$A$1:$N$1541,14,FALSE)&gt;2,VLOOKUP(A788,'Delta Z Scores'!$A$1:$N$1541,13,FALSE)/VLOOKUP(A788,'Delta Z Scores'!$A$1:$N$1541,14,FALSE),"Not Enough Data")</f>
        <v>-0.69907771090252335</v>
      </c>
      <c r="G788">
        <f>IF(VLOOKUP(A788,'Forecast Z Scores'!$A$1:$N$1541,14,FALSE)&gt;2,VLOOKUP(A788,'Forecast Z Scores'!$A$1:$N$1541,13,FALSE)/VLOOKUP(A788,'Forecast Z Scores'!$A$1:$N$1541,14,FALSE),"Not Enough Data")</f>
        <v>-0.49966711366056732</v>
      </c>
      <c r="H788">
        <v>-0.32084552490026208</v>
      </c>
    </row>
    <row r="789" spans="1:8" x14ac:dyDescent="0.35">
      <c r="A789" t="str">
        <f t="shared" si="12"/>
        <v>18097357300_2026</v>
      </c>
      <c r="B789">
        <v>18097357300</v>
      </c>
      <c r="C789">
        <v>2026</v>
      </c>
      <c r="E789">
        <f>-(IF(VLOOKUP(B789,'2023 Z Scores'!$A$1:$K$309,11,FALSE)&gt;2,VLOOKUP(B789,'2023 Z Scores'!$A$1:$K$309,10,FALSE)/VLOOKUP(B789,'2023 Z Scores'!$A$1:$K$309,11,FALSE),"Not Enough data"))</f>
        <v>0.61444043586456554</v>
      </c>
      <c r="F789">
        <f>IF(VLOOKUP(A789,'Delta Z Scores'!$A$1:$N$1541,14,FALSE)&gt;2,VLOOKUP(A789,'Delta Z Scores'!$A$1:$N$1541,13,FALSE)/VLOOKUP(A789,'Delta Z Scores'!$A$1:$N$1541,14,FALSE),"Not Enough Data")</f>
        <v>0.51977574705107676</v>
      </c>
      <c r="G789">
        <f>IF(VLOOKUP(A789,'Forecast Z Scores'!$A$1:$N$1541,14,FALSE)&gt;2,VLOOKUP(A789,'Forecast Z Scores'!$A$1:$N$1541,13,FALSE)/VLOOKUP(A789,'Forecast Z Scores'!$A$1:$N$1541,14,FALSE),"Not Enough Data")</f>
        <v>-0.50273602404234019</v>
      </c>
      <c r="H789">
        <v>0.28781397648109475</v>
      </c>
    </row>
    <row r="790" spans="1:8" x14ac:dyDescent="0.35">
      <c r="A790" t="str">
        <f t="shared" si="12"/>
        <v>18097357300_2027</v>
      </c>
      <c r="B790">
        <v>18097357300</v>
      </c>
      <c r="C790">
        <v>2027</v>
      </c>
      <c r="E790">
        <f>-(IF(VLOOKUP(B790,'2023 Z Scores'!$A$1:$K$309,11,FALSE)&gt;2,VLOOKUP(B790,'2023 Z Scores'!$A$1:$K$309,10,FALSE)/VLOOKUP(B790,'2023 Z Scores'!$A$1:$K$309,11,FALSE),"Not Enough data"))</f>
        <v>0.61444043586456554</v>
      </c>
      <c r="F790">
        <f>IF(VLOOKUP(A790,'Delta Z Scores'!$A$1:$N$1541,14,FALSE)&gt;2,VLOOKUP(A790,'Delta Z Scores'!$A$1:$N$1541,13,FALSE)/VLOOKUP(A790,'Delta Z Scores'!$A$1:$N$1541,14,FALSE),"Not Enough Data")</f>
        <v>-0.38059087499224314</v>
      </c>
      <c r="G790">
        <f>IF(VLOOKUP(A790,'Forecast Z Scores'!$A$1:$N$1541,14,FALSE)&gt;2,VLOOKUP(A790,'Forecast Z Scores'!$A$1:$N$1541,13,FALSE)/VLOOKUP(A790,'Forecast Z Scores'!$A$1:$N$1541,14,FALSE),"Not Enough Data")</f>
        <v>-0.55404976422831109</v>
      </c>
      <c r="H790">
        <v>-0.17519776958705799</v>
      </c>
    </row>
    <row r="791" spans="1:8" x14ac:dyDescent="0.35">
      <c r="A791" t="str">
        <f t="shared" si="12"/>
        <v>18097357300_2028</v>
      </c>
      <c r="B791">
        <v>18097357300</v>
      </c>
      <c r="C791">
        <v>2028</v>
      </c>
      <c r="E791">
        <f>-(IF(VLOOKUP(B791,'2023 Z Scores'!$A$1:$K$309,11,FALSE)&gt;2,VLOOKUP(B791,'2023 Z Scores'!$A$1:$K$309,10,FALSE)/VLOOKUP(B791,'2023 Z Scores'!$A$1:$K$309,11,FALSE),"Not Enough data"))</f>
        <v>0.61444043586456554</v>
      </c>
      <c r="F791">
        <f>IF(VLOOKUP(A791,'Delta Z Scores'!$A$1:$N$1541,14,FALSE)&gt;2,VLOOKUP(A791,'Delta Z Scores'!$A$1:$N$1541,13,FALSE)/VLOOKUP(A791,'Delta Z Scores'!$A$1:$N$1541,14,FALSE),"Not Enough Data")</f>
        <v>0.2254413332991419</v>
      </c>
      <c r="G791">
        <f>IF(VLOOKUP(A791,'Forecast Z Scores'!$A$1:$N$1541,14,FALSE)&gt;2,VLOOKUP(A791,'Forecast Z Scores'!$A$1:$N$1541,13,FALSE)/VLOOKUP(A791,'Forecast Z Scores'!$A$1:$N$1541,14,FALSE),"Not Enough Data")</f>
        <v>-0.55740097093503649</v>
      </c>
      <c r="H791">
        <v>0.12698053288195321</v>
      </c>
    </row>
    <row r="792" spans="1:8" x14ac:dyDescent="0.35">
      <c r="A792" t="str">
        <f t="shared" si="12"/>
        <v>18097357400_2024</v>
      </c>
      <c r="B792">
        <v>18097357400</v>
      </c>
      <c r="C792">
        <v>2024</v>
      </c>
      <c r="E792">
        <f>-(IF(VLOOKUP(B792,'2023 Z Scores'!$A$1:$K$309,11,FALSE)&gt;2,VLOOKUP(B792,'2023 Z Scores'!$A$1:$K$309,10,FALSE)/VLOOKUP(B792,'2023 Z Scores'!$A$1:$K$309,11,FALSE),"Not Enough data"))</f>
        <v>0.47760003003440504</v>
      </c>
      <c r="F792">
        <f>IF(VLOOKUP(A792,'Delta Z Scores'!$A$1:$N$1541,14,FALSE)&gt;2,VLOOKUP(A792,'Delta Z Scores'!$A$1:$N$1541,13,FALSE)/VLOOKUP(A792,'Delta Z Scores'!$A$1:$N$1541,14,FALSE),"Not Enough Data")</f>
        <v>-0.13710665909963457</v>
      </c>
      <c r="G792">
        <f>IF(VLOOKUP(A792,'Forecast Z Scores'!$A$1:$N$1541,14,FALSE)&gt;2,VLOOKUP(A792,'Forecast Z Scores'!$A$1:$N$1541,13,FALSE)/VLOOKUP(A792,'Forecast Z Scores'!$A$1:$N$1541,14,FALSE),"Not Enough Data")</f>
        <v>-0.28939987289249658</v>
      </c>
      <c r="H792">
        <v>-2.1503290264340155E-2</v>
      </c>
    </row>
    <row r="793" spans="1:8" x14ac:dyDescent="0.35">
      <c r="A793" t="str">
        <f t="shared" si="12"/>
        <v>18097357400_2025</v>
      </c>
      <c r="B793">
        <v>18097357400</v>
      </c>
      <c r="C793">
        <v>2025</v>
      </c>
      <c r="E793">
        <f>-(IF(VLOOKUP(B793,'2023 Z Scores'!$A$1:$K$309,11,FALSE)&gt;2,VLOOKUP(B793,'2023 Z Scores'!$A$1:$K$309,10,FALSE)/VLOOKUP(B793,'2023 Z Scores'!$A$1:$K$309,11,FALSE),"Not Enough data"))</f>
        <v>0.47760003003440504</v>
      </c>
      <c r="F793">
        <f>IF(VLOOKUP(A793,'Delta Z Scores'!$A$1:$N$1541,14,FALSE)&gt;2,VLOOKUP(A793,'Delta Z Scores'!$A$1:$N$1541,13,FALSE)/VLOOKUP(A793,'Delta Z Scores'!$A$1:$N$1541,14,FALSE),"Not Enough Data")</f>
        <v>-0.34765558736895619</v>
      </c>
      <c r="G793">
        <f>IF(VLOOKUP(A793,'Forecast Z Scores'!$A$1:$N$1541,14,FALSE)&gt;2,VLOOKUP(A793,'Forecast Z Scores'!$A$1:$N$1541,13,FALSE)/VLOOKUP(A793,'Forecast Z Scores'!$A$1:$N$1541,14,FALSE),"Not Enough Data")</f>
        <v>-0.34331738123315664</v>
      </c>
      <c r="H793">
        <v>-0.14025713148416602</v>
      </c>
    </row>
    <row r="794" spans="1:8" x14ac:dyDescent="0.35">
      <c r="A794" t="str">
        <f t="shared" si="12"/>
        <v>18097357400_2026</v>
      </c>
      <c r="B794">
        <v>18097357400</v>
      </c>
      <c r="C794">
        <v>2026</v>
      </c>
      <c r="E794">
        <f>-(IF(VLOOKUP(B794,'2023 Z Scores'!$A$1:$K$309,11,FALSE)&gt;2,VLOOKUP(B794,'2023 Z Scores'!$A$1:$K$309,10,FALSE)/VLOOKUP(B794,'2023 Z Scores'!$A$1:$K$309,11,FALSE),"Not Enough data"))</f>
        <v>0.47760003003440504</v>
      </c>
      <c r="F794">
        <f>IF(VLOOKUP(A794,'Delta Z Scores'!$A$1:$N$1541,14,FALSE)&gt;2,VLOOKUP(A794,'Delta Z Scores'!$A$1:$N$1541,13,FALSE)/VLOOKUP(A794,'Delta Z Scores'!$A$1:$N$1541,14,FALSE),"Not Enough Data")</f>
        <v>-9.5818079963226971E-2</v>
      </c>
      <c r="G794">
        <f>IF(VLOOKUP(A794,'Forecast Z Scores'!$A$1:$N$1541,14,FALSE)&gt;2,VLOOKUP(A794,'Forecast Z Scores'!$A$1:$N$1541,13,FALSE)/VLOOKUP(A794,'Forecast Z Scores'!$A$1:$N$1541,14,FALSE),"Not Enough Data")</f>
        <v>-0.35931347603370317</v>
      </c>
      <c r="H794">
        <v>-1.8337401481438018E-2</v>
      </c>
    </row>
    <row r="795" spans="1:8" x14ac:dyDescent="0.35">
      <c r="A795" t="str">
        <f t="shared" si="12"/>
        <v>18097357400_2027</v>
      </c>
      <c r="B795">
        <v>18097357400</v>
      </c>
      <c r="C795">
        <v>2027</v>
      </c>
      <c r="E795">
        <f>-(IF(VLOOKUP(B795,'2023 Z Scores'!$A$1:$K$309,11,FALSE)&gt;2,VLOOKUP(B795,'2023 Z Scores'!$A$1:$K$309,10,FALSE)/VLOOKUP(B795,'2023 Z Scores'!$A$1:$K$309,11,FALSE),"Not Enough data"))</f>
        <v>0.47760003003440504</v>
      </c>
      <c r="F795">
        <f>IF(VLOOKUP(A795,'Delta Z Scores'!$A$1:$N$1541,14,FALSE)&gt;2,VLOOKUP(A795,'Delta Z Scores'!$A$1:$N$1541,13,FALSE)/VLOOKUP(A795,'Delta Z Scores'!$A$1:$N$1541,14,FALSE),"Not Enough Data")</f>
        <v>-0.32843546345255792</v>
      </c>
      <c r="G795">
        <f>IF(VLOOKUP(A795,'Forecast Z Scores'!$A$1:$N$1541,14,FALSE)&gt;2,VLOOKUP(A795,'Forecast Z Scores'!$A$1:$N$1541,13,FALSE)/VLOOKUP(A795,'Forecast Z Scores'!$A$1:$N$1541,14,FALSE),"Not Enough Data")</f>
        <v>-0.40270884493549686</v>
      </c>
      <c r="H795">
        <v>-0.1454949354515519</v>
      </c>
    </row>
    <row r="796" spans="1:8" x14ac:dyDescent="0.35">
      <c r="A796" t="str">
        <f t="shared" si="12"/>
        <v>18097357400_2028</v>
      </c>
      <c r="B796">
        <v>18097357400</v>
      </c>
      <c r="C796">
        <v>2028</v>
      </c>
      <c r="E796">
        <f>-(IF(VLOOKUP(B796,'2023 Z Scores'!$A$1:$K$309,11,FALSE)&gt;2,VLOOKUP(B796,'2023 Z Scores'!$A$1:$K$309,10,FALSE)/VLOOKUP(B796,'2023 Z Scores'!$A$1:$K$309,11,FALSE),"Not Enough data"))</f>
        <v>0.47760003003440504</v>
      </c>
      <c r="F796">
        <f>IF(VLOOKUP(A796,'Delta Z Scores'!$A$1:$N$1541,14,FALSE)&gt;2,VLOOKUP(A796,'Delta Z Scores'!$A$1:$N$1541,13,FALSE)/VLOOKUP(A796,'Delta Z Scores'!$A$1:$N$1541,14,FALSE),"Not Enough Data")</f>
        <v>-8.8249597950601083E-2</v>
      </c>
      <c r="G796">
        <f>IF(VLOOKUP(A796,'Forecast Z Scores'!$A$1:$N$1541,14,FALSE)&gt;2,VLOOKUP(A796,'Forecast Z Scores'!$A$1:$N$1541,13,FALSE)/VLOOKUP(A796,'Forecast Z Scores'!$A$1:$N$1541,14,FALSE),"Not Enough Data")</f>
        <v>-0.41463790504999731</v>
      </c>
      <c r="H796">
        <v>-2.8384267729198595E-2</v>
      </c>
    </row>
    <row r="797" spans="1:8" x14ac:dyDescent="0.35">
      <c r="A797" t="str">
        <f t="shared" si="12"/>
        <v>18097357500_2024</v>
      </c>
      <c r="B797">
        <v>18097357500</v>
      </c>
      <c r="C797">
        <v>2024</v>
      </c>
      <c r="E797">
        <f>-(IF(VLOOKUP(B797,'2023 Z Scores'!$A$1:$K$309,11,FALSE)&gt;2,VLOOKUP(B797,'2023 Z Scores'!$A$1:$K$309,10,FALSE)/VLOOKUP(B797,'2023 Z Scores'!$A$1:$K$309,11,FALSE),"Not Enough data"))</f>
        <v>-0.23800906792958568</v>
      </c>
      <c r="F797">
        <f>IF(VLOOKUP(A797,'Delta Z Scores'!$A$1:$N$1541,14,FALSE)&gt;2,VLOOKUP(A797,'Delta Z Scores'!$A$1:$N$1541,13,FALSE)/VLOOKUP(A797,'Delta Z Scores'!$A$1:$N$1541,14,FALSE),"Not Enough Data")</f>
        <v>-9.6086487014310676E-2</v>
      </c>
      <c r="G797">
        <f>IF(VLOOKUP(A797,'Forecast Z Scores'!$A$1:$N$1541,14,FALSE)&gt;2,VLOOKUP(A797,'Forecast Z Scores'!$A$1:$N$1541,13,FALSE)/VLOOKUP(A797,'Forecast Z Scores'!$A$1:$N$1541,14,FALSE),"Not Enough Data")</f>
        <v>-0.18094275800494328</v>
      </c>
      <c r="H797">
        <v>-0.15278119999078757</v>
      </c>
    </row>
    <row r="798" spans="1:8" x14ac:dyDescent="0.35">
      <c r="A798" t="str">
        <f t="shared" si="12"/>
        <v>18097357500_2025</v>
      </c>
      <c r="B798">
        <v>18097357500</v>
      </c>
      <c r="C798">
        <v>2025</v>
      </c>
      <c r="E798">
        <f>-(IF(VLOOKUP(B798,'2023 Z Scores'!$A$1:$K$309,11,FALSE)&gt;2,VLOOKUP(B798,'2023 Z Scores'!$A$1:$K$309,10,FALSE)/VLOOKUP(B798,'2023 Z Scores'!$A$1:$K$309,11,FALSE),"Not Enough data"))</f>
        <v>-0.23800906792958568</v>
      </c>
      <c r="F798">
        <f>IF(VLOOKUP(A798,'Delta Z Scores'!$A$1:$N$1541,14,FALSE)&gt;2,VLOOKUP(A798,'Delta Z Scores'!$A$1:$N$1541,13,FALSE)/VLOOKUP(A798,'Delta Z Scores'!$A$1:$N$1541,14,FALSE),"Not Enough Data")</f>
        <v>0.13371128220438516</v>
      </c>
      <c r="G798">
        <f>IF(VLOOKUP(A798,'Forecast Z Scores'!$A$1:$N$1541,14,FALSE)&gt;2,VLOOKUP(A798,'Forecast Z Scores'!$A$1:$N$1541,13,FALSE)/VLOOKUP(A798,'Forecast Z Scores'!$A$1:$N$1541,14,FALSE),"Not Enough Data")</f>
        <v>-0.15727263937304306</v>
      </c>
      <c r="H798">
        <v>-3.1964785723464603E-2</v>
      </c>
    </row>
    <row r="799" spans="1:8" x14ac:dyDescent="0.35">
      <c r="A799" t="str">
        <f t="shared" si="12"/>
        <v>18097357500_2026</v>
      </c>
      <c r="B799">
        <v>18097357500</v>
      </c>
      <c r="C799">
        <v>2026</v>
      </c>
      <c r="E799">
        <f>-(IF(VLOOKUP(B799,'2023 Z Scores'!$A$1:$K$309,11,FALSE)&gt;2,VLOOKUP(B799,'2023 Z Scores'!$A$1:$K$309,10,FALSE)/VLOOKUP(B799,'2023 Z Scores'!$A$1:$K$309,11,FALSE),"Not Enough data"))</f>
        <v>-0.23800906792958568</v>
      </c>
      <c r="F799">
        <f>IF(VLOOKUP(A799,'Delta Z Scores'!$A$1:$N$1541,14,FALSE)&gt;2,VLOOKUP(A799,'Delta Z Scores'!$A$1:$N$1541,13,FALSE)/VLOOKUP(A799,'Delta Z Scores'!$A$1:$N$1541,14,FALSE),"Not Enough Data")</f>
        <v>2.8342935394442183E-2</v>
      </c>
      <c r="G799">
        <f>IF(VLOOKUP(A799,'Forecast Z Scores'!$A$1:$N$1541,14,FALSE)&gt;2,VLOOKUP(A799,'Forecast Z Scores'!$A$1:$N$1541,13,FALSE)/VLOOKUP(A799,'Forecast Z Scores'!$A$1:$N$1541,14,FALSE),"Not Enough Data")</f>
        <v>-0.17872168631034052</v>
      </c>
      <c r="H799">
        <v>-9.0011220862760449E-2</v>
      </c>
    </row>
    <row r="800" spans="1:8" x14ac:dyDescent="0.35">
      <c r="A800" t="str">
        <f t="shared" si="12"/>
        <v>18097357500_2027</v>
      </c>
      <c r="B800">
        <v>18097357500</v>
      </c>
      <c r="C800">
        <v>2027</v>
      </c>
      <c r="E800">
        <f>-(IF(VLOOKUP(B800,'2023 Z Scores'!$A$1:$K$309,11,FALSE)&gt;2,VLOOKUP(B800,'2023 Z Scores'!$A$1:$K$309,10,FALSE)/VLOOKUP(B800,'2023 Z Scores'!$A$1:$K$309,11,FALSE),"Not Enough data"))</f>
        <v>-0.23800906792958568</v>
      </c>
      <c r="F800">
        <f>IF(VLOOKUP(A800,'Delta Z Scores'!$A$1:$N$1541,14,FALSE)&gt;2,VLOOKUP(A800,'Delta Z Scores'!$A$1:$N$1541,13,FALSE)/VLOOKUP(A800,'Delta Z Scores'!$A$1:$N$1541,14,FALSE),"Not Enough Data")</f>
        <v>9.1889636039360387E-2</v>
      </c>
      <c r="G800">
        <f>IF(VLOOKUP(A800,'Forecast Z Scores'!$A$1:$N$1541,14,FALSE)&gt;2,VLOOKUP(A800,'Forecast Z Scores'!$A$1:$N$1541,13,FALSE)/VLOOKUP(A800,'Forecast Z Scores'!$A$1:$N$1541,14,FALSE),"Not Enough Data")</f>
        <v>-0.16254712980464481</v>
      </c>
      <c r="H800">
        <v>-5.4194231413877428E-2</v>
      </c>
    </row>
    <row r="801" spans="1:8" x14ac:dyDescent="0.35">
      <c r="A801" t="str">
        <f t="shared" si="12"/>
        <v>18097357500_2028</v>
      </c>
      <c r="B801">
        <v>18097357500</v>
      </c>
      <c r="C801">
        <v>2028</v>
      </c>
      <c r="E801">
        <f>-(IF(VLOOKUP(B801,'2023 Z Scores'!$A$1:$K$309,11,FALSE)&gt;2,VLOOKUP(B801,'2023 Z Scores'!$A$1:$K$309,10,FALSE)/VLOOKUP(B801,'2023 Z Scores'!$A$1:$K$309,11,FALSE),"Not Enough data"))</f>
        <v>-0.23800906792958568</v>
      </c>
      <c r="F801">
        <f>IF(VLOOKUP(A801,'Delta Z Scores'!$A$1:$N$1541,14,FALSE)&gt;2,VLOOKUP(A801,'Delta Z Scores'!$A$1:$N$1541,13,FALSE)/VLOOKUP(A801,'Delta Z Scores'!$A$1:$N$1541,14,FALSE),"Not Enough Data")</f>
        <v>6.6202887971444899E-2</v>
      </c>
      <c r="G801">
        <f>IF(VLOOKUP(A801,'Forecast Z Scores'!$A$1:$N$1541,14,FALSE)&gt;2,VLOOKUP(A801,'Forecast Z Scores'!$A$1:$N$1541,13,FALSE)/VLOOKUP(A801,'Forecast Z Scores'!$A$1:$N$1541,14,FALSE),"Not Enough Data")</f>
        <v>-0.16505012650632311</v>
      </c>
      <c r="H801">
        <v>-6.7663354623254748E-2</v>
      </c>
    </row>
    <row r="802" spans="1:8" x14ac:dyDescent="0.35">
      <c r="A802" t="str">
        <f t="shared" si="12"/>
        <v>18097357601_2024</v>
      </c>
      <c r="B802">
        <v>18097357601</v>
      </c>
      <c r="C802">
        <v>2024</v>
      </c>
      <c r="E802">
        <f>-(IF(VLOOKUP(B802,'2023 Z Scores'!$A$1:$K$309,11,FALSE)&gt;2,VLOOKUP(B802,'2023 Z Scores'!$A$1:$K$309,10,FALSE)/VLOOKUP(B802,'2023 Z Scores'!$A$1:$K$309,11,FALSE),"Not Enough data"))</f>
        <v>0.39066274287395769</v>
      </c>
      <c r="F802">
        <f>IF(VLOOKUP(A802,'Delta Z Scores'!$A$1:$N$1541,14,FALSE)&gt;2,VLOOKUP(A802,'Delta Z Scores'!$A$1:$N$1541,13,FALSE)/VLOOKUP(A802,'Delta Z Scores'!$A$1:$N$1541,14,FALSE),"Not Enough Data")</f>
        <v>2.2371362658062839E-2</v>
      </c>
      <c r="G802">
        <f>IF(VLOOKUP(A802,'Forecast Z Scores'!$A$1:$N$1541,14,FALSE)&gt;2,VLOOKUP(A802,'Forecast Z Scores'!$A$1:$N$1541,13,FALSE)/VLOOKUP(A802,'Forecast Z Scores'!$A$1:$N$1541,14,FALSE),"Not Enough Data")</f>
        <v>4.8667464863011205E-2</v>
      </c>
      <c r="H802">
        <v>0.12101823326327364</v>
      </c>
    </row>
    <row r="803" spans="1:8" x14ac:dyDescent="0.35">
      <c r="A803" t="str">
        <f t="shared" si="12"/>
        <v>18097357601_2025</v>
      </c>
      <c r="B803">
        <v>18097357601</v>
      </c>
      <c r="C803">
        <v>2025</v>
      </c>
      <c r="E803">
        <f>-(IF(VLOOKUP(B803,'2023 Z Scores'!$A$1:$K$309,11,FALSE)&gt;2,VLOOKUP(B803,'2023 Z Scores'!$A$1:$K$309,10,FALSE)/VLOOKUP(B803,'2023 Z Scores'!$A$1:$K$309,11,FALSE),"Not Enough data"))</f>
        <v>0.39066274287395769</v>
      </c>
      <c r="F803">
        <f>IF(VLOOKUP(A803,'Delta Z Scores'!$A$1:$N$1541,14,FALSE)&gt;2,VLOOKUP(A803,'Delta Z Scores'!$A$1:$N$1541,13,FALSE)/VLOOKUP(A803,'Delta Z Scores'!$A$1:$N$1541,14,FALSE),"Not Enough Data")</f>
        <v>-0.19604030727028712</v>
      </c>
      <c r="G803">
        <f>IF(VLOOKUP(A803,'Forecast Z Scores'!$A$1:$N$1541,14,FALSE)&gt;2,VLOOKUP(A803,'Forecast Z Scores'!$A$1:$N$1541,13,FALSE)/VLOOKUP(A803,'Forecast Z Scores'!$A$1:$N$1541,14,FALSE),"Not Enough Data")</f>
        <v>-4.1121046857374079E-3</v>
      </c>
      <c r="H803">
        <v>-1.3824940880884928E-3</v>
      </c>
    </row>
    <row r="804" spans="1:8" x14ac:dyDescent="0.35">
      <c r="A804" t="str">
        <f t="shared" si="12"/>
        <v>18097357601_2026</v>
      </c>
      <c r="B804">
        <v>18097357601</v>
      </c>
      <c r="C804">
        <v>2026</v>
      </c>
      <c r="E804">
        <f>-(IF(VLOOKUP(B804,'2023 Z Scores'!$A$1:$K$309,11,FALSE)&gt;2,VLOOKUP(B804,'2023 Z Scores'!$A$1:$K$309,10,FALSE)/VLOOKUP(B804,'2023 Z Scores'!$A$1:$K$309,11,FALSE),"Not Enough data"))</f>
        <v>0.39066274287395769</v>
      </c>
      <c r="F804">
        <f>IF(VLOOKUP(A804,'Delta Z Scores'!$A$1:$N$1541,14,FALSE)&gt;2,VLOOKUP(A804,'Delta Z Scores'!$A$1:$N$1541,13,FALSE)/VLOOKUP(A804,'Delta Z Scores'!$A$1:$N$1541,14,FALSE),"Not Enough Data")</f>
        <v>0.19816022543343012</v>
      </c>
      <c r="G804">
        <f>IF(VLOOKUP(A804,'Forecast Z Scores'!$A$1:$N$1541,14,FALSE)&gt;2,VLOOKUP(A804,'Forecast Z Scores'!$A$1:$N$1541,13,FALSE)/VLOOKUP(A804,'Forecast Z Scores'!$A$1:$N$1541,14,FALSE),"Not Enough Data")</f>
        <v>-4.4211730643532121E-2</v>
      </c>
      <c r="H804">
        <v>0.18569286577432145</v>
      </c>
    </row>
    <row r="805" spans="1:8" x14ac:dyDescent="0.35">
      <c r="A805" t="str">
        <f t="shared" si="12"/>
        <v>18097357601_2027</v>
      </c>
      <c r="B805">
        <v>18097357601</v>
      </c>
      <c r="C805">
        <v>2027</v>
      </c>
      <c r="E805">
        <f>-(IF(VLOOKUP(B805,'2023 Z Scores'!$A$1:$K$309,11,FALSE)&gt;2,VLOOKUP(B805,'2023 Z Scores'!$A$1:$K$309,10,FALSE)/VLOOKUP(B805,'2023 Z Scores'!$A$1:$K$309,11,FALSE),"Not Enough data"))</f>
        <v>0.39066274287395769</v>
      </c>
      <c r="F805">
        <f>IF(VLOOKUP(A805,'Delta Z Scores'!$A$1:$N$1541,14,FALSE)&gt;2,VLOOKUP(A805,'Delta Z Scores'!$A$1:$N$1541,13,FALSE)/VLOOKUP(A805,'Delta Z Scores'!$A$1:$N$1541,14,FALSE),"Not Enough Data")</f>
        <v>-0.14688839222612454</v>
      </c>
      <c r="G805">
        <f>IF(VLOOKUP(A805,'Forecast Z Scores'!$A$1:$N$1541,14,FALSE)&gt;2,VLOOKUP(A805,'Forecast Z Scores'!$A$1:$N$1541,13,FALSE)/VLOOKUP(A805,'Forecast Z Scores'!$A$1:$N$1541,14,FALSE),"Not Enough Data")</f>
        <v>-9.3740601300703372E-2</v>
      </c>
      <c r="H805">
        <v>7.8633928025130528E-4</v>
      </c>
    </row>
    <row r="806" spans="1:8" x14ac:dyDescent="0.35">
      <c r="A806" t="str">
        <f t="shared" si="12"/>
        <v>18097357601_2028</v>
      </c>
      <c r="B806">
        <v>18097357601</v>
      </c>
      <c r="C806">
        <v>2028</v>
      </c>
      <c r="E806">
        <f>-(IF(VLOOKUP(B806,'2023 Z Scores'!$A$1:$K$309,11,FALSE)&gt;2,VLOOKUP(B806,'2023 Z Scores'!$A$1:$K$309,10,FALSE)/VLOOKUP(B806,'2023 Z Scores'!$A$1:$K$309,11,FALSE),"Not Enough data"))</f>
        <v>0.39066274287395769</v>
      </c>
      <c r="F806">
        <f>IF(VLOOKUP(A806,'Delta Z Scores'!$A$1:$N$1541,14,FALSE)&gt;2,VLOOKUP(A806,'Delta Z Scores'!$A$1:$N$1541,13,FALSE)/VLOOKUP(A806,'Delta Z Scores'!$A$1:$N$1541,14,FALSE),"Not Enough Data")</f>
        <v>0.25698850057648509</v>
      </c>
      <c r="G806">
        <f>IF(VLOOKUP(A806,'Forecast Z Scores'!$A$1:$N$1541,14,FALSE)&gt;2,VLOOKUP(A806,'Forecast Z Scores'!$A$1:$N$1541,13,FALSE)/VLOOKUP(A806,'Forecast Z Scores'!$A$1:$N$1541,14,FALSE),"Not Enough Data")</f>
        <v>-0.12736614018949491</v>
      </c>
      <c r="H806">
        <v>0.19431840095935826</v>
      </c>
    </row>
    <row r="807" spans="1:8" x14ac:dyDescent="0.35">
      <c r="A807" t="str">
        <f t="shared" si="12"/>
        <v>18097357602_2024</v>
      </c>
      <c r="B807">
        <v>18097357602</v>
      </c>
      <c r="C807">
        <v>2024</v>
      </c>
      <c r="E807">
        <f>-(IF(VLOOKUP(B807,'2023 Z Scores'!$A$1:$K$309,11,FALSE)&gt;2,VLOOKUP(B807,'2023 Z Scores'!$A$1:$K$309,10,FALSE)/VLOOKUP(B807,'2023 Z Scores'!$A$1:$K$309,11,FALSE),"Not Enough data"))</f>
        <v>0.68217977790704754</v>
      </c>
      <c r="F807">
        <f>IF(VLOOKUP(A807,'Delta Z Scores'!$A$1:$N$1541,14,FALSE)&gt;2,VLOOKUP(A807,'Delta Z Scores'!$A$1:$N$1541,13,FALSE)/VLOOKUP(A807,'Delta Z Scores'!$A$1:$N$1541,14,FALSE),"Not Enough Data")</f>
        <v>8.2058157908463436E-2</v>
      </c>
      <c r="G807">
        <f>IF(VLOOKUP(A807,'Forecast Z Scores'!$A$1:$N$1541,14,FALSE)&gt;2,VLOOKUP(A807,'Forecast Z Scores'!$A$1:$N$1541,13,FALSE)/VLOOKUP(A807,'Forecast Z Scores'!$A$1:$N$1541,14,FALSE),"Not Enough Data")</f>
        <v>-0.59860154175855262</v>
      </c>
      <c r="H807">
        <v>6.1923637991355446E-2</v>
      </c>
    </row>
    <row r="808" spans="1:8" x14ac:dyDescent="0.35">
      <c r="A808" t="str">
        <f t="shared" si="12"/>
        <v>18097357602_2025</v>
      </c>
      <c r="B808">
        <v>18097357602</v>
      </c>
      <c r="C808">
        <v>2025</v>
      </c>
      <c r="E808">
        <f>-(IF(VLOOKUP(B808,'2023 Z Scores'!$A$1:$K$309,11,FALSE)&gt;2,VLOOKUP(B808,'2023 Z Scores'!$A$1:$K$309,10,FALSE)/VLOOKUP(B808,'2023 Z Scores'!$A$1:$K$309,11,FALSE),"Not Enough data"))</f>
        <v>0.68217977790704754</v>
      </c>
      <c r="F808">
        <f>IF(VLOOKUP(A808,'Delta Z Scores'!$A$1:$N$1541,14,FALSE)&gt;2,VLOOKUP(A808,'Delta Z Scores'!$A$1:$N$1541,13,FALSE)/VLOOKUP(A808,'Delta Z Scores'!$A$1:$N$1541,14,FALSE),"Not Enough Data")</f>
        <v>0.13075045949815606</v>
      </c>
      <c r="G808">
        <f>IF(VLOOKUP(A808,'Forecast Z Scores'!$A$1:$N$1541,14,FALSE)&gt;2,VLOOKUP(A808,'Forecast Z Scores'!$A$1:$N$1541,13,FALSE)/VLOOKUP(A808,'Forecast Z Scores'!$A$1:$N$1541,14,FALSE),"Not Enough Data")</f>
        <v>-0.50560849296406229</v>
      </c>
      <c r="H808">
        <v>0.10951805098482434</v>
      </c>
    </row>
    <row r="809" spans="1:8" x14ac:dyDescent="0.35">
      <c r="A809" t="str">
        <f t="shared" si="12"/>
        <v>18097357602_2026</v>
      </c>
      <c r="B809">
        <v>18097357602</v>
      </c>
      <c r="C809">
        <v>2026</v>
      </c>
      <c r="E809">
        <f>-(IF(VLOOKUP(B809,'2023 Z Scores'!$A$1:$K$309,11,FALSE)&gt;2,VLOOKUP(B809,'2023 Z Scores'!$A$1:$K$309,10,FALSE)/VLOOKUP(B809,'2023 Z Scores'!$A$1:$K$309,11,FALSE),"Not Enough data"))</f>
        <v>0.68217977790704754</v>
      </c>
      <c r="F809">
        <f>IF(VLOOKUP(A809,'Delta Z Scores'!$A$1:$N$1541,14,FALSE)&gt;2,VLOOKUP(A809,'Delta Z Scores'!$A$1:$N$1541,13,FALSE)/VLOOKUP(A809,'Delta Z Scores'!$A$1:$N$1541,14,FALSE),"Not Enough Data")</f>
        <v>0.17686717865204946</v>
      </c>
      <c r="G809">
        <f>IF(VLOOKUP(A809,'Forecast Z Scores'!$A$1:$N$1541,14,FALSE)&gt;2,VLOOKUP(A809,'Forecast Z Scores'!$A$1:$N$1541,13,FALSE)/VLOOKUP(A809,'Forecast Z Scores'!$A$1:$N$1541,14,FALSE),"Not Enough Data")</f>
        <v>-0.55756012403313393</v>
      </c>
      <c r="H809">
        <v>0.11958850279450313</v>
      </c>
    </row>
    <row r="810" spans="1:8" x14ac:dyDescent="0.35">
      <c r="A810" t="str">
        <f t="shared" si="12"/>
        <v>18097357602_2027</v>
      </c>
      <c r="B810">
        <v>18097357602</v>
      </c>
      <c r="C810">
        <v>2027</v>
      </c>
      <c r="E810">
        <f>-(IF(VLOOKUP(B810,'2023 Z Scores'!$A$1:$K$309,11,FALSE)&gt;2,VLOOKUP(B810,'2023 Z Scores'!$A$1:$K$309,10,FALSE)/VLOOKUP(B810,'2023 Z Scores'!$A$1:$K$309,11,FALSE),"Not Enough data"))</f>
        <v>0.68217977790704754</v>
      </c>
      <c r="F810">
        <f>IF(VLOOKUP(A810,'Delta Z Scores'!$A$1:$N$1541,14,FALSE)&gt;2,VLOOKUP(A810,'Delta Z Scores'!$A$1:$N$1541,13,FALSE)/VLOOKUP(A810,'Delta Z Scores'!$A$1:$N$1541,14,FALSE),"Not Enough Data")</f>
        <v>0.1818219498341912</v>
      </c>
      <c r="G810">
        <f>IF(VLOOKUP(A810,'Forecast Z Scores'!$A$1:$N$1541,14,FALSE)&gt;2,VLOOKUP(A810,'Forecast Z Scores'!$A$1:$N$1541,13,FALSE)/VLOOKUP(A810,'Forecast Z Scores'!$A$1:$N$1541,14,FALSE),"Not Enough Data")</f>
        <v>-0.45406692039284557</v>
      </c>
      <c r="H810">
        <v>0.14793918929564609</v>
      </c>
    </row>
    <row r="811" spans="1:8" x14ac:dyDescent="0.35">
      <c r="A811" t="str">
        <f t="shared" si="12"/>
        <v>18097357602_2028</v>
      </c>
      <c r="B811">
        <v>18097357602</v>
      </c>
      <c r="C811">
        <v>2028</v>
      </c>
      <c r="E811">
        <f>-(IF(VLOOKUP(B811,'2023 Z Scores'!$A$1:$K$309,11,FALSE)&gt;2,VLOOKUP(B811,'2023 Z Scores'!$A$1:$K$309,10,FALSE)/VLOOKUP(B811,'2023 Z Scores'!$A$1:$K$309,11,FALSE),"Not Enough data"))</f>
        <v>0.68217977790704754</v>
      </c>
      <c r="F811">
        <f>IF(VLOOKUP(A811,'Delta Z Scores'!$A$1:$N$1541,14,FALSE)&gt;2,VLOOKUP(A811,'Delta Z Scores'!$A$1:$N$1541,13,FALSE)/VLOOKUP(A811,'Delta Z Scores'!$A$1:$N$1541,14,FALSE),"Not Enough Data")</f>
        <v>0.33325565663708512</v>
      </c>
      <c r="G811">
        <f>IF(VLOOKUP(A811,'Forecast Z Scores'!$A$1:$N$1541,14,FALSE)&gt;2,VLOOKUP(A811,'Forecast Z Scores'!$A$1:$N$1541,13,FALSE)/VLOOKUP(A811,'Forecast Z Scores'!$A$1:$N$1541,14,FALSE),"Not Enough Data")</f>
        <v>-0.46920851763742205</v>
      </c>
      <c r="H811">
        <v>0.21987064338594892</v>
      </c>
    </row>
    <row r="812" spans="1:8" x14ac:dyDescent="0.35">
      <c r="A812" t="str">
        <f t="shared" si="12"/>
        <v>18097357800_2024</v>
      </c>
      <c r="B812">
        <v>18097357800</v>
      </c>
      <c r="C812">
        <v>2024</v>
      </c>
      <c r="E812">
        <f>-(IF(VLOOKUP(B812,'2023 Z Scores'!$A$1:$K$309,11,FALSE)&gt;2,VLOOKUP(B812,'2023 Z Scores'!$A$1:$K$309,10,FALSE)/VLOOKUP(B812,'2023 Z Scores'!$A$1:$K$309,11,FALSE),"Not Enough data"))</f>
        <v>0.57889300928383902</v>
      </c>
      <c r="F812">
        <f>IF(VLOOKUP(A812,'Delta Z Scores'!$A$1:$N$1541,14,FALSE)&gt;2,VLOOKUP(A812,'Delta Z Scores'!$A$1:$N$1541,13,FALSE)/VLOOKUP(A812,'Delta Z Scores'!$A$1:$N$1541,14,FALSE),"Not Enough Data")</f>
        <v>-4.0508188123414175E-2</v>
      </c>
      <c r="G812">
        <f>IF(VLOOKUP(A812,'Forecast Z Scores'!$A$1:$N$1541,14,FALSE)&gt;2,VLOOKUP(A812,'Forecast Z Scores'!$A$1:$N$1541,13,FALSE)/VLOOKUP(A812,'Forecast Z Scores'!$A$1:$N$1541,14,FALSE),"Not Enough Data")</f>
        <v>-0.44092851966480678</v>
      </c>
      <c r="H812">
        <v>1.4237028343050961E-2</v>
      </c>
    </row>
    <row r="813" spans="1:8" x14ac:dyDescent="0.35">
      <c r="A813" t="str">
        <f t="shared" si="12"/>
        <v>18097357800_2025</v>
      </c>
      <c r="B813">
        <v>18097357800</v>
      </c>
      <c r="C813">
        <v>2025</v>
      </c>
      <c r="E813">
        <f>-(IF(VLOOKUP(B813,'2023 Z Scores'!$A$1:$K$309,11,FALSE)&gt;2,VLOOKUP(B813,'2023 Z Scores'!$A$1:$K$309,10,FALSE)/VLOOKUP(B813,'2023 Z Scores'!$A$1:$K$309,11,FALSE),"Not Enough data"))</f>
        <v>0.57889300928383902</v>
      </c>
      <c r="F813">
        <f>IF(VLOOKUP(A813,'Delta Z Scores'!$A$1:$N$1541,14,FALSE)&gt;2,VLOOKUP(A813,'Delta Z Scores'!$A$1:$N$1541,13,FALSE)/VLOOKUP(A813,'Delta Z Scores'!$A$1:$N$1541,14,FALSE),"Not Enough Data")</f>
        <v>-0.22221353009032394</v>
      </c>
      <c r="G813">
        <f>IF(VLOOKUP(A813,'Forecast Z Scores'!$A$1:$N$1541,14,FALSE)&gt;2,VLOOKUP(A813,'Forecast Z Scores'!$A$1:$N$1541,13,FALSE)/VLOOKUP(A813,'Forecast Z Scores'!$A$1:$N$1541,14,FALSE),"Not Enough Data")</f>
        <v>-0.46087456602390092</v>
      </c>
      <c r="H813">
        <v>-8.1602154230177443E-2</v>
      </c>
    </row>
    <row r="814" spans="1:8" x14ac:dyDescent="0.35">
      <c r="A814" t="str">
        <f t="shared" si="12"/>
        <v>18097357800_2026</v>
      </c>
      <c r="B814">
        <v>18097357800</v>
      </c>
      <c r="C814">
        <v>2026</v>
      </c>
      <c r="E814">
        <f>-(IF(VLOOKUP(B814,'2023 Z Scores'!$A$1:$K$309,11,FALSE)&gt;2,VLOOKUP(B814,'2023 Z Scores'!$A$1:$K$309,10,FALSE)/VLOOKUP(B814,'2023 Z Scores'!$A$1:$K$309,11,FALSE),"Not Enough data"))</f>
        <v>0.57889300928383902</v>
      </c>
      <c r="F814">
        <f>IF(VLOOKUP(A814,'Delta Z Scores'!$A$1:$N$1541,14,FALSE)&gt;2,VLOOKUP(A814,'Delta Z Scores'!$A$1:$N$1541,13,FALSE)/VLOOKUP(A814,'Delta Z Scores'!$A$1:$N$1541,14,FALSE),"Not Enough Data")</f>
        <v>7.258235919274629E-2</v>
      </c>
      <c r="G814">
        <f>IF(VLOOKUP(A814,'Forecast Z Scores'!$A$1:$N$1541,14,FALSE)&gt;2,VLOOKUP(A814,'Forecast Z Scores'!$A$1:$N$1541,13,FALSE)/VLOOKUP(A814,'Forecast Z Scores'!$A$1:$N$1541,14,FALSE),"Not Enough Data")</f>
        <v>-0.44493045757923644</v>
      </c>
      <c r="H814">
        <v>6.9781817522523798E-2</v>
      </c>
    </row>
    <row r="815" spans="1:8" x14ac:dyDescent="0.35">
      <c r="A815" t="str">
        <f t="shared" si="12"/>
        <v>18097357800_2027</v>
      </c>
      <c r="B815">
        <v>18097357800</v>
      </c>
      <c r="C815">
        <v>2027</v>
      </c>
      <c r="E815">
        <f>-(IF(VLOOKUP(B815,'2023 Z Scores'!$A$1:$K$309,11,FALSE)&gt;2,VLOOKUP(B815,'2023 Z Scores'!$A$1:$K$309,10,FALSE)/VLOOKUP(B815,'2023 Z Scores'!$A$1:$K$309,11,FALSE),"Not Enough data"))</f>
        <v>0.57889300928383902</v>
      </c>
      <c r="F815">
        <f>IF(VLOOKUP(A815,'Delta Z Scores'!$A$1:$N$1541,14,FALSE)&gt;2,VLOOKUP(A815,'Delta Z Scores'!$A$1:$N$1541,13,FALSE)/VLOOKUP(A815,'Delta Z Scores'!$A$1:$N$1541,14,FALSE),"Not Enough Data")</f>
        <v>-0.1193079704031582</v>
      </c>
      <c r="G815">
        <f>IF(VLOOKUP(A815,'Forecast Z Scores'!$A$1:$N$1541,14,FALSE)&gt;2,VLOOKUP(A815,'Forecast Z Scores'!$A$1:$N$1541,13,FALSE)/VLOOKUP(A815,'Forecast Z Scores'!$A$1:$N$1541,14,FALSE),"Not Enough Data")</f>
        <v>-0.44151108188436616</v>
      </c>
      <c r="H815">
        <v>-2.5308503351710893E-2</v>
      </c>
    </row>
    <row r="816" spans="1:8" x14ac:dyDescent="0.35">
      <c r="A816" t="str">
        <f t="shared" si="12"/>
        <v>18097357800_2028</v>
      </c>
      <c r="B816">
        <v>18097357800</v>
      </c>
      <c r="C816">
        <v>2028</v>
      </c>
      <c r="E816">
        <f>-(IF(VLOOKUP(B816,'2023 Z Scores'!$A$1:$K$309,11,FALSE)&gt;2,VLOOKUP(B816,'2023 Z Scores'!$A$1:$K$309,10,FALSE)/VLOOKUP(B816,'2023 Z Scores'!$A$1:$K$309,11,FALSE),"Not Enough data"))</f>
        <v>0.57889300928383902</v>
      </c>
      <c r="F816">
        <f>IF(VLOOKUP(A816,'Delta Z Scores'!$A$1:$N$1541,14,FALSE)&gt;2,VLOOKUP(A816,'Delta Z Scores'!$A$1:$N$1541,13,FALSE)/VLOOKUP(A816,'Delta Z Scores'!$A$1:$N$1541,14,FALSE),"Not Enough Data")</f>
        <v>9.0738251863741681E-2</v>
      </c>
      <c r="G816">
        <f>IF(VLOOKUP(A816,'Forecast Z Scores'!$A$1:$N$1541,14,FALSE)&gt;2,VLOOKUP(A816,'Forecast Z Scores'!$A$1:$N$1541,13,FALSE)/VLOOKUP(A816,'Forecast Z Scores'!$A$1:$N$1541,14,FALSE),"Not Enough Data")</f>
        <v>-0.41243202854626138</v>
      </c>
      <c r="H816">
        <v>8.6984371116265252E-2</v>
      </c>
    </row>
    <row r="817" spans="1:8" x14ac:dyDescent="0.35">
      <c r="A817" t="str">
        <f t="shared" si="12"/>
        <v>18097357900_2024</v>
      </c>
      <c r="B817">
        <v>18097357900</v>
      </c>
      <c r="C817">
        <v>2024</v>
      </c>
      <c r="E817">
        <f>-(IF(VLOOKUP(B817,'2023 Z Scores'!$A$1:$K$309,11,FALSE)&gt;2,VLOOKUP(B817,'2023 Z Scores'!$A$1:$K$309,10,FALSE)/VLOOKUP(B817,'2023 Z Scores'!$A$1:$K$309,11,FALSE),"Not Enough data"))</f>
        <v>0.59211776963337071</v>
      </c>
      <c r="F817">
        <f>IF(VLOOKUP(A817,'Delta Z Scores'!$A$1:$N$1541,14,FALSE)&gt;2,VLOOKUP(A817,'Delta Z Scores'!$A$1:$N$1541,13,FALSE)/VLOOKUP(A817,'Delta Z Scores'!$A$1:$N$1541,14,FALSE),"Not Enough Data")</f>
        <v>-8.4633625874419166E-2</v>
      </c>
      <c r="G817">
        <f>IF(VLOOKUP(A817,'Forecast Z Scores'!$A$1:$N$1541,14,FALSE)&gt;2,VLOOKUP(A817,'Forecast Z Scores'!$A$1:$N$1541,13,FALSE)/VLOOKUP(A817,'Forecast Z Scores'!$A$1:$N$1541,14,FALSE),"Not Enough Data")</f>
        <v>-9.9940821699525423E-2</v>
      </c>
      <c r="H817">
        <v>8.0727424046251745E-2</v>
      </c>
    </row>
    <row r="818" spans="1:8" x14ac:dyDescent="0.35">
      <c r="A818" t="str">
        <f t="shared" si="12"/>
        <v>18097357900_2025</v>
      </c>
      <c r="B818">
        <v>18097357900</v>
      </c>
      <c r="C818">
        <v>2025</v>
      </c>
      <c r="E818">
        <f>-(IF(VLOOKUP(B818,'2023 Z Scores'!$A$1:$K$309,11,FALSE)&gt;2,VLOOKUP(B818,'2023 Z Scores'!$A$1:$K$309,10,FALSE)/VLOOKUP(B818,'2023 Z Scores'!$A$1:$K$309,11,FALSE),"Not Enough data"))</f>
        <v>0.59211776963337071</v>
      </c>
      <c r="F818">
        <f>IF(VLOOKUP(A818,'Delta Z Scores'!$A$1:$N$1541,14,FALSE)&gt;2,VLOOKUP(A818,'Delta Z Scores'!$A$1:$N$1541,13,FALSE)/VLOOKUP(A818,'Delta Z Scores'!$A$1:$N$1541,14,FALSE),"Not Enough Data")</f>
        <v>-6.029525004553455E-2</v>
      </c>
      <c r="G818">
        <f>IF(VLOOKUP(A818,'Forecast Z Scores'!$A$1:$N$1541,14,FALSE)&gt;2,VLOOKUP(A818,'Forecast Z Scores'!$A$1:$N$1541,13,FALSE)/VLOOKUP(A818,'Forecast Z Scores'!$A$1:$N$1541,14,FALSE),"Not Enough Data")</f>
        <v>-0.11035209754295547</v>
      </c>
      <c r="H818">
        <v>9.0293792999836531E-2</v>
      </c>
    </row>
    <row r="819" spans="1:8" x14ac:dyDescent="0.35">
      <c r="A819" t="str">
        <f t="shared" si="12"/>
        <v>18097357900_2026</v>
      </c>
      <c r="B819">
        <v>18097357900</v>
      </c>
      <c r="C819">
        <v>2026</v>
      </c>
      <c r="E819">
        <f>-(IF(VLOOKUP(B819,'2023 Z Scores'!$A$1:$K$309,11,FALSE)&gt;2,VLOOKUP(B819,'2023 Z Scores'!$A$1:$K$309,10,FALSE)/VLOOKUP(B819,'2023 Z Scores'!$A$1:$K$309,11,FALSE),"Not Enough data"))</f>
        <v>0.59211776963337071</v>
      </c>
      <c r="F819">
        <f>IF(VLOOKUP(A819,'Delta Z Scores'!$A$1:$N$1541,14,FALSE)&gt;2,VLOOKUP(A819,'Delta Z Scores'!$A$1:$N$1541,13,FALSE)/VLOOKUP(A819,'Delta Z Scores'!$A$1:$N$1541,14,FALSE),"Not Enough Data")</f>
        <v>0.17709255903931725</v>
      </c>
      <c r="G819">
        <f>IF(VLOOKUP(A819,'Forecast Z Scores'!$A$1:$N$1541,14,FALSE)&gt;2,VLOOKUP(A819,'Forecast Z Scores'!$A$1:$N$1541,13,FALSE)/VLOOKUP(A819,'Forecast Z Scores'!$A$1:$N$1541,14,FALSE),"Not Enough Data")</f>
        <v>-7.6867782303711052E-2</v>
      </c>
      <c r="H819">
        <v>0.21735877635207354</v>
      </c>
    </row>
    <row r="820" spans="1:8" x14ac:dyDescent="0.35">
      <c r="A820" t="str">
        <f t="shared" si="12"/>
        <v>18097357900_2027</v>
      </c>
      <c r="B820">
        <v>18097357900</v>
      </c>
      <c r="C820">
        <v>2027</v>
      </c>
      <c r="E820">
        <f>-(IF(VLOOKUP(B820,'2023 Z Scores'!$A$1:$K$309,11,FALSE)&gt;2,VLOOKUP(B820,'2023 Z Scores'!$A$1:$K$309,10,FALSE)/VLOOKUP(B820,'2023 Z Scores'!$A$1:$K$309,11,FALSE),"Not Enough data"))</f>
        <v>0.59211776963337071</v>
      </c>
      <c r="F820">
        <f>IF(VLOOKUP(A820,'Delta Z Scores'!$A$1:$N$1541,14,FALSE)&gt;2,VLOOKUP(A820,'Delta Z Scores'!$A$1:$N$1541,13,FALSE)/VLOOKUP(A820,'Delta Z Scores'!$A$1:$N$1541,14,FALSE),"Not Enough Data")</f>
        <v>6.1958598260929039E-3</v>
      </c>
      <c r="G820">
        <f>IF(VLOOKUP(A820,'Forecast Z Scores'!$A$1:$N$1541,14,FALSE)&gt;2,VLOOKUP(A820,'Forecast Z Scores'!$A$1:$N$1541,13,FALSE)/VLOOKUP(A820,'Forecast Z Scores'!$A$1:$N$1541,14,FALSE),"Not Enough Data")</f>
        <v>-7.9840286949022038E-2</v>
      </c>
      <c r="H820">
        <v>0.13116730058413362</v>
      </c>
    </row>
    <row r="821" spans="1:8" x14ac:dyDescent="0.35">
      <c r="A821" t="str">
        <f t="shared" si="12"/>
        <v>18097357900_2028</v>
      </c>
      <c r="B821">
        <v>18097357900</v>
      </c>
      <c r="C821">
        <v>2028</v>
      </c>
      <c r="E821">
        <f>-(IF(VLOOKUP(B821,'2023 Z Scores'!$A$1:$K$309,11,FALSE)&gt;2,VLOOKUP(B821,'2023 Z Scores'!$A$1:$K$309,10,FALSE)/VLOOKUP(B821,'2023 Z Scores'!$A$1:$K$309,11,FALSE),"Not Enough data"))</f>
        <v>0.59211776963337071</v>
      </c>
      <c r="F821">
        <f>IF(VLOOKUP(A821,'Delta Z Scores'!$A$1:$N$1541,14,FALSE)&gt;2,VLOOKUP(A821,'Delta Z Scores'!$A$1:$N$1541,13,FALSE)/VLOOKUP(A821,'Delta Z Scores'!$A$1:$N$1541,14,FALSE),"Not Enough Data")</f>
        <v>0.17043445249269062</v>
      </c>
      <c r="G821">
        <f>IF(VLOOKUP(A821,'Forecast Z Scores'!$A$1:$N$1541,14,FALSE)&gt;2,VLOOKUP(A821,'Forecast Z Scores'!$A$1:$N$1541,13,FALSE)/VLOOKUP(A821,'Forecast Z Scores'!$A$1:$N$1541,14,FALSE),"Not Enough Data")</f>
        <v>-5.6556277617209549E-2</v>
      </c>
      <c r="H821">
        <v>0.21910759925038559</v>
      </c>
    </row>
    <row r="822" spans="1:8" x14ac:dyDescent="0.35">
      <c r="A822" t="str">
        <f t="shared" si="12"/>
        <v>18097358000_2024</v>
      </c>
      <c r="B822">
        <v>18097358000</v>
      </c>
      <c r="C822">
        <v>2024</v>
      </c>
      <c r="E822">
        <f>-(IF(VLOOKUP(B822,'2023 Z Scores'!$A$1:$K$309,11,FALSE)&gt;2,VLOOKUP(B822,'2023 Z Scores'!$A$1:$K$309,10,FALSE)/VLOOKUP(B822,'2023 Z Scores'!$A$1:$K$309,11,FALSE),"Not Enough data"))</f>
        <v>4.2870808816587704E-2</v>
      </c>
      <c r="F822">
        <f>IF(VLOOKUP(A822,'Delta Z Scores'!$A$1:$N$1541,14,FALSE)&gt;2,VLOOKUP(A822,'Delta Z Scores'!$A$1:$N$1541,13,FALSE)/VLOOKUP(A822,'Delta Z Scores'!$A$1:$N$1541,14,FALSE),"Not Enough Data")</f>
        <v>-0.58274924390792193</v>
      </c>
      <c r="G822">
        <f>IF(VLOOKUP(A822,'Forecast Z Scores'!$A$1:$N$1541,14,FALSE)&gt;2,VLOOKUP(A822,'Forecast Z Scores'!$A$1:$N$1541,13,FALSE)/VLOOKUP(A822,'Forecast Z Scores'!$A$1:$N$1541,14,FALSE),"Not Enough Data")</f>
        <v>-0.16896251097581258</v>
      </c>
      <c r="H822">
        <v>-0.3228975474937672</v>
      </c>
    </row>
    <row r="823" spans="1:8" x14ac:dyDescent="0.35">
      <c r="A823" t="str">
        <f t="shared" si="12"/>
        <v>18097358000_2025</v>
      </c>
      <c r="B823">
        <v>18097358000</v>
      </c>
      <c r="C823">
        <v>2025</v>
      </c>
      <c r="E823">
        <f>-(IF(VLOOKUP(B823,'2023 Z Scores'!$A$1:$K$309,11,FALSE)&gt;2,VLOOKUP(B823,'2023 Z Scores'!$A$1:$K$309,10,FALSE)/VLOOKUP(B823,'2023 Z Scores'!$A$1:$K$309,11,FALSE),"Not Enough data"))</f>
        <v>4.2870808816587704E-2</v>
      </c>
      <c r="F823">
        <f>IF(VLOOKUP(A823,'Delta Z Scores'!$A$1:$N$1541,14,FALSE)&gt;2,VLOOKUP(A823,'Delta Z Scores'!$A$1:$N$1541,13,FALSE)/VLOOKUP(A823,'Delta Z Scores'!$A$1:$N$1541,14,FALSE),"Not Enough Data")</f>
        <v>-0.2209249750575337</v>
      </c>
      <c r="G823">
        <f>IF(VLOOKUP(A823,'Forecast Z Scores'!$A$1:$N$1541,14,FALSE)&gt;2,VLOOKUP(A823,'Forecast Z Scores'!$A$1:$N$1541,13,FALSE)/VLOOKUP(A823,'Forecast Z Scores'!$A$1:$N$1541,14,FALSE),"Not Enough Data")</f>
        <v>-0.15395762619997552</v>
      </c>
      <c r="H823">
        <v>-0.1382341918746138</v>
      </c>
    </row>
    <row r="824" spans="1:8" x14ac:dyDescent="0.35">
      <c r="A824" t="str">
        <f t="shared" si="12"/>
        <v>18097358000_2026</v>
      </c>
      <c r="B824">
        <v>18097358000</v>
      </c>
      <c r="C824">
        <v>2026</v>
      </c>
      <c r="E824">
        <f>-(IF(VLOOKUP(B824,'2023 Z Scores'!$A$1:$K$309,11,FALSE)&gt;2,VLOOKUP(B824,'2023 Z Scores'!$A$1:$K$309,10,FALSE)/VLOOKUP(B824,'2023 Z Scores'!$A$1:$K$309,11,FALSE),"Not Enough data"))</f>
        <v>4.2870808816587704E-2</v>
      </c>
      <c r="F824">
        <f>IF(VLOOKUP(A824,'Delta Z Scores'!$A$1:$N$1541,14,FALSE)&gt;2,VLOOKUP(A824,'Delta Z Scores'!$A$1:$N$1541,13,FALSE)/VLOOKUP(A824,'Delta Z Scores'!$A$1:$N$1541,14,FALSE),"Not Enough Data")</f>
        <v>8.0861866410382205E-2</v>
      </c>
      <c r="G824">
        <f>IF(VLOOKUP(A824,'Forecast Z Scores'!$A$1:$N$1541,14,FALSE)&gt;2,VLOOKUP(A824,'Forecast Z Scores'!$A$1:$N$1541,13,FALSE)/VLOOKUP(A824,'Forecast Z Scores'!$A$1:$N$1541,14,FALSE),"Not Enough Data")</f>
        <v>-0.11392478391642705</v>
      </c>
      <c r="H824">
        <v>2.2667439430231265E-2</v>
      </c>
    </row>
    <row r="825" spans="1:8" x14ac:dyDescent="0.35">
      <c r="A825" t="str">
        <f t="shared" si="12"/>
        <v>18097358000_2027</v>
      </c>
      <c r="B825">
        <v>18097358000</v>
      </c>
      <c r="C825">
        <v>2027</v>
      </c>
      <c r="E825">
        <f>-(IF(VLOOKUP(B825,'2023 Z Scores'!$A$1:$K$309,11,FALSE)&gt;2,VLOOKUP(B825,'2023 Z Scores'!$A$1:$K$309,10,FALSE)/VLOOKUP(B825,'2023 Z Scores'!$A$1:$K$309,11,FALSE),"Not Enough data"))</f>
        <v>4.2870808816587704E-2</v>
      </c>
      <c r="F825">
        <f>IF(VLOOKUP(A825,'Delta Z Scores'!$A$1:$N$1541,14,FALSE)&gt;2,VLOOKUP(A825,'Delta Z Scores'!$A$1:$N$1541,13,FALSE)/VLOOKUP(A825,'Delta Z Scores'!$A$1:$N$1541,14,FALSE),"Not Enough Data")</f>
        <v>-0.11672069063023738</v>
      </c>
      <c r="G825">
        <f>IF(VLOOKUP(A825,'Forecast Z Scores'!$A$1:$N$1541,14,FALSE)&gt;2,VLOOKUP(A825,'Forecast Z Scores'!$A$1:$N$1541,13,FALSE)/VLOOKUP(A825,'Forecast Z Scores'!$A$1:$N$1541,14,FALSE),"Not Enough Data")</f>
        <v>-8.899359231582335E-2</v>
      </c>
      <c r="H825">
        <v>-6.9891041189927602E-2</v>
      </c>
    </row>
    <row r="826" spans="1:8" x14ac:dyDescent="0.35">
      <c r="A826" t="str">
        <f t="shared" si="12"/>
        <v>18097358000_2028</v>
      </c>
      <c r="B826">
        <v>18097358000</v>
      </c>
      <c r="C826">
        <v>2028</v>
      </c>
      <c r="E826">
        <f>-(IF(VLOOKUP(B826,'2023 Z Scores'!$A$1:$K$309,11,FALSE)&gt;2,VLOOKUP(B826,'2023 Z Scores'!$A$1:$K$309,10,FALSE)/VLOOKUP(B826,'2023 Z Scores'!$A$1:$K$309,11,FALSE),"Not Enough data"))</f>
        <v>4.2870808816587704E-2</v>
      </c>
      <c r="F826">
        <f>IF(VLOOKUP(A826,'Delta Z Scores'!$A$1:$N$1541,14,FALSE)&gt;2,VLOOKUP(A826,'Delta Z Scores'!$A$1:$N$1541,13,FALSE)/VLOOKUP(A826,'Delta Z Scores'!$A$1:$N$1541,14,FALSE),"Not Enough Data")</f>
        <v>4.4149664405413729E-2</v>
      </c>
      <c r="G826">
        <f>IF(VLOOKUP(A826,'Forecast Z Scores'!$A$1:$N$1541,14,FALSE)&gt;2,VLOOKUP(A826,'Forecast Z Scores'!$A$1:$N$1541,13,FALSE)/VLOOKUP(A826,'Forecast Z Scores'!$A$1:$N$1541,14,FALSE),"Not Enough Data")</f>
        <v>-5.082034486590218E-2</v>
      </c>
      <c r="H826">
        <v>2.0087448190378245E-2</v>
      </c>
    </row>
    <row r="827" spans="1:8" x14ac:dyDescent="0.35">
      <c r="A827" t="str">
        <f t="shared" si="12"/>
        <v>18097358100_2024</v>
      </c>
      <c r="B827">
        <v>18097358100</v>
      </c>
      <c r="C827">
        <v>2024</v>
      </c>
      <c r="E827">
        <f>-(IF(VLOOKUP(B827,'2023 Z Scores'!$A$1:$K$309,11,FALSE)&gt;2,VLOOKUP(B827,'2023 Z Scores'!$A$1:$K$309,10,FALSE)/VLOOKUP(B827,'2023 Z Scores'!$A$1:$K$309,11,FALSE),"Not Enough data"))</f>
        <v>0.21046975378866425</v>
      </c>
      <c r="F827">
        <f>IF(VLOOKUP(A827,'Delta Z Scores'!$A$1:$N$1541,14,FALSE)&gt;2,VLOOKUP(A827,'Delta Z Scores'!$A$1:$N$1541,13,FALSE)/VLOOKUP(A827,'Delta Z Scores'!$A$1:$N$1541,14,FALSE),"Not Enough Data")</f>
        <v>-5.1152990239215067E-2</v>
      </c>
      <c r="G827">
        <f>IF(VLOOKUP(A827,'Forecast Z Scores'!$A$1:$N$1541,14,FALSE)&gt;2,VLOOKUP(A827,'Forecast Z Scores'!$A$1:$N$1541,13,FALSE)/VLOOKUP(A827,'Forecast Z Scores'!$A$1:$N$1541,14,FALSE),"Not Enough Data")</f>
        <v>-0.27916808977367974</v>
      </c>
      <c r="H827">
        <v>-4.2751079115861408E-2</v>
      </c>
    </row>
    <row r="828" spans="1:8" x14ac:dyDescent="0.35">
      <c r="A828" t="str">
        <f t="shared" si="12"/>
        <v>18097358100_2025</v>
      </c>
      <c r="B828">
        <v>18097358100</v>
      </c>
      <c r="C828">
        <v>2025</v>
      </c>
      <c r="E828">
        <f>-(IF(VLOOKUP(B828,'2023 Z Scores'!$A$1:$K$309,11,FALSE)&gt;2,VLOOKUP(B828,'2023 Z Scores'!$A$1:$K$309,10,FALSE)/VLOOKUP(B828,'2023 Z Scores'!$A$1:$K$309,11,FALSE),"Not Enough data"))</f>
        <v>0.21046975378866425</v>
      </c>
      <c r="F828">
        <f>IF(VLOOKUP(A828,'Delta Z Scores'!$A$1:$N$1541,14,FALSE)&gt;2,VLOOKUP(A828,'Delta Z Scores'!$A$1:$N$1541,13,FALSE)/VLOOKUP(A828,'Delta Z Scores'!$A$1:$N$1541,14,FALSE),"Not Enough Data")</f>
        <v>-5.1521141276585455E-2</v>
      </c>
      <c r="G828">
        <f>IF(VLOOKUP(A828,'Forecast Z Scores'!$A$1:$N$1541,14,FALSE)&gt;2,VLOOKUP(A828,'Forecast Z Scores'!$A$1:$N$1541,13,FALSE)/VLOOKUP(A828,'Forecast Z Scores'!$A$1:$N$1541,14,FALSE),"Not Enough Data")</f>
        <v>-0.29498535465993292</v>
      </c>
      <c r="H828">
        <v>-4.6889470856109901E-2</v>
      </c>
    </row>
    <row r="829" spans="1:8" x14ac:dyDescent="0.35">
      <c r="A829" t="str">
        <f t="shared" si="12"/>
        <v>18097358100_2026</v>
      </c>
      <c r="B829">
        <v>18097358100</v>
      </c>
      <c r="C829">
        <v>2026</v>
      </c>
      <c r="E829">
        <f>-(IF(VLOOKUP(B829,'2023 Z Scores'!$A$1:$K$309,11,FALSE)&gt;2,VLOOKUP(B829,'2023 Z Scores'!$A$1:$K$309,10,FALSE)/VLOOKUP(B829,'2023 Z Scores'!$A$1:$K$309,11,FALSE),"Not Enough data"))</f>
        <v>0.21046975378866425</v>
      </c>
      <c r="F829">
        <f>IF(VLOOKUP(A829,'Delta Z Scores'!$A$1:$N$1541,14,FALSE)&gt;2,VLOOKUP(A829,'Delta Z Scores'!$A$1:$N$1541,13,FALSE)/VLOOKUP(A829,'Delta Z Scores'!$A$1:$N$1541,14,FALSE),"Not Enough Data")</f>
        <v>-0.14417617556653362</v>
      </c>
      <c r="G829">
        <f>IF(VLOOKUP(A829,'Forecast Z Scores'!$A$1:$N$1541,14,FALSE)&gt;2,VLOOKUP(A829,'Forecast Z Scores'!$A$1:$N$1541,13,FALSE)/VLOOKUP(A829,'Forecast Z Scores'!$A$1:$N$1541,14,FALSE),"Not Enough Data")</f>
        <v>-0.31317912841345091</v>
      </c>
      <c r="H829">
        <v>-9.7765431439463452E-2</v>
      </c>
    </row>
    <row r="830" spans="1:8" x14ac:dyDescent="0.35">
      <c r="A830" t="str">
        <f t="shared" si="12"/>
        <v>18097358100_2027</v>
      </c>
      <c r="B830">
        <v>18097358100</v>
      </c>
      <c r="C830">
        <v>2027</v>
      </c>
      <c r="E830">
        <f>-(IF(VLOOKUP(B830,'2023 Z Scores'!$A$1:$K$309,11,FALSE)&gt;2,VLOOKUP(B830,'2023 Z Scores'!$A$1:$K$309,10,FALSE)/VLOOKUP(B830,'2023 Z Scores'!$A$1:$K$309,11,FALSE),"Not Enough data"))</f>
        <v>0.21046975378866425</v>
      </c>
      <c r="F830">
        <f>IF(VLOOKUP(A830,'Delta Z Scores'!$A$1:$N$1541,14,FALSE)&gt;2,VLOOKUP(A830,'Delta Z Scores'!$A$1:$N$1541,13,FALSE)/VLOOKUP(A830,'Delta Z Scores'!$A$1:$N$1541,14,FALSE),"Not Enough Data")</f>
        <v>-0.10046423240197475</v>
      </c>
      <c r="G830">
        <f>IF(VLOOKUP(A830,'Forecast Z Scores'!$A$1:$N$1541,14,FALSE)&gt;2,VLOOKUP(A830,'Forecast Z Scores'!$A$1:$N$1541,13,FALSE)/VLOOKUP(A830,'Forecast Z Scores'!$A$1:$N$1541,14,FALSE),"Not Enough Data")</f>
        <v>-0.3270440613484682</v>
      </c>
      <c r="H830">
        <v>-7.9375693090938365E-2</v>
      </c>
    </row>
    <row r="831" spans="1:8" x14ac:dyDescent="0.35">
      <c r="A831" t="str">
        <f t="shared" si="12"/>
        <v>18097358100_2028</v>
      </c>
      <c r="B831">
        <v>18097358100</v>
      </c>
      <c r="C831">
        <v>2028</v>
      </c>
      <c r="E831">
        <f>-(IF(VLOOKUP(B831,'2023 Z Scores'!$A$1:$K$309,11,FALSE)&gt;2,VLOOKUP(B831,'2023 Z Scores'!$A$1:$K$309,10,FALSE)/VLOOKUP(B831,'2023 Z Scores'!$A$1:$K$309,11,FALSE),"Not Enough data"))</f>
        <v>0.21046975378866425</v>
      </c>
      <c r="F831">
        <f>IF(VLOOKUP(A831,'Delta Z Scores'!$A$1:$N$1541,14,FALSE)&gt;2,VLOOKUP(A831,'Delta Z Scores'!$A$1:$N$1541,13,FALSE)/VLOOKUP(A831,'Delta Z Scores'!$A$1:$N$1541,14,FALSE),"Not Enough Data")</f>
        <v>-0.13174231882578361</v>
      </c>
      <c r="G831">
        <f>IF(VLOOKUP(A831,'Forecast Z Scores'!$A$1:$N$1541,14,FALSE)&gt;2,VLOOKUP(A831,'Forecast Z Scores'!$A$1:$N$1541,13,FALSE)/VLOOKUP(A831,'Forecast Z Scores'!$A$1:$N$1541,14,FALSE),"Not Enough Data")</f>
        <v>-0.33543568923541761</v>
      </c>
      <c r="H831">
        <v>-9.7112643274580135E-2</v>
      </c>
    </row>
    <row r="832" spans="1:8" x14ac:dyDescent="0.35">
      <c r="A832" t="str">
        <f t="shared" si="12"/>
        <v>18097360101_2024</v>
      </c>
      <c r="B832">
        <v>18097360101</v>
      </c>
      <c r="C832">
        <v>2024</v>
      </c>
      <c r="E832">
        <f>-(IF(VLOOKUP(B832,'2023 Z Scores'!$A$1:$K$309,11,FALSE)&gt;2,VLOOKUP(B832,'2023 Z Scores'!$A$1:$K$309,10,FALSE)/VLOOKUP(B832,'2023 Z Scores'!$A$1:$K$309,11,FALSE),"Not Enough data"))</f>
        <v>0.82435068231235398</v>
      </c>
      <c r="F832">
        <f>IF(VLOOKUP(A832,'Delta Z Scores'!$A$1:$N$1541,14,FALSE)&gt;2,VLOOKUP(A832,'Delta Z Scores'!$A$1:$N$1541,13,FALSE)/VLOOKUP(A832,'Delta Z Scores'!$A$1:$N$1541,14,FALSE),"Not Enough Data")</f>
        <v>0.57674552438870319</v>
      </c>
      <c r="G832">
        <f>IF(VLOOKUP(A832,'Forecast Z Scores'!$A$1:$N$1541,14,FALSE)&gt;2,VLOOKUP(A832,'Forecast Z Scores'!$A$1:$N$1541,13,FALSE)/VLOOKUP(A832,'Forecast Z Scores'!$A$1:$N$1541,14,FALSE),"Not Enough Data")</f>
        <v>-0.49646679668865296</v>
      </c>
      <c r="H832">
        <v>0.37034373360027684</v>
      </c>
    </row>
    <row r="833" spans="1:8" x14ac:dyDescent="0.35">
      <c r="A833" t="str">
        <f t="shared" si="12"/>
        <v>18097360101_2025</v>
      </c>
      <c r="B833">
        <v>18097360101</v>
      </c>
      <c r="C833">
        <v>2025</v>
      </c>
      <c r="E833">
        <f>-(IF(VLOOKUP(B833,'2023 Z Scores'!$A$1:$K$309,11,FALSE)&gt;2,VLOOKUP(B833,'2023 Z Scores'!$A$1:$K$309,10,FALSE)/VLOOKUP(B833,'2023 Z Scores'!$A$1:$K$309,11,FALSE),"Not Enough data"))</f>
        <v>0.82435068231235398</v>
      </c>
      <c r="F833">
        <f>IF(VLOOKUP(A833,'Delta Z Scores'!$A$1:$N$1541,14,FALSE)&gt;2,VLOOKUP(A833,'Delta Z Scores'!$A$1:$N$1541,13,FALSE)/VLOOKUP(A833,'Delta Z Scores'!$A$1:$N$1541,14,FALSE),"Not Enough Data")</f>
        <v>0.52852643950211609</v>
      </c>
      <c r="G833">
        <f>IF(VLOOKUP(A833,'Forecast Z Scores'!$A$1:$N$1541,14,FALSE)&gt;2,VLOOKUP(A833,'Forecast Z Scores'!$A$1:$N$1541,13,FALSE)/VLOOKUP(A833,'Forecast Z Scores'!$A$1:$N$1541,14,FALSE),"Not Enough Data")</f>
        <v>-0.48134862936529216</v>
      </c>
      <c r="H833">
        <v>0.35001373298782346</v>
      </c>
    </row>
    <row r="834" spans="1:8" x14ac:dyDescent="0.35">
      <c r="A834" t="str">
        <f t="shared" si="12"/>
        <v>18097360101_2026</v>
      </c>
      <c r="B834">
        <v>18097360101</v>
      </c>
      <c r="C834">
        <v>2026</v>
      </c>
      <c r="E834">
        <f>-(IF(VLOOKUP(B834,'2023 Z Scores'!$A$1:$K$309,11,FALSE)&gt;2,VLOOKUP(B834,'2023 Z Scores'!$A$1:$K$309,10,FALSE)/VLOOKUP(B834,'2023 Z Scores'!$A$1:$K$309,11,FALSE),"Not Enough data"))</f>
        <v>0.82435068231235398</v>
      </c>
      <c r="F834">
        <f>IF(VLOOKUP(A834,'Delta Z Scores'!$A$1:$N$1541,14,FALSE)&gt;2,VLOOKUP(A834,'Delta Z Scores'!$A$1:$N$1541,13,FALSE)/VLOOKUP(A834,'Delta Z Scores'!$A$1:$N$1541,14,FALSE),"Not Enough Data")</f>
        <v>0.44165094669792848</v>
      </c>
      <c r="G834">
        <f>IF(VLOOKUP(A834,'Forecast Z Scores'!$A$1:$N$1541,14,FALSE)&gt;2,VLOOKUP(A834,'Forecast Z Scores'!$A$1:$N$1541,13,FALSE)/VLOOKUP(A834,'Forecast Z Scores'!$A$1:$N$1541,14,FALSE),"Not Enough Data")</f>
        <v>-0.46442071984035793</v>
      </c>
      <c r="H834">
        <v>0.31080796396696325</v>
      </c>
    </row>
    <row r="835" spans="1:8" x14ac:dyDescent="0.35">
      <c r="A835" t="str">
        <f t="shared" ref="A835:A898" si="13">TEXT(B835,0)&amp;"_"&amp;TEXT(C835,0)</f>
        <v>18097360101_2027</v>
      </c>
      <c r="B835">
        <v>18097360101</v>
      </c>
      <c r="C835">
        <v>2027</v>
      </c>
      <c r="E835">
        <f>-(IF(VLOOKUP(B835,'2023 Z Scores'!$A$1:$K$309,11,FALSE)&gt;2,VLOOKUP(B835,'2023 Z Scores'!$A$1:$K$309,10,FALSE)/VLOOKUP(B835,'2023 Z Scores'!$A$1:$K$309,11,FALSE),"Not Enough data"))</f>
        <v>0.82435068231235398</v>
      </c>
      <c r="F835">
        <f>IF(VLOOKUP(A835,'Delta Z Scores'!$A$1:$N$1541,14,FALSE)&gt;2,VLOOKUP(A835,'Delta Z Scores'!$A$1:$N$1541,13,FALSE)/VLOOKUP(A835,'Delta Z Scores'!$A$1:$N$1541,14,FALSE),"Not Enough Data")</f>
        <v>0.43034524396732327</v>
      </c>
      <c r="G835">
        <f>IF(VLOOKUP(A835,'Forecast Z Scores'!$A$1:$N$1541,14,FALSE)&gt;2,VLOOKUP(A835,'Forecast Z Scores'!$A$1:$N$1541,13,FALSE)/VLOOKUP(A835,'Forecast Z Scores'!$A$1:$N$1541,14,FALSE),"Not Enough Data")</f>
        <v>-0.45018941316646699</v>
      </c>
      <c r="H835">
        <v>0.30871293927013338</v>
      </c>
    </row>
    <row r="836" spans="1:8" x14ac:dyDescent="0.35">
      <c r="A836" t="str">
        <f t="shared" si="13"/>
        <v>18097360101_2028</v>
      </c>
      <c r="B836">
        <v>18097360101</v>
      </c>
      <c r="C836">
        <v>2028</v>
      </c>
      <c r="E836">
        <f>-(IF(VLOOKUP(B836,'2023 Z Scores'!$A$1:$K$309,11,FALSE)&gt;2,VLOOKUP(B836,'2023 Z Scores'!$A$1:$K$309,10,FALSE)/VLOOKUP(B836,'2023 Z Scores'!$A$1:$K$309,11,FALSE),"Not Enough data"))</f>
        <v>0.82435068231235398</v>
      </c>
      <c r="F836">
        <f>IF(VLOOKUP(A836,'Delta Z Scores'!$A$1:$N$1541,14,FALSE)&gt;2,VLOOKUP(A836,'Delta Z Scores'!$A$1:$N$1541,13,FALSE)/VLOOKUP(A836,'Delta Z Scores'!$A$1:$N$1541,14,FALSE),"Not Enough Data")</f>
        <v>0.37517828536756448</v>
      </c>
      <c r="G836">
        <f>IF(VLOOKUP(A836,'Forecast Z Scores'!$A$1:$N$1541,14,FALSE)&gt;2,VLOOKUP(A836,'Forecast Z Scores'!$A$1:$N$1541,13,FALSE)/VLOOKUP(A836,'Forecast Z Scores'!$A$1:$N$1541,14,FALSE),"Not Enough Data")</f>
        <v>-0.42414098816548901</v>
      </c>
      <c r="H836">
        <v>0.28764156622049847</v>
      </c>
    </row>
    <row r="837" spans="1:8" x14ac:dyDescent="0.35">
      <c r="A837" t="str">
        <f t="shared" si="13"/>
        <v>18097360102_2024</v>
      </c>
      <c r="B837">
        <v>18097360102</v>
      </c>
      <c r="C837">
        <v>2024</v>
      </c>
      <c r="E837">
        <f>-(IF(VLOOKUP(B837,'2023 Z Scores'!$A$1:$K$309,11,FALSE)&gt;2,VLOOKUP(B837,'2023 Z Scores'!$A$1:$K$309,10,FALSE)/VLOOKUP(B837,'2023 Z Scores'!$A$1:$K$309,11,FALSE),"Not Enough data"))</f>
        <v>1.129351898461231</v>
      </c>
      <c r="F837">
        <f>IF(VLOOKUP(A837,'Delta Z Scores'!$A$1:$N$1541,14,FALSE)&gt;2,VLOOKUP(A837,'Delta Z Scores'!$A$1:$N$1541,13,FALSE)/VLOOKUP(A837,'Delta Z Scores'!$A$1:$N$1541,14,FALSE),"Not Enough Data")</f>
        <v>0.13773138497810181</v>
      </c>
      <c r="G837">
        <f>IF(VLOOKUP(A837,'Forecast Z Scores'!$A$1:$N$1541,14,FALSE)&gt;2,VLOOKUP(A837,'Forecast Z Scores'!$A$1:$N$1541,13,FALSE)/VLOOKUP(A837,'Forecast Z Scores'!$A$1:$N$1541,14,FALSE),"Not Enough Data")</f>
        <v>-0.98744876924899994</v>
      </c>
      <c r="H837">
        <v>0.10434147479210865</v>
      </c>
    </row>
    <row r="838" spans="1:8" x14ac:dyDescent="0.35">
      <c r="A838" t="str">
        <f t="shared" si="13"/>
        <v>18097360102_2025</v>
      </c>
      <c r="B838">
        <v>18097360102</v>
      </c>
      <c r="C838">
        <v>2025</v>
      </c>
      <c r="E838">
        <f>-(IF(VLOOKUP(B838,'2023 Z Scores'!$A$1:$K$309,11,FALSE)&gt;2,VLOOKUP(B838,'2023 Z Scores'!$A$1:$K$309,10,FALSE)/VLOOKUP(B838,'2023 Z Scores'!$A$1:$K$309,11,FALSE),"Not Enough data"))</f>
        <v>1.129351898461231</v>
      </c>
      <c r="F838">
        <f>IF(VLOOKUP(A838,'Delta Z Scores'!$A$1:$N$1541,14,FALSE)&gt;2,VLOOKUP(A838,'Delta Z Scores'!$A$1:$N$1541,13,FALSE)/VLOOKUP(A838,'Delta Z Scores'!$A$1:$N$1541,14,FALSE),"Not Enough Data")</f>
        <v>0.21354015622182854</v>
      </c>
      <c r="G838">
        <f>IF(VLOOKUP(A838,'Forecast Z Scores'!$A$1:$N$1541,14,FALSE)&gt;2,VLOOKUP(A838,'Forecast Z Scores'!$A$1:$N$1541,13,FALSE)/VLOOKUP(A838,'Forecast Z Scores'!$A$1:$N$1541,14,FALSE),"Not Enough Data")</f>
        <v>-1.0018013860492321</v>
      </c>
      <c r="H838">
        <v>0.13865770621391399</v>
      </c>
    </row>
    <row r="839" spans="1:8" x14ac:dyDescent="0.35">
      <c r="A839" t="str">
        <f t="shared" si="13"/>
        <v>18097360102_2026</v>
      </c>
      <c r="B839">
        <v>18097360102</v>
      </c>
      <c r="C839">
        <v>2026</v>
      </c>
      <c r="E839">
        <f>-(IF(VLOOKUP(B839,'2023 Z Scores'!$A$1:$K$309,11,FALSE)&gt;2,VLOOKUP(B839,'2023 Z Scores'!$A$1:$K$309,10,FALSE)/VLOOKUP(B839,'2023 Z Scores'!$A$1:$K$309,11,FALSE),"Not Enough data"))</f>
        <v>1.129351898461231</v>
      </c>
      <c r="F839">
        <f>IF(VLOOKUP(A839,'Delta Z Scores'!$A$1:$N$1541,14,FALSE)&gt;2,VLOOKUP(A839,'Delta Z Scores'!$A$1:$N$1541,13,FALSE)/VLOOKUP(A839,'Delta Z Scores'!$A$1:$N$1541,14,FALSE),"Not Enough Data")</f>
        <v>2.8233608304233458E-2</v>
      </c>
      <c r="G839">
        <f>IF(VLOOKUP(A839,'Forecast Z Scores'!$A$1:$N$1541,14,FALSE)&gt;2,VLOOKUP(A839,'Forecast Z Scores'!$A$1:$N$1541,13,FALSE)/VLOOKUP(A839,'Forecast Z Scores'!$A$1:$N$1541,14,FALSE),"Not Enough Data")</f>
        <v>-1.007108787218586</v>
      </c>
      <c r="H839">
        <v>4.4677581962777962E-2</v>
      </c>
    </row>
    <row r="840" spans="1:8" x14ac:dyDescent="0.35">
      <c r="A840" t="str">
        <f t="shared" si="13"/>
        <v>18097360102_2027</v>
      </c>
      <c r="B840">
        <v>18097360102</v>
      </c>
      <c r="C840">
        <v>2027</v>
      </c>
      <c r="E840">
        <f>-(IF(VLOOKUP(B840,'2023 Z Scores'!$A$1:$K$309,11,FALSE)&gt;2,VLOOKUP(B840,'2023 Z Scores'!$A$1:$K$309,10,FALSE)/VLOOKUP(B840,'2023 Z Scores'!$A$1:$K$309,11,FALSE),"Not Enough data"))</f>
        <v>1.129351898461231</v>
      </c>
      <c r="F840">
        <f>IF(VLOOKUP(A840,'Delta Z Scores'!$A$1:$N$1541,14,FALSE)&gt;2,VLOOKUP(A840,'Delta Z Scores'!$A$1:$N$1541,13,FALSE)/VLOOKUP(A840,'Delta Z Scores'!$A$1:$N$1541,14,FALSE),"Not Enough Data")</f>
        <v>6.56353677820527E-2</v>
      </c>
      <c r="G840">
        <f>IF(VLOOKUP(A840,'Forecast Z Scores'!$A$1:$N$1541,14,FALSE)&gt;2,VLOOKUP(A840,'Forecast Z Scores'!$A$1:$N$1541,13,FALSE)/VLOOKUP(A840,'Forecast Z Scores'!$A$1:$N$1541,14,FALSE),"Not Enough Data")</f>
        <v>-1.0082075270207653</v>
      </c>
      <c r="H840">
        <v>6.3103776751142759E-2</v>
      </c>
    </row>
    <row r="841" spans="1:8" x14ac:dyDescent="0.35">
      <c r="A841" t="str">
        <f t="shared" si="13"/>
        <v>18097360102_2028</v>
      </c>
      <c r="B841">
        <v>18097360102</v>
      </c>
      <c r="C841">
        <v>2028</v>
      </c>
      <c r="E841">
        <f>-(IF(VLOOKUP(B841,'2023 Z Scores'!$A$1:$K$309,11,FALSE)&gt;2,VLOOKUP(B841,'2023 Z Scores'!$A$1:$K$309,10,FALSE)/VLOOKUP(B841,'2023 Z Scores'!$A$1:$K$309,11,FALSE),"Not Enough data"))</f>
        <v>1.129351898461231</v>
      </c>
      <c r="F841">
        <f>IF(VLOOKUP(A841,'Delta Z Scores'!$A$1:$N$1541,14,FALSE)&gt;2,VLOOKUP(A841,'Delta Z Scores'!$A$1:$N$1541,13,FALSE)/VLOOKUP(A841,'Delta Z Scores'!$A$1:$N$1541,14,FALSE),"Not Enough Data")</f>
        <v>2.9357076332406057E-2</v>
      </c>
      <c r="G841">
        <f>IF(VLOOKUP(A841,'Forecast Z Scores'!$A$1:$N$1541,14,FALSE)&gt;2,VLOOKUP(A841,'Forecast Z Scores'!$A$1:$N$1541,13,FALSE)/VLOOKUP(A841,'Forecast Z Scores'!$A$1:$N$1541,14,FALSE),"Not Enough Data")</f>
        <v>-0.99174145828332116</v>
      </c>
      <c r="H841">
        <v>4.9081148210680492E-2</v>
      </c>
    </row>
    <row r="842" spans="1:8" x14ac:dyDescent="0.35">
      <c r="A842" t="str">
        <f t="shared" si="13"/>
        <v>18097360201_2024</v>
      </c>
      <c r="B842">
        <v>18097360201</v>
      </c>
      <c r="C842">
        <v>2024</v>
      </c>
      <c r="E842">
        <f>-(IF(VLOOKUP(B842,'2023 Z Scores'!$A$1:$K$309,11,FALSE)&gt;2,VLOOKUP(B842,'2023 Z Scores'!$A$1:$K$309,10,FALSE)/VLOOKUP(B842,'2023 Z Scores'!$A$1:$K$309,11,FALSE),"Not Enough data"))</f>
        <v>0.64368853085070799</v>
      </c>
      <c r="F842">
        <f>IF(VLOOKUP(A842,'Delta Z Scores'!$A$1:$N$1541,14,FALSE)&gt;2,VLOOKUP(A842,'Delta Z Scores'!$A$1:$N$1541,13,FALSE)/VLOOKUP(A842,'Delta Z Scores'!$A$1:$N$1541,14,FALSE),"Not Enough Data")</f>
        <v>3.6760257711295416E-2</v>
      </c>
      <c r="G842">
        <f>IF(VLOOKUP(A842,'Forecast Z Scores'!$A$1:$N$1541,14,FALSE)&gt;2,VLOOKUP(A842,'Forecast Z Scores'!$A$1:$N$1541,13,FALSE)/VLOOKUP(A842,'Forecast Z Scores'!$A$1:$N$1541,14,FALSE),"Not Enough Data")</f>
        <v>-0.46571766585635999</v>
      </c>
      <c r="H842">
        <v>6.2872845104234715E-2</v>
      </c>
    </row>
    <row r="843" spans="1:8" x14ac:dyDescent="0.35">
      <c r="A843" t="str">
        <f t="shared" si="13"/>
        <v>18097360201_2025</v>
      </c>
      <c r="B843">
        <v>18097360201</v>
      </c>
      <c r="C843">
        <v>2025</v>
      </c>
      <c r="E843">
        <f>-(IF(VLOOKUP(B843,'2023 Z Scores'!$A$1:$K$309,11,FALSE)&gt;2,VLOOKUP(B843,'2023 Z Scores'!$A$1:$K$309,10,FALSE)/VLOOKUP(B843,'2023 Z Scores'!$A$1:$K$309,11,FALSE),"Not Enough data"))</f>
        <v>0.64368853085070799</v>
      </c>
      <c r="F843">
        <f>IF(VLOOKUP(A843,'Delta Z Scores'!$A$1:$N$1541,14,FALSE)&gt;2,VLOOKUP(A843,'Delta Z Scores'!$A$1:$N$1541,13,FALSE)/VLOOKUP(A843,'Delta Z Scores'!$A$1:$N$1541,14,FALSE),"Not Enough Data")</f>
        <v>-0.29154185386441916</v>
      </c>
      <c r="G843">
        <f>IF(VLOOKUP(A843,'Forecast Z Scores'!$A$1:$N$1541,14,FALSE)&gt;2,VLOOKUP(A843,'Forecast Z Scores'!$A$1:$N$1541,13,FALSE)/VLOOKUP(A843,'Forecast Z Scores'!$A$1:$N$1541,14,FALSE),"Not Enough Data")</f>
        <v>-0.49289484579392462</v>
      </c>
      <c r="H843">
        <v>-0.10807250566801371</v>
      </c>
    </row>
    <row r="844" spans="1:8" x14ac:dyDescent="0.35">
      <c r="A844" t="str">
        <f t="shared" si="13"/>
        <v>18097360201_2026</v>
      </c>
      <c r="B844">
        <v>18097360201</v>
      </c>
      <c r="C844">
        <v>2026</v>
      </c>
      <c r="E844">
        <f>-(IF(VLOOKUP(B844,'2023 Z Scores'!$A$1:$K$309,11,FALSE)&gt;2,VLOOKUP(B844,'2023 Z Scores'!$A$1:$K$309,10,FALSE)/VLOOKUP(B844,'2023 Z Scores'!$A$1:$K$309,11,FALSE),"Not Enough data"))</f>
        <v>0.64368853085070799</v>
      </c>
      <c r="F844">
        <f>IF(VLOOKUP(A844,'Delta Z Scores'!$A$1:$N$1541,14,FALSE)&gt;2,VLOOKUP(A844,'Delta Z Scores'!$A$1:$N$1541,13,FALSE)/VLOOKUP(A844,'Delta Z Scores'!$A$1:$N$1541,14,FALSE),"Not Enough Data")</f>
        <v>-0.23979446335780846</v>
      </c>
      <c r="G844">
        <f>IF(VLOOKUP(A844,'Forecast Z Scores'!$A$1:$N$1541,14,FALSE)&gt;2,VLOOKUP(A844,'Forecast Z Scores'!$A$1:$N$1541,13,FALSE)/VLOOKUP(A844,'Forecast Z Scores'!$A$1:$N$1541,14,FALSE),"Not Enough Data")</f>
        <v>-0.50315173295616389</v>
      </c>
      <c r="H844">
        <v>-8.4763032205268207E-2</v>
      </c>
    </row>
    <row r="845" spans="1:8" x14ac:dyDescent="0.35">
      <c r="A845" t="str">
        <f t="shared" si="13"/>
        <v>18097360201_2027</v>
      </c>
      <c r="B845">
        <v>18097360201</v>
      </c>
      <c r="C845">
        <v>2027</v>
      </c>
      <c r="E845">
        <f>-(IF(VLOOKUP(B845,'2023 Z Scores'!$A$1:$K$309,11,FALSE)&gt;2,VLOOKUP(B845,'2023 Z Scores'!$A$1:$K$309,10,FALSE)/VLOOKUP(B845,'2023 Z Scores'!$A$1:$K$309,11,FALSE),"Not Enough data"))</f>
        <v>0.64368853085070799</v>
      </c>
      <c r="F845">
        <f>IF(VLOOKUP(A845,'Delta Z Scores'!$A$1:$N$1541,14,FALSE)&gt;2,VLOOKUP(A845,'Delta Z Scores'!$A$1:$N$1541,13,FALSE)/VLOOKUP(A845,'Delta Z Scores'!$A$1:$N$1541,14,FALSE),"Not Enough Data")</f>
        <v>-0.25075837786693794</v>
      </c>
      <c r="G845">
        <f>IF(VLOOKUP(A845,'Forecast Z Scores'!$A$1:$N$1541,14,FALSE)&gt;2,VLOOKUP(A845,'Forecast Z Scores'!$A$1:$N$1541,13,FALSE)/VLOOKUP(A845,'Forecast Z Scores'!$A$1:$N$1541,14,FALSE),"Not Enough Data")</f>
        <v>-0.52094295144576108</v>
      </c>
      <c r="H845">
        <v>-9.4692794082232273E-2</v>
      </c>
    </row>
    <row r="846" spans="1:8" x14ac:dyDescent="0.35">
      <c r="A846" t="str">
        <f t="shared" si="13"/>
        <v>18097360201_2028</v>
      </c>
      <c r="B846">
        <v>18097360201</v>
      </c>
      <c r="C846">
        <v>2028</v>
      </c>
      <c r="E846">
        <f>-(IF(VLOOKUP(B846,'2023 Z Scores'!$A$1:$K$309,11,FALSE)&gt;2,VLOOKUP(B846,'2023 Z Scores'!$A$1:$K$309,10,FALSE)/VLOOKUP(B846,'2023 Z Scores'!$A$1:$K$309,11,FALSE),"Not Enough data"))</f>
        <v>0.64368853085070799</v>
      </c>
      <c r="F846">
        <f>IF(VLOOKUP(A846,'Delta Z Scores'!$A$1:$N$1541,14,FALSE)&gt;2,VLOOKUP(A846,'Delta Z Scores'!$A$1:$N$1541,13,FALSE)/VLOOKUP(A846,'Delta Z Scores'!$A$1:$N$1541,14,FALSE),"Not Enough Data")</f>
        <v>-0.22995586656504341</v>
      </c>
      <c r="G846">
        <f>IF(VLOOKUP(A846,'Forecast Z Scores'!$A$1:$N$1541,14,FALSE)&gt;2,VLOOKUP(A846,'Forecast Z Scores'!$A$1:$N$1541,13,FALSE)/VLOOKUP(A846,'Forecast Z Scores'!$A$1:$N$1541,14,FALSE),"Not Enough Data")</f>
        <v>-0.53064652062122897</v>
      </c>
      <c r="H846">
        <v>-8.671743072515195E-2</v>
      </c>
    </row>
    <row r="847" spans="1:8" x14ac:dyDescent="0.35">
      <c r="A847" t="str">
        <f t="shared" si="13"/>
        <v>18097360202_2024</v>
      </c>
      <c r="B847">
        <v>18097360202</v>
      </c>
      <c r="C847">
        <v>2024</v>
      </c>
      <c r="E847">
        <f>-(IF(VLOOKUP(B847,'2023 Z Scores'!$A$1:$K$309,11,FALSE)&gt;2,VLOOKUP(B847,'2023 Z Scores'!$A$1:$K$309,10,FALSE)/VLOOKUP(B847,'2023 Z Scores'!$A$1:$K$309,11,FALSE),"Not Enough data"))</f>
        <v>0.55819314659480779</v>
      </c>
      <c r="F847">
        <f>IF(VLOOKUP(A847,'Delta Z Scores'!$A$1:$N$1541,14,FALSE)&gt;2,VLOOKUP(A847,'Delta Z Scores'!$A$1:$N$1541,13,FALSE)/VLOOKUP(A847,'Delta Z Scores'!$A$1:$N$1541,14,FALSE),"Not Enough Data")</f>
        <v>-0.57259036774771344</v>
      </c>
      <c r="G847">
        <f>IF(VLOOKUP(A847,'Forecast Z Scores'!$A$1:$N$1541,14,FALSE)&gt;2,VLOOKUP(A847,'Forecast Z Scores'!$A$1:$N$1541,13,FALSE)/VLOOKUP(A847,'Forecast Z Scores'!$A$1:$N$1541,14,FALSE),"Not Enough Data")</f>
        <v>-0.96634946715451719</v>
      </c>
      <c r="H847">
        <v>-0.38833426401378407</v>
      </c>
    </row>
    <row r="848" spans="1:8" x14ac:dyDescent="0.35">
      <c r="A848" t="str">
        <f t="shared" si="13"/>
        <v>18097360202_2025</v>
      </c>
      <c r="B848">
        <v>18097360202</v>
      </c>
      <c r="C848">
        <v>2025</v>
      </c>
      <c r="E848">
        <f>-(IF(VLOOKUP(B848,'2023 Z Scores'!$A$1:$K$309,11,FALSE)&gt;2,VLOOKUP(B848,'2023 Z Scores'!$A$1:$K$309,10,FALSE)/VLOOKUP(B848,'2023 Z Scores'!$A$1:$K$309,11,FALSE),"Not Enough data"))</f>
        <v>0.55819314659480779</v>
      </c>
      <c r="F848">
        <f>IF(VLOOKUP(A848,'Delta Z Scores'!$A$1:$N$1541,14,FALSE)&gt;2,VLOOKUP(A848,'Delta Z Scores'!$A$1:$N$1541,13,FALSE)/VLOOKUP(A848,'Delta Z Scores'!$A$1:$N$1541,14,FALSE),"Not Enough Data")</f>
        <v>-0.55423446641555563</v>
      </c>
      <c r="G848">
        <f>IF(VLOOKUP(A848,'Forecast Z Scores'!$A$1:$N$1541,14,FALSE)&gt;2,VLOOKUP(A848,'Forecast Z Scores'!$A$1:$N$1541,13,FALSE)/VLOOKUP(A848,'Forecast Z Scores'!$A$1:$N$1541,14,FALSE),"Not Enough Data")</f>
        <v>-0.97855983946815694</v>
      </c>
      <c r="H848">
        <v>-0.3822089064261151</v>
      </c>
    </row>
    <row r="849" spans="1:8" x14ac:dyDescent="0.35">
      <c r="A849" t="str">
        <f t="shared" si="13"/>
        <v>18097360202_2026</v>
      </c>
      <c r="B849">
        <v>18097360202</v>
      </c>
      <c r="C849">
        <v>2026</v>
      </c>
      <c r="E849">
        <f>-(IF(VLOOKUP(B849,'2023 Z Scores'!$A$1:$K$309,11,FALSE)&gt;2,VLOOKUP(B849,'2023 Z Scores'!$A$1:$K$309,10,FALSE)/VLOOKUP(B849,'2023 Z Scores'!$A$1:$K$309,11,FALSE),"Not Enough data"))</f>
        <v>0.55819314659480779</v>
      </c>
      <c r="F849">
        <f>IF(VLOOKUP(A849,'Delta Z Scores'!$A$1:$N$1541,14,FALSE)&gt;2,VLOOKUP(A849,'Delta Z Scores'!$A$1:$N$1541,13,FALSE)/VLOOKUP(A849,'Delta Z Scores'!$A$1:$N$1541,14,FALSE),"Not Enough Data")</f>
        <v>-0.74795289247962504</v>
      </c>
      <c r="G849">
        <f>IF(VLOOKUP(A849,'Forecast Z Scores'!$A$1:$N$1541,14,FALSE)&gt;2,VLOOKUP(A849,'Forecast Z Scores'!$A$1:$N$1541,13,FALSE)/VLOOKUP(A849,'Forecast Z Scores'!$A$1:$N$1541,14,FALSE),"Not Enough Data")</f>
        <v>-0.98332446889358638</v>
      </c>
      <c r="H849">
        <v>-0.48025927681450714</v>
      </c>
    </row>
    <row r="850" spans="1:8" x14ac:dyDescent="0.35">
      <c r="A850" t="str">
        <f t="shared" si="13"/>
        <v>18097360202_2027</v>
      </c>
      <c r="B850">
        <v>18097360202</v>
      </c>
      <c r="C850">
        <v>2027</v>
      </c>
      <c r="E850">
        <f>-(IF(VLOOKUP(B850,'2023 Z Scores'!$A$1:$K$309,11,FALSE)&gt;2,VLOOKUP(B850,'2023 Z Scores'!$A$1:$K$309,10,FALSE)/VLOOKUP(B850,'2023 Z Scores'!$A$1:$K$309,11,FALSE),"Not Enough data"))</f>
        <v>0.55819314659480779</v>
      </c>
      <c r="F850">
        <f>IF(VLOOKUP(A850,'Delta Z Scores'!$A$1:$N$1541,14,FALSE)&gt;2,VLOOKUP(A850,'Delta Z Scores'!$A$1:$N$1541,13,FALSE)/VLOOKUP(A850,'Delta Z Scores'!$A$1:$N$1541,14,FALSE),"Not Enough Data")</f>
        <v>-0.91199931009417623</v>
      </c>
      <c r="G850">
        <f>IF(VLOOKUP(A850,'Forecast Z Scores'!$A$1:$N$1541,14,FALSE)&gt;2,VLOOKUP(A850,'Forecast Z Scores'!$A$1:$N$1541,13,FALSE)/VLOOKUP(A850,'Forecast Z Scores'!$A$1:$N$1541,14,FALSE),"Not Enough Data")</f>
        <v>-0.98139840997548944</v>
      </c>
      <c r="H850">
        <v>-0.56180097089225844</v>
      </c>
    </row>
    <row r="851" spans="1:8" x14ac:dyDescent="0.35">
      <c r="A851" t="str">
        <f t="shared" si="13"/>
        <v>18097360202_2028</v>
      </c>
      <c r="B851">
        <v>18097360202</v>
      </c>
      <c r="C851">
        <v>2028</v>
      </c>
      <c r="E851">
        <f>-(IF(VLOOKUP(B851,'2023 Z Scores'!$A$1:$K$309,11,FALSE)&gt;2,VLOOKUP(B851,'2023 Z Scores'!$A$1:$K$309,10,FALSE)/VLOOKUP(B851,'2023 Z Scores'!$A$1:$K$309,11,FALSE),"Not Enough data"))</f>
        <v>0.55819314659480779</v>
      </c>
      <c r="F851">
        <f>IF(VLOOKUP(A851,'Delta Z Scores'!$A$1:$N$1541,14,FALSE)&gt;2,VLOOKUP(A851,'Delta Z Scores'!$A$1:$N$1541,13,FALSE)/VLOOKUP(A851,'Delta Z Scores'!$A$1:$N$1541,14,FALSE),"Not Enough Data")</f>
        <v>-1.1932350738984705</v>
      </c>
      <c r="G851">
        <f>IF(VLOOKUP(A851,'Forecast Z Scores'!$A$1:$N$1541,14,FALSE)&gt;2,VLOOKUP(A851,'Forecast Z Scores'!$A$1:$N$1541,13,FALSE)/VLOOKUP(A851,'Forecast Z Scores'!$A$1:$N$1541,14,FALSE),"Not Enough Data")</f>
        <v>-0.97756131139559843</v>
      </c>
      <c r="H851">
        <v>-0.70145957814943283</v>
      </c>
    </row>
    <row r="852" spans="1:8" x14ac:dyDescent="0.35">
      <c r="A852" t="str">
        <f t="shared" si="13"/>
        <v>18097360301_2024</v>
      </c>
      <c r="B852">
        <v>18097360301</v>
      </c>
      <c r="C852">
        <v>2024</v>
      </c>
      <c r="E852">
        <f>-(IF(VLOOKUP(B852,'2023 Z Scores'!$A$1:$K$309,11,FALSE)&gt;2,VLOOKUP(B852,'2023 Z Scores'!$A$1:$K$309,10,FALSE)/VLOOKUP(B852,'2023 Z Scores'!$A$1:$K$309,11,FALSE),"Not Enough data"))</f>
        <v>0.45377951208473394</v>
      </c>
      <c r="F852">
        <f>IF(VLOOKUP(A852,'Delta Z Scores'!$A$1:$N$1541,14,FALSE)&gt;2,VLOOKUP(A852,'Delta Z Scores'!$A$1:$N$1541,13,FALSE)/VLOOKUP(A852,'Delta Z Scores'!$A$1:$N$1541,14,FALSE),"Not Enough Data")</f>
        <v>3.2026668878136835E-2</v>
      </c>
      <c r="G852">
        <f>IF(VLOOKUP(A852,'Forecast Z Scores'!$A$1:$N$1541,14,FALSE)&gt;2,VLOOKUP(A852,'Forecast Z Scores'!$A$1:$N$1541,13,FALSE)/VLOOKUP(A852,'Forecast Z Scores'!$A$1:$N$1541,14,FALSE),"Not Enough Data")</f>
        <v>-0.64470757531260159</v>
      </c>
      <c r="H852">
        <v>-3.1718681367898502E-2</v>
      </c>
    </row>
    <row r="853" spans="1:8" x14ac:dyDescent="0.35">
      <c r="A853" t="str">
        <f t="shared" si="13"/>
        <v>18097360301_2025</v>
      </c>
      <c r="B853">
        <v>18097360301</v>
      </c>
      <c r="C853">
        <v>2025</v>
      </c>
      <c r="E853">
        <f>-(IF(VLOOKUP(B853,'2023 Z Scores'!$A$1:$K$309,11,FALSE)&gt;2,VLOOKUP(B853,'2023 Z Scores'!$A$1:$K$309,10,FALSE)/VLOOKUP(B853,'2023 Z Scores'!$A$1:$K$309,11,FALSE),"Not Enough data"))</f>
        <v>0.45377951208473394</v>
      </c>
      <c r="F853">
        <f>IF(VLOOKUP(A853,'Delta Z Scores'!$A$1:$N$1541,14,FALSE)&gt;2,VLOOKUP(A853,'Delta Z Scores'!$A$1:$N$1541,13,FALSE)/VLOOKUP(A853,'Delta Z Scores'!$A$1:$N$1541,14,FALSE),"Not Enough Data")</f>
        <v>-0.61395122184333528</v>
      </c>
      <c r="G853">
        <f>IF(VLOOKUP(A853,'Forecast Z Scores'!$A$1:$N$1541,14,FALSE)&gt;2,VLOOKUP(A853,'Forecast Z Scores'!$A$1:$N$1541,13,FALSE)/VLOOKUP(A853,'Forecast Z Scores'!$A$1:$N$1541,14,FALSE),"Not Enough Data")</f>
        <v>-0.67859067612461099</v>
      </c>
      <c r="H853">
        <v>-0.36317840193163692</v>
      </c>
    </row>
    <row r="854" spans="1:8" x14ac:dyDescent="0.35">
      <c r="A854" t="str">
        <f t="shared" si="13"/>
        <v>18097360301_2026</v>
      </c>
      <c r="B854">
        <v>18097360301</v>
      </c>
      <c r="C854">
        <v>2026</v>
      </c>
      <c r="E854">
        <f>-(IF(VLOOKUP(B854,'2023 Z Scores'!$A$1:$K$309,11,FALSE)&gt;2,VLOOKUP(B854,'2023 Z Scores'!$A$1:$K$309,10,FALSE)/VLOOKUP(B854,'2023 Z Scores'!$A$1:$K$309,11,FALSE),"Not Enough data"))</f>
        <v>0.45377951208473394</v>
      </c>
      <c r="F854">
        <f>IF(VLOOKUP(A854,'Delta Z Scores'!$A$1:$N$1541,14,FALSE)&gt;2,VLOOKUP(A854,'Delta Z Scores'!$A$1:$N$1541,13,FALSE)/VLOOKUP(A854,'Delta Z Scores'!$A$1:$N$1541,14,FALSE),"Not Enough Data")</f>
        <v>-0.5576620519118265</v>
      </c>
      <c r="G854">
        <f>IF(VLOOKUP(A854,'Forecast Z Scores'!$A$1:$N$1541,14,FALSE)&gt;2,VLOOKUP(A854,'Forecast Z Scores'!$A$1:$N$1541,13,FALSE)/VLOOKUP(A854,'Forecast Z Scores'!$A$1:$N$1541,14,FALSE),"Not Enough Data")</f>
        <v>-0.69488147557467228</v>
      </c>
      <c r="H854">
        <v>-0.33910651682839782</v>
      </c>
    </row>
    <row r="855" spans="1:8" x14ac:dyDescent="0.35">
      <c r="A855" t="str">
        <f t="shared" si="13"/>
        <v>18097360301_2027</v>
      </c>
      <c r="B855">
        <v>18097360301</v>
      </c>
      <c r="C855">
        <v>2027</v>
      </c>
      <c r="E855">
        <f>-(IF(VLOOKUP(B855,'2023 Z Scores'!$A$1:$K$309,11,FALSE)&gt;2,VLOOKUP(B855,'2023 Z Scores'!$A$1:$K$309,10,FALSE)/VLOOKUP(B855,'2023 Z Scores'!$A$1:$K$309,11,FALSE),"Not Enough data"))</f>
        <v>0.45377951208473394</v>
      </c>
      <c r="F855">
        <f>IF(VLOOKUP(A855,'Delta Z Scores'!$A$1:$N$1541,14,FALSE)&gt;2,VLOOKUP(A855,'Delta Z Scores'!$A$1:$N$1541,13,FALSE)/VLOOKUP(A855,'Delta Z Scores'!$A$1:$N$1541,14,FALSE),"Not Enough Data")</f>
        <v>-0.70404957767769516</v>
      </c>
      <c r="G855">
        <f>IF(VLOOKUP(A855,'Forecast Z Scores'!$A$1:$N$1541,14,FALSE)&gt;2,VLOOKUP(A855,'Forecast Z Scores'!$A$1:$N$1541,13,FALSE)/VLOOKUP(A855,'Forecast Z Scores'!$A$1:$N$1541,14,FALSE),"Not Enough Data")</f>
        <v>-0.71453648498881328</v>
      </c>
      <c r="H855">
        <v>-0.41721403206486746</v>
      </c>
    </row>
    <row r="856" spans="1:8" x14ac:dyDescent="0.35">
      <c r="A856" t="str">
        <f t="shared" si="13"/>
        <v>18097360301_2028</v>
      </c>
      <c r="B856">
        <v>18097360301</v>
      </c>
      <c r="C856">
        <v>2028</v>
      </c>
      <c r="E856">
        <f>-(IF(VLOOKUP(B856,'2023 Z Scores'!$A$1:$K$309,11,FALSE)&gt;2,VLOOKUP(B856,'2023 Z Scores'!$A$1:$K$309,10,FALSE)/VLOOKUP(B856,'2023 Z Scores'!$A$1:$K$309,11,FALSE),"Not Enough data"))</f>
        <v>0.45377951208473394</v>
      </c>
      <c r="F856">
        <f>IF(VLOOKUP(A856,'Delta Z Scores'!$A$1:$N$1541,14,FALSE)&gt;2,VLOOKUP(A856,'Delta Z Scores'!$A$1:$N$1541,13,FALSE)/VLOOKUP(A856,'Delta Z Scores'!$A$1:$N$1541,14,FALSE),"Not Enough Data")</f>
        <v>-0.73762527479154716</v>
      </c>
      <c r="G856">
        <f>IF(VLOOKUP(A856,'Forecast Z Scores'!$A$1:$N$1541,14,FALSE)&gt;2,VLOOKUP(A856,'Forecast Z Scores'!$A$1:$N$1541,13,FALSE)/VLOOKUP(A856,'Forecast Z Scores'!$A$1:$N$1541,14,FALSE),"Not Enough Data")</f>
        <v>-0.72509140836288732</v>
      </c>
      <c r="H856">
        <v>-0.43664061146531191</v>
      </c>
    </row>
    <row r="857" spans="1:8" x14ac:dyDescent="0.35">
      <c r="A857" t="str">
        <f t="shared" si="13"/>
        <v>18097360302_2024</v>
      </c>
      <c r="B857">
        <v>18097360302</v>
      </c>
      <c r="C857">
        <v>2024</v>
      </c>
      <c r="E857">
        <f>-(IF(VLOOKUP(B857,'2023 Z Scores'!$A$1:$K$309,11,FALSE)&gt;2,VLOOKUP(B857,'2023 Z Scores'!$A$1:$K$309,10,FALSE)/VLOOKUP(B857,'2023 Z Scores'!$A$1:$K$309,11,FALSE),"Not Enough data"))</f>
        <v>0.74122375814956676</v>
      </c>
      <c r="F857">
        <f>IF(VLOOKUP(A857,'Delta Z Scores'!$A$1:$N$1541,14,FALSE)&gt;2,VLOOKUP(A857,'Delta Z Scores'!$A$1:$N$1541,13,FALSE)/VLOOKUP(A857,'Delta Z Scores'!$A$1:$N$1541,14,FALSE),"Not Enough Data")</f>
        <v>0.36643915248790238</v>
      </c>
      <c r="G857">
        <f>IF(VLOOKUP(A857,'Forecast Z Scores'!$A$1:$N$1541,14,FALSE)&gt;2,VLOOKUP(A857,'Forecast Z Scores'!$A$1:$N$1541,13,FALSE)/VLOOKUP(A857,'Forecast Z Scores'!$A$1:$N$1541,14,FALSE),"Not Enough Data")</f>
        <v>-0.57664827544166053</v>
      </c>
      <c r="H857">
        <v>0.22436344692092774</v>
      </c>
    </row>
    <row r="858" spans="1:8" x14ac:dyDescent="0.35">
      <c r="A858" t="str">
        <f t="shared" si="13"/>
        <v>18097360302_2025</v>
      </c>
      <c r="B858">
        <v>18097360302</v>
      </c>
      <c r="C858">
        <v>2025</v>
      </c>
      <c r="E858">
        <f>-(IF(VLOOKUP(B858,'2023 Z Scores'!$A$1:$K$309,11,FALSE)&gt;2,VLOOKUP(B858,'2023 Z Scores'!$A$1:$K$309,10,FALSE)/VLOOKUP(B858,'2023 Z Scores'!$A$1:$K$309,11,FALSE),"Not Enough data"))</f>
        <v>0.74122375814956676</v>
      </c>
      <c r="F858">
        <f>IF(VLOOKUP(A858,'Delta Z Scores'!$A$1:$N$1541,14,FALSE)&gt;2,VLOOKUP(A858,'Delta Z Scores'!$A$1:$N$1541,13,FALSE)/VLOOKUP(A858,'Delta Z Scores'!$A$1:$N$1541,14,FALSE),"Not Enough Data")</f>
        <v>4.7318188458830429E-3</v>
      </c>
      <c r="G858">
        <f>IF(VLOOKUP(A858,'Forecast Z Scores'!$A$1:$N$1541,14,FALSE)&gt;2,VLOOKUP(A858,'Forecast Z Scores'!$A$1:$N$1541,13,FALSE)/VLOOKUP(A858,'Forecast Z Scores'!$A$1:$N$1541,14,FALSE),"Not Enough Data")</f>
        <v>-0.55361787260580575</v>
      </c>
      <c r="H858">
        <v>4.9267380808881767E-2</v>
      </c>
    </row>
    <row r="859" spans="1:8" x14ac:dyDescent="0.35">
      <c r="A859" t="str">
        <f t="shared" si="13"/>
        <v>18097360302_2026</v>
      </c>
      <c r="B859">
        <v>18097360302</v>
      </c>
      <c r="C859">
        <v>2026</v>
      </c>
      <c r="E859">
        <f>-(IF(VLOOKUP(B859,'2023 Z Scores'!$A$1:$K$309,11,FALSE)&gt;2,VLOOKUP(B859,'2023 Z Scores'!$A$1:$K$309,10,FALSE)/VLOOKUP(B859,'2023 Z Scores'!$A$1:$K$309,11,FALSE),"Not Enough data"))</f>
        <v>0.74122375814956676</v>
      </c>
      <c r="F859">
        <f>IF(VLOOKUP(A859,'Delta Z Scores'!$A$1:$N$1541,14,FALSE)&gt;2,VLOOKUP(A859,'Delta Z Scores'!$A$1:$N$1541,13,FALSE)/VLOOKUP(A859,'Delta Z Scores'!$A$1:$N$1541,14,FALSE),"Not Enough Data")</f>
        <v>4.7899217111623593E-2</v>
      </c>
      <c r="G859">
        <f>IF(VLOOKUP(A859,'Forecast Z Scores'!$A$1:$N$1541,14,FALSE)&gt;2,VLOOKUP(A859,'Forecast Z Scores'!$A$1:$N$1541,13,FALSE)/VLOOKUP(A859,'Forecast Z Scores'!$A$1:$N$1541,14,FALSE),"Not Enough Data")</f>
        <v>-0.5352341494280024</v>
      </c>
      <c r="H859">
        <v>7.5447010736202885E-2</v>
      </c>
    </row>
    <row r="860" spans="1:8" x14ac:dyDescent="0.35">
      <c r="A860" t="str">
        <f t="shared" si="13"/>
        <v>18097360302_2027</v>
      </c>
      <c r="B860">
        <v>18097360302</v>
      </c>
      <c r="C860">
        <v>2027</v>
      </c>
      <c r="E860">
        <f>-(IF(VLOOKUP(B860,'2023 Z Scores'!$A$1:$K$309,11,FALSE)&gt;2,VLOOKUP(B860,'2023 Z Scores'!$A$1:$K$309,10,FALSE)/VLOOKUP(B860,'2023 Z Scores'!$A$1:$K$309,11,FALSE),"Not Enough data"))</f>
        <v>0.74122375814956676</v>
      </c>
      <c r="F860">
        <f>IF(VLOOKUP(A860,'Delta Z Scores'!$A$1:$N$1541,14,FALSE)&gt;2,VLOOKUP(A860,'Delta Z Scores'!$A$1:$N$1541,13,FALSE)/VLOOKUP(A860,'Delta Z Scores'!$A$1:$N$1541,14,FALSE),"Not Enough Data")</f>
        <v>-2.556422398110135E-2</v>
      </c>
      <c r="G860">
        <f>IF(VLOOKUP(A860,'Forecast Z Scores'!$A$1:$N$1541,14,FALSE)&gt;2,VLOOKUP(A860,'Forecast Z Scores'!$A$1:$N$1541,13,FALSE)/VLOOKUP(A860,'Forecast Z Scores'!$A$1:$N$1541,14,FALSE),"Not Enough Data")</f>
        <v>-0.51789870323459641</v>
      </c>
      <c r="H860">
        <v>4.3049151738191904E-2</v>
      </c>
    </row>
    <row r="861" spans="1:8" x14ac:dyDescent="0.35">
      <c r="A861" t="str">
        <f t="shared" si="13"/>
        <v>18097360302_2028</v>
      </c>
      <c r="B861">
        <v>18097360302</v>
      </c>
      <c r="C861">
        <v>2028</v>
      </c>
      <c r="E861">
        <f>-(IF(VLOOKUP(B861,'2023 Z Scores'!$A$1:$K$309,11,FALSE)&gt;2,VLOOKUP(B861,'2023 Z Scores'!$A$1:$K$309,10,FALSE)/VLOOKUP(B861,'2023 Z Scores'!$A$1:$K$309,11,FALSE),"Not Enough data"))</f>
        <v>0.74122375814956676</v>
      </c>
      <c r="F861">
        <f>IF(VLOOKUP(A861,'Delta Z Scores'!$A$1:$N$1541,14,FALSE)&gt;2,VLOOKUP(A861,'Delta Z Scores'!$A$1:$N$1541,13,FALSE)/VLOOKUP(A861,'Delta Z Scores'!$A$1:$N$1541,14,FALSE),"Not Enough Data")</f>
        <v>-1.6767191173568834E-2</v>
      </c>
      <c r="G861">
        <f>IF(VLOOKUP(A861,'Forecast Z Scores'!$A$1:$N$1541,14,FALSE)&gt;2,VLOOKUP(A861,'Forecast Z Scores'!$A$1:$N$1541,13,FALSE)/VLOOKUP(A861,'Forecast Z Scores'!$A$1:$N$1541,14,FALSE),"Not Enough Data")</f>
        <v>-0.49349558298489271</v>
      </c>
      <c r="H861">
        <v>5.3548448204384091E-2</v>
      </c>
    </row>
    <row r="862" spans="1:8" x14ac:dyDescent="0.35">
      <c r="A862" t="str">
        <f t="shared" si="13"/>
        <v>18097360401_2024</v>
      </c>
      <c r="B862">
        <v>18097360401</v>
      </c>
      <c r="C862">
        <v>2024</v>
      </c>
      <c r="E862">
        <f>-(IF(VLOOKUP(B862,'2023 Z Scores'!$A$1:$K$309,11,FALSE)&gt;2,VLOOKUP(B862,'2023 Z Scores'!$A$1:$K$309,10,FALSE)/VLOOKUP(B862,'2023 Z Scores'!$A$1:$K$309,11,FALSE),"Not Enough data"))</f>
        <v>0.30508547278333814</v>
      </c>
      <c r="F862">
        <f>IF(VLOOKUP(A862,'Delta Z Scores'!$A$1:$N$1541,14,FALSE)&gt;2,VLOOKUP(A862,'Delta Z Scores'!$A$1:$N$1541,13,FALSE)/VLOOKUP(A862,'Delta Z Scores'!$A$1:$N$1541,14,FALSE),"Not Enough Data")</f>
        <v>-4.1541386646061468E-2</v>
      </c>
      <c r="G862">
        <f>IF(VLOOKUP(A862,'Forecast Z Scores'!$A$1:$N$1541,14,FALSE)&gt;2,VLOOKUP(A862,'Forecast Z Scores'!$A$1:$N$1541,13,FALSE)/VLOOKUP(A862,'Forecast Z Scores'!$A$1:$N$1541,14,FALSE),"Not Enough Data")</f>
        <v>-0.15554422670056284</v>
      </c>
      <c r="H862">
        <v>1.6614618197663092E-2</v>
      </c>
    </row>
    <row r="863" spans="1:8" x14ac:dyDescent="0.35">
      <c r="A863" t="str">
        <f t="shared" si="13"/>
        <v>18097360401_2025</v>
      </c>
      <c r="B863">
        <v>18097360401</v>
      </c>
      <c r="C863">
        <v>2025</v>
      </c>
      <c r="E863">
        <f>-(IF(VLOOKUP(B863,'2023 Z Scores'!$A$1:$K$309,11,FALSE)&gt;2,VLOOKUP(B863,'2023 Z Scores'!$A$1:$K$309,10,FALSE)/VLOOKUP(B863,'2023 Z Scores'!$A$1:$K$309,11,FALSE),"Not Enough data"))</f>
        <v>0.30508547278333814</v>
      </c>
      <c r="F863">
        <f>IF(VLOOKUP(A863,'Delta Z Scores'!$A$1:$N$1541,14,FALSE)&gt;2,VLOOKUP(A863,'Delta Z Scores'!$A$1:$N$1541,13,FALSE)/VLOOKUP(A863,'Delta Z Scores'!$A$1:$N$1541,14,FALSE),"Not Enough Data")</f>
        <v>-0.31280561810129193</v>
      </c>
      <c r="G863">
        <f>IF(VLOOKUP(A863,'Forecast Z Scores'!$A$1:$N$1541,14,FALSE)&gt;2,VLOOKUP(A863,'Forecast Z Scores'!$A$1:$N$1541,13,FALSE)/VLOOKUP(A863,'Forecast Z Scores'!$A$1:$N$1541,14,FALSE),"Not Enough Data")</f>
        <v>-0.17089495998868043</v>
      </c>
      <c r="H863">
        <v>-0.12285518085198154</v>
      </c>
    </row>
    <row r="864" spans="1:8" x14ac:dyDescent="0.35">
      <c r="A864" t="str">
        <f t="shared" si="13"/>
        <v>18097360401_2026</v>
      </c>
      <c r="B864">
        <v>18097360401</v>
      </c>
      <c r="C864">
        <v>2026</v>
      </c>
      <c r="E864">
        <f>-(IF(VLOOKUP(B864,'2023 Z Scores'!$A$1:$K$309,11,FALSE)&gt;2,VLOOKUP(B864,'2023 Z Scores'!$A$1:$K$309,10,FALSE)/VLOOKUP(B864,'2023 Z Scores'!$A$1:$K$309,11,FALSE),"Not Enough data"))</f>
        <v>0.30508547278333814</v>
      </c>
      <c r="F864">
        <f>IF(VLOOKUP(A864,'Delta Z Scores'!$A$1:$N$1541,14,FALSE)&gt;2,VLOOKUP(A864,'Delta Z Scores'!$A$1:$N$1541,13,FALSE)/VLOOKUP(A864,'Delta Z Scores'!$A$1:$N$1541,14,FALSE),"Not Enough Data")</f>
        <v>-0.36061636789023116</v>
      </c>
      <c r="G864">
        <f>IF(VLOOKUP(A864,'Forecast Z Scores'!$A$1:$N$1541,14,FALSE)&gt;2,VLOOKUP(A864,'Forecast Z Scores'!$A$1:$N$1541,13,FALSE)/VLOOKUP(A864,'Forecast Z Scores'!$A$1:$N$1541,14,FALSE),"Not Enough Data")</f>
        <v>-0.19438349444366543</v>
      </c>
      <c r="H864">
        <v>-0.15263268936019742</v>
      </c>
    </row>
    <row r="865" spans="1:8" x14ac:dyDescent="0.35">
      <c r="A865" t="str">
        <f t="shared" si="13"/>
        <v>18097360401_2027</v>
      </c>
      <c r="B865">
        <v>18097360401</v>
      </c>
      <c r="C865">
        <v>2027</v>
      </c>
      <c r="E865">
        <f>-(IF(VLOOKUP(B865,'2023 Z Scores'!$A$1:$K$309,11,FALSE)&gt;2,VLOOKUP(B865,'2023 Z Scores'!$A$1:$K$309,10,FALSE)/VLOOKUP(B865,'2023 Z Scores'!$A$1:$K$309,11,FALSE),"Not Enough data"))</f>
        <v>0.30508547278333814</v>
      </c>
      <c r="F865">
        <f>IF(VLOOKUP(A865,'Delta Z Scores'!$A$1:$N$1541,14,FALSE)&gt;2,VLOOKUP(A865,'Delta Z Scores'!$A$1:$N$1541,13,FALSE)/VLOOKUP(A865,'Delta Z Scores'!$A$1:$N$1541,14,FALSE),"Not Enough Data")</f>
        <v>-0.33841836744802251</v>
      </c>
      <c r="G865">
        <f>IF(VLOOKUP(A865,'Forecast Z Scores'!$A$1:$N$1541,14,FALSE)&gt;2,VLOOKUP(A865,'Forecast Z Scores'!$A$1:$N$1541,13,FALSE)/VLOOKUP(A865,'Forecast Z Scores'!$A$1:$N$1541,14,FALSE),"Not Enough Data")</f>
        <v>-0.20205071513273853</v>
      </c>
      <c r="H865">
        <v>-0.14345049431136137</v>
      </c>
    </row>
    <row r="866" spans="1:8" x14ac:dyDescent="0.35">
      <c r="A866" t="str">
        <f t="shared" si="13"/>
        <v>18097360401_2028</v>
      </c>
      <c r="B866">
        <v>18097360401</v>
      </c>
      <c r="C866">
        <v>2028</v>
      </c>
      <c r="E866">
        <f>-(IF(VLOOKUP(B866,'2023 Z Scores'!$A$1:$K$309,11,FALSE)&gt;2,VLOOKUP(B866,'2023 Z Scores'!$A$1:$K$309,10,FALSE)/VLOOKUP(B866,'2023 Z Scores'!$A$1:$K$309,11,FALSE),"Not Enough data"))</f>
        <v>0.30508547278333814</v>
      </c>
      <c r="F866">
        <f>IF(VLOOKUP(A866,'Delta Z Scores'!$A$1:$N$1541,14,FALSE)&gt;2,VLOOKUP(A866,'Delta Z Scores'!$A$1:$N$1541,13,FALSE)/VLOOKUP(A866,'Delta Z Scores'!$A$1:$N$1541,14,FALSE),"Not Enough Data")</f>
        <v>-0.73904315467644321</v>
      </c>
      <c r="G866">
        <f>IF(VLOOKUP(A866,'Forecast Z Scores'!$A$1:$N$1541,14,FALSE)&gt;2,VLOOKUP(A866,'Forecast Z Scores'!$A$1:$N$1541,13,FALSE)/VLOOKUP(A866,'Forecast Z Scores'!$A$1:$N$1541,14,FALSE),"Not Enough Data")</f>
        <v>-0.23441745389821264</v>
      </c>
      <c r="H866">
        <v>-0.35185457261694025</v>
      </c>
    </row>
    <row r="867" spans="1:8" x14ac:dyDescent="0.35">
      <c r="A867" t="str">
        <f t="shared" si="13"/>
        <v>18097360402_2024</v>
      </c>
      <c r="B867">
        <v>18097360402</v>
      </c>
      <c r="C867">
        <v>2024</v>
      </c>
      <c r="E867">
        <f>-(IF(VLOOKUP(B867,'2023 Z Scores'!$A$1:$K$309,11,FALSE)&gt;2,VLOOKUP(B867,'2023 Z Scores'!$A$1:$K$309,10,FALSE)/VLOOKUP(B867,'2023 Z Scores'!$A$1:$K$309,11,FALSE),"Not Enough data"))</f>
        <v>0.15847173280279955</v>
      </c>
      <c r="F867">
        <f>IF(VLOOKUP(A867,'Delta Z Scores'!$A$1:$N$1541,14,FALSE)&gt;2,VLOOKUP(A867,'Delta Z Scores'!$A$1:$N$1541,13,FALSE)/VLOOKUP(A867,'Delta Z Scores'!$A$1:$N$1541,14,FALSE),"Not Enough Data")</f>
        <v>1.5220704035457961</v>
      </c>
      <c r="G867">
        <f>IF(VLOOKUP(A867,'Forecast Z Scores'!$A$1:$N$1541,14,FALSE)&gt;2,VLOOKUP(A867,'Forecast Z Scores'!$A$1:$N$1541,13,FALSE)/VLOOKUP(A867,'Forecast Z Scores'!$A$1:$N$1541,14,FALSE),"Not Enough Data")</f>
        <v>-0.19515889792282945</v>
      </c>
      <c r="H867">
        <v>0.75186341049289052</v>
      </c>
    </row>
    <row r="868" spans="1:8" x14ac:dyDescent="0.35">
      <c r="A868" t="str">
        <f t="shared" si="13"/>
        <v>18097360402_2025</v>
      </c>
      <c r="B868">
        <v>18097360402</v>
      </c>
      <c r="C868">
        <v>2025</v>
      </c>
      <c r="E868">
        <f>-(IF(VLOOKUP(B868,'2023 Z Scores'!$A$1:$K$309,11,FALSE)&gt;2,VLOOKUP(B868,'2023 Z Scores'!$A$1:$K$309,10,FALSE)/VLOOKUP(B868,'2023 Z Scores'!$A$1:$K$309,11,FALSE),"Not Enough data"))</f>
        <v>0.15847173280279955</v>
      </c>
      <c r="F868">
        <f>IF(VLOOKUP(A868,'Delta Z Scores'!$A$1:$N$1541,14,FALSE)&gt;2,VLOOKUP(A868,'Delta Z Scores'!$A$1:$N$1541,13,FALSE)/VLOOKUP(A868,'Delta Z Scores'!$A$1:$N$1541,14,FALSE),"Not Enough Data")</f>
        <v>1.6633543759468388E-2</v>
      </c>
      <c r="G868">
        <f>IF(VLOOKUP(A868,'Forecast Z Scores'!$A$1:$N$1541,14,FALSE)&gt;2,VLOOKUP(A868,'Forecast Z Scores'!$A$1:$N$1541,13,FALSE)/VLOOKUP(A868,'Forecast Z Scores'!$A$1:$N$1541,14,FALSE),"Not Enough Data")</f>
        <v>-0.19885525387836347</v>
      </c>
      <c r="H868">
        <v>-1.7791083891567847E-3</v>
      </c>
    </row>
    <row r="869" spans="1:8" x14ac:dyDescent="0.35">
      <c r="A869" t="str">
        <f t="shared" si="13"/>
        <v>18097360402_2026</v>
      </c>
      <c r="B869">
        <v>18097360402</v>
      </c>
      <c r="C869">
        <v>2026</v>
      </c>
      <c r="E869">
        <f>-(IF(VLOOKUP(B869,'2023 Z Scores'!$A$1:$K$309,11,FALSE)&gt;2,VLOOKUP(B869,'2023 Z Scores'!$A$1:$K$309,10,FALSE)/VLOOKUP(B869,'2023 Z Scores'!$A$1:$K$309,11,FALSE),"Not Enough data"))</f>
        <v>0.15847173280279955</v>
      </c>
      <c r="F869">
        <f>IF(VLOOKUP(A869,'Delta Z Scores'!$A$1:$N$1541,14,FALSE)&gt;2,VLOOKUP(A869,'Delta Z Scores'!$A$1:$N$1541,13,FALSE)/VLOOKUP(A869,'Delta Z Scores'!$A$1:$N$1541,14,FALSE),"Not Enough Data")</f>
        <v>-0.11392753056209408</v>
      </c>
      <c r="G869">
        <f>IF(VLOOKUP(A869,'Forecast Z Scores'!$A$1:$N$1541,14,FALSE)&gt;2,VLOOKUP(A869,'Forecast Z Scores'!$A$1:$N$1541,13,FALSE)/VLOOKUP(A869,'Forecast Z Scores'!$A$1:$N$1541,14,FALSE),"Not Enough Data")</f>
        <v>-0.21464882295169674</v>
      </c>
      <c r="H869">
        <v>-7.1008037818271336E-2</v>
      </c>
    </row>
    <row r="870" spans="1:8" x14ac:dyDescent="0.35">
      <c r="A870" t="str">
        <f t="shared" si="13"/>
        <v>18097360402_2027</v>
      </c>
      <c r="B870">
        <v>18097360402</v>
      </c>
      <c r="C870">
        <v>2027</v>
      </c>
      <c r="E870">
        <f>-(IF(VLOOKUP(B870,'2023 Z Scores'!$A$1:$K$309,11,FALSE)&gt;2,VLOOKUP(B870,'2023 Z Scores'!$A$1:$K$309,10,FALSE)/VLOOKUP(B870,'2023 Z Scores'!$A$1:$K$309,11,FALSE),"Not Enough data"))</f>
        <v>0.15847173280279955</v>
      </c>
      <c r="F870">
        <f>IF(VLOOKUP(A870,'Delta Z Scores'!$A$1:$N$1541,14,FALSE)&gt;2,VLOOKUP(A870,'Delta Z Scores'!$A$1:$N$1541,13,FALSE)/VLOOKUP(A870,'Delta Z Scores'!$A$1:$N$1541,14,FALSE),"Not Enough Data")</f>
        <v>-4.5912202972106146E-3</v>
      </c>
      <c r="G870">
        <f>IF(VLOOKUP(A870,'Forecast Z Scores'!$A$1:$N$1541,14,FALSE)&gt;2,VLOOKUP(A870,'Forecast Z Scores'!$A$1:$N$1541,13,FALSE)/VLOOKUP(A870,'Forecast Z Scores'!$A$1:$N$1541,14,FALSE),"Not Enough Data")</f>
        <v>-0.23153590278718406</v>
      </c>
      <c r="H870">
        <v>-2.0561652644701431E-2</v>
      </c>
    </row>
    <row r="871" spans="1:8" x14ac:dyDescent="0.35">
      <c r="A871" t="str">
        <f t="shared" si="13"/>
        <v>18097360402_2028</v>
      </c>
      <c r="B871">
        <v>18097360402</v>
      </c>
      <c r="C871">
        <v>2028</v>
      </c>
      <c r="E871">
        <f>-(IF(VLOOKUP(B871,'2023 Z Scores'!$A$1:$K$309,11,FALSE)&gt;2,VLOOKUP(B871,'2023 Z Scores'!$A$1:$K$309,10,FALSE)/VLOOKUP(B871,'2023 Z Scores'!$A$1:$K$309,11,FALSE),"Not Enough data"))</f>
        <v>0.15847173280279955</v>
      </c>
      <c r="F871">
        <f>IF(VLOOKUP(A871,'Delta Z Scores'!$A$1:$N$1541,14,FALSE)&gt;2,VLOOKUP(A871,'Delta Z Scores'!$A$1:$N$1541,13,FALSE)/VLOOKUP(A871,'Delta Z Scores'!$A$1:$N$1541,14,FALSE),"Not Enough Data")</f>
        <v>-3.9422189082077543E-2</v>
      </c>
      <c r="G871">
        <f>IF(VLOOKUP(A871,'Forecast Z Scores'!$A$1:$N$1541,14,FALSE)&gt;2,VLOOKUP(A871,'Forecast Z Scores'!$A$1:$N$1541,13,FALSE)/VLOOKUP(A871,'Forecast Z Scores'!$A$1:$N$1541,14,FALSE),"Not Enough Data")</f>
        <v>-0.23738608423556781</v>
      </c>
      <c r="H871">
        <v>-3.943968239923084E-2</v>
      </c>
    </row>
    <row r="872" spans="1:8" x14ac:dyDescent="0.35">
      <c r="A872" t="str">
        <f t="shared" si="13"/>
        <v>18097360405_2024</v>
      </c>
      <c r="B872">
        <v>18097360405</v>
      </c>
      <c r="C872">
        <v>2024</v>
      </c>
      <c r="E872">
        <f>-(IF(VLOOKUP(B872,'2023 Z Scores'!$A$1:$K$309,11,FALSE)&gt;2,VLOOKUP(B872,'2023 Z Scores'!$A$1:$K$309,10,FALSE)/VLOOKUP(B872,'2023 Z Scores'!$A$1:$K$309,11,FALSE),"Not Enough data"))</f>
        <v>-7.3280070058402827E-2</v>
      </c>
      <c r="F872">
        <f>IF(VLOOKUP(A872,'Delta Z Scores'!$A$1:$N$1541,14,FALSE)&gt;2,VLOOKUP(A872,'Delta Z Scores'!$A$1:$N$1541,13,FALSE)/VLOOKUP(A872,'Delta Z Scores'!$A$1:$N$1541,14,FALSE),"Not Enough Data")</f>
        <v>-0.2214553097565852</v>
      </c>
      <c r="G872">
        <f>IF(VLOOKUP(A872,'Forecast Z Scores'!$A$1:$N$1541,14,FALSE)&gt;2,VLOOKUP(A872,'Forecast Z Scores'!$A$1:$N$1541,13,FALSE)/VLOOKUP(A872,'Forecast Z Scores'!$A$1:$N$1541,14,FALSE),"Not Enough Data")</f>
        <v>-0.16795975342076289</v>
      </c>
      <c r="H872">
        <v>-0.17103761074808405</v>
      </c>
    </row>
    <row r="873" spans="1:8" x14ac:dyDescent="0.35">
      <c r="A873" t="str">
        <f t="shared" si="13"/>
        <v>18097360405_2025</v>
      </c>
      <c r="B873">
        <v>18097360405</v>
      </c>
      <c r="C873">
        <v>2025</v>
      </c>
      <c r="E873">
        <f>-(IF(VLOOKUP(B873,'2023 Z Scores'!$A$1:$K$309,11,FALSE)&gt;2,VLOOKUP(B873,'2023 Z Scores'!$A$1:$K$309,10,FALSE)/VLOOKUP(B873,'2023 Z Scores'!$A$1:$K$309,11,FALSE),"Not Enough data"))</f>
        <v>-7.3280070058402827E-2</v>
      </c>
      <c r="F873">
        <f>IF(VLOOKUP(A873,'Delta Z Scores'!$A$1:$N$1541,14,FALSE)&gt;2,VLOOKUP(A873,'Delta Z Scores'!$A$1:$N$1541,13,FALSE)/VLOOKUP(A873,'Delta Z Scores'!$A$1:$N$1541,14,FALSE),"Not Enough Data")</f>
        <v>-7.7327165730253208E-2</v>
      </c>
      <c r="G873">
        <f>IF(VLOOKUP(A873,'Forecast Z Scores'!$A$1:$N$1541,14,FALSE)&gt;2,VLOOKUP(A873,'Forecast Z Scores'!$A$1:$N$1541,13,FALSE)/VLOOKUP(A873,'Forecast Z Scores'!$A$1:$N$1541,14,FALSE),"Not Enough Data")</f>
        <v>-0.18324845259063283</v>
      </c>
      <c r="H873">
        <v>-0.10279571352738552</v>
      </c>
    </row>
    <row r="874" spans="1:8" x14ac:dyDescent="0.35">
      <c r="A874" t="str">
        <f t="shared" si="13"/>
        <v>18097360405_2026</v>
      </c>
      <c r="B874">
        <v>18097360405</v>
      </c>
      <c r="C874">
        <v>2026</v>
      </c>
      <c r="E874">
        <f>-(IF(VLOOKUP(B874,'2023 Z Scores'!$A$1:$K$309,11,FALSE)&gt;2,VLOOKUP(B874,'2023 Z Scores'!$A$1:$K$309,10,FALSE)/VLOOKUP(B874,'2023 Z Scores'!$A$1:$K$309,11,FALSE),"Not Enough data"))</f>
        <v>-7.3280070058402827E-2</v>
      </c>
      <c r="F874">
        <f>IF(VLOOKUP(A874,'Delta Z Scores'!$A$1:$N$1541,14,FALSE)&gt;2,VLOOKUP(A874,'Delta Z Scores'!$A$1:$N$1541,13,FALSE)/VLOOKUP(A874,'Delta Z Scores'!$A$1:$N$1541,14,FALSE),"Not Enough Data")</f>
        <v>2.4640721516884668E-2</v>
      </c>
      <c r="G874">
        <f>IF(VLOOKUP(A874,'Forecast Z Scores'!$A$1:$N$1541,14,FALSE)&gt;2,VLOOKUP(A874,'Forecast Z Scores'!$A$1:$N$1541,13,FALSE)/VLOOKUP(A874,'Forecast Z Scores'!$A$1:$N$1541,14,FALSE),"Not Enough Data")</f>
        <v>-0.18535219340743198</v>
      </c>
      <c r="H874">
        <v>-5.2337705108016372E-2</v>
      </c>
    </row>
    <row r="875" spans="1:8" x14ac:dyDescent="0.35">
      <c r="A875" t="str">
        <f t="shared" si="13"/>
        <v>18097360405_2027</v>
      </c>
      <c r="B875">
        <v>18097360405</v>
      </c>
      <c r="C875">
        <v>2027</v>
      </c>
      <c r="E875">
        <f>-(IF(VLOOKUP(B875,'2023 Z Scores'!$A$1:$K$309,11,FALSE)&gt;2,VLOOKUP(B875,'2023 Z Scores'!$A$1:$K$309,10,FALSE)/VLOOKUP(B875,'2023 Z Scores'!$A$1:$K$309,11,FALSE),"Not Enough data"))</f>
        <v>-7.3280070058402827E-2</v>
      </c>
      <c r="F875">
        <f>IF(VLOOKUP(A875,'Delta Z Scores'!$A$1:$N$1541,14,FALSE)&gt;2,VLOOKUP(A875,'Delta Z Scores'!$A$1:$N$1541,13,FALSE)/VLOOKUP(A875,'Delta Z Scores'!$A$1:$N$1541,14,FALSE),"Not Enough Data")</f>
        <v>9.9052964730172624E-2</v>
      </c>
      <c r="G875">
        <f>IF(VLOOKUP(A875,'Forecast Z Scores'!$A$1:$N$1541,14,FALSE)&gt;2,VLOOKUP(A875,'Forecast Z Scores'!$A$1:$N$1541,13,FALSE)/VLOOKUP(A875,'Forecast Z Scores'!$A$1:$N$1541,14,FALSE),"Not Enough Data")</f>
        <v>-0.18233467663422762</v>
      </c>
      <c r="H875">
        <v>-1.4377204308071299E-2</v>
      </c>
    </row>
    <row r="876" spans="1:8" x14ac:dyDescent="0.35">
      <c r="A876" t="str">
        <f t="shared" si="13"/>
        <v>18097360405_2028</v>
      </c>
      <c r="B876">
        <v>18097360405</v>
      </c>
      <c r="C876">
        <v>2028</v>
      </c>
      <c r="E876">
        <f>-(IF(VLOOKUP(B876,'2023 Z Scores'!$A$1:$K$309,11,FALSE)&gt;2,VLOOKUP(B876,'2023 Z Scores'!$A$1:$K$309,10,FALSE)/VLOOKUP(B876,'2023 Z Scores'!$A$1:$K$309,11,FALSE),"Not Enough data"))</f>
        <v>-7.3280070058402827E-2</v>
      </c>
      <c r="F876">
        <f>IF(VLOOKUP(A876,'Delta Z Scores'!$A$1:$N$1541,14,FALSE)&gt;2,VLOOKUP(A876,'Delta Z Scores'!$A$1:$N$1541,13,FALSE)/VLOOKUP(A876,'Delta Z Scores'!$A$1:$N$1541,14,FALSE),"Not Enough Data")</f>
        <v>1.0074869263607646E-2</v>
      </c>
      <c r="G876">
        <f>IF(VLOOKUP(A876,'Forecast Z Scores'!$A$1:$N$1541,14,FALSE)&gt;2,VLOOKUP(A876,'Forecast Z Scores'!$A$1:$N$1541,13,FALSE)/VLOOKUP(A876,'Forecast Z Scores'!$A$1:$N$1541,14,FALSE),"Not Enough Data")</f>
        <v>-0.20126412919973319</v>
      </c>
      <c r="H876">
        <v>-6.3598615182730175E-2</v>
      </c>
    </row>
    <row r="877" spans="1:8" x14ac:dyDescent="0.35">
      <c r="A877" t="str">
        <f t="shared" si="13"/>
        <v>18097360406_2024</v>
      </c>
      <c r="B877">
        <v>18097360406</v>
      </c>
      <c r="C877">
        <v>2024</v>
      </c>
      <c r="E877">
        <f>-(IF(VLOOKUP(B877,'2023 Z Scores'!$A$1:$K$309,11,FALSE)&gt;2,VLOOKUP(B877,'2023 Z Scores'!$A$1:$K$309,10,FALSE)/VLOOKUP(B877,'2023 Z Scores'!$A$1:$K$309,11,FALSE),"Not Enough data"))</f>
        <v>0.52795674622189437</v>
      </c>
      <c r="F877">
        <f>IF(VLOOKUP(A877,'Delta Z Scores'!$A$1:$N$1541,14,FALSE)&gt;2,VLOOKUP(A877,'Delta Z Scores'!$A$1:$N$1541,13,FALSE)/VLOOKUP(A877,'Delta Z Scores'!$A$1:$N$1541,14,FALSE),"Not Enough Data")</f>
        <v>0.33317593204144413</v>
      </c>
      <c r="G877">
        <f>IF(VLOOKUP(A877,'Forecast Z Scores'!$A$1:$N$1541,14,FALSE)&gt;2,VLOOKUP(A877,'Forecast Z Scores'!$A$1:$N$1541,13,FALSE)/VLOOKUP(A877,'Forecast Z Scores'!$A$1:$N$1541,14,FALSE),"Not Enough Data")</f>
        <v>0.16572988709615993</v>
      </c>
      <c r="H877">
        <v>0.34000962435023563</v>
      </c>
    </row>
    <row r="878" spans="1:8" x14ac:dyDescent="0.35">
      <c r="A878" t="str">
        <f t="shared" si="13"/>
        <v>18097360406_2025</v>
      </c>
      <c r="B878">
        <v>18097360406</v>
      </c>
      <c r="C878">
        <v>2025</v>
      </c>
      <c r="E878">
        <f>-(IF(VLOOKUP(B878,'2023 Z Scores'!$A$1:$K$309,11,FALSE)&gt;2,VLOOKUP(B878,'2023 Z Scores'!$A$1:$K$309,10,FALSE)/VLOOKUP(B878,'2023 Z Scores'!$A$1:$K$309,11,FALSE),"Not Enough data"))</f>
        <v>0.52795674622189437</v>
      </c>
      <c r="F878">
        <f>IF(VLOOKUP(A878,'Delta Z Scores'!$A$1:$N$1541,14,FALSE)&gt;2,VLOOKUP(A878,'Delta Z Scores'!$A$1:$N$1541,13,FALSE)/VLOOKUP(A878,'Delta Z Scores'!$A$1:$N$1541,14,FALSE),"Not Enough Data")</f>
        <v>-6.7233739558712757E-3</v>
      </c>
      <c r="G878">
        <f>IF(VLOOKUP(A878,'Forecast Z Scores'!$A$1:$N$1541,14,FALSE)&gt;2,VLOOKUP(A878,'Forecast Z Scores'!$A$1:$N$1541,13,FALSE)/VLOOKUP(A878,'Forecast Z Scores'!$A$1:$N$1541,14,FALSE),"Not Enough Data")</f>
        <v>0.10753211102124113</v>
      </c>
      <c r="H878">
        <v>0.15551052733284823</v>
      </c>
    </row>
    <row r="879" spans="1:8" x14ac:dyDescent="0.35">
      <c r="A879" t="str">
        <f t="shared" si="13"/>
        <v>18097360406_2026</v>
      </c>
      <c r="B879">
        <v>18097360406</v>
      </c>
      <c r="C879">
        <v>2026</v>
      </c>
      <c r="E879">
        <f>-(IF(VLOOKUP(B879,'2023 Z Scores'!$A$1:$K$309,11,FALSE)&gt;2,VLOOKUP(B879,'2023 Z Scores'!$A$1:$K$309,10,FALSE)/VLOOKUP(B879,'2023 Z Scores'!$A$1:$K$309,11,FALSE),"Not Enough data"))</f>
        <v>0.52795674622189437</v>
      </c>
      <c r="F879">
        <f>IF(VLOOKUP(A879,'Delta Z Scores'!$A$1:$N$1541,14,FALSE)&gt;2,VLOOKUP(A879,'Delta Z Scores'!$A$1:$N$1541,13,FALSE)/VLOOKUP(A879,'Delta Z Scores'!$A$1:$N$1541,14,FALSE),"Not Enough Data")</f>
        <v>6.0201668360976429E-2</v>
      </c>
      <c r="G879">
        <f>IF(VLOOKUP(A879,'Forecast Z Scores'!$A$1:$N$1541,14,FALSE)&gt;2,VLOOKUP(A879,'Forecast Z Scores'!$A$1:$N$1541,13,FALSE)/VLOOKUP(A879,'Forecast Z Scores'!$A$1:$N$1541,14,FALSE),"Not Enough Data")</f>
        <v>0.10445079005316535</v>
      </c>
      <c r="H879">
        <v>0.18820271824925314</v>
      </c>
    </row>
    <row r="880" spans="1:8" x14ac:dyDescent="0.35">
      <c r="A880" t="str">
        <f t="shared" si="13"/>
        <v>18097360406_2027</v>
      </c>
      <c r="B880">
        <v>18097360406</v>
      </c>
      <c r="C880">
        <v>2027</v>
      </c>
      <c r="E880">
        <f>-(IF(VLOOKUP(B880,'2023 Z Scores'!$A$1:$K$309,11,FALSE)&gt;2,VLOOKUP(B880,'2023 Z Scores'!$A$1:$K$309,10,FALSE)/VLOOKUP(B880,'2023 Z Scores'!$A$1:$K$309,11,FALSE),"Not Enough data"))</f>
        <v>0.52795674622189437</v>
      </c>
      <c r="F880">
        <f>IF(VLOOKUP(A880,'Delta Z Scores'!$A$1:$N$1541,14,FALSE)&gt;2,VLOOKUP(A880,'Delta Z Scores'!$A$1:$N$1541,13,FALSE)/VLOOKUP(A880,'Delta Z Scores'!$A$1:$N$1541,14,FALSE),"Not Enough Data")</f>
        <v>-7.5644647680248631E-2</v>
      </c>
      <c r="G880">
        <f>IF(VLOOKUP(A880,'Forecast Z Scores'!$A$1:$N$1541,14,FALSE)&gt;2,VLOOKUP(A880,'Forecast Z Scores'!$A$1:$N$1541,13,FALSE)/VLOOKUP(A880,'Forecast Z Scores'!$A$1:$N$1541,14,FALSE),"Not Enough Data")</f>
        <v>3.2065660857635722E-2</v>
      </c>
      <c r="H880">
        <v>0.1021832779297582</v>
      </c>
    </row>
    <row r="881" spans="1:8" x14ac:dyDescent="0.35">
      <c r="A881" t="str">
        <f t="shared" si="13"/>
        <v>18097360406_2028</v>
      </c>
      <c r="B881">
        <v>18097360406</v>
      </c>
      <c r="C881">
        <v>2028</v>
      </c>
      <c r="E881">
        <f>-(IF(VLOOKUP(B881,'2023 Z Scores'!$A$1:$K$309,11,FALSE)&gt;2,VLOOKUP(B881,'2023 Z Scores'!$A$1:$K$309,10,FALSE)/VLOOKUP(B881,'2023 Z Scores'!$A$1:$K$309,11,FALSE),"Not Enough data"))</f>
        <v>0.52795674622189437</v>
      </c>
      <c r="F881">
        <f>IF(VLOOKUP(A881,'Delta Z Scores'!$A$1:$N$1541,14,FALSE)&gt;2,VLOOKUP(A881,'Delta Z Scores'!$A$1:$N$1541,13,FALSE)/VLOOKUP(A881,'Delta Z Scores'!$A$1:$N$1541,14,FALSE),"Not Enough Data")</f>
        <v>0.18336054403015217</v>
      </c>
      <c r="G881">
        <f>IF(VLOOKUP(A881,'Forecast Z Scores'!$A$1:$N$1541,14,FALSE)&gt;2,VLOOKUP(A881,'Forecast Z Scores'!$A$1:$N$1541,13,FALSE)/VLOOKUP(A881,'Forecast Z Scores'!$A$1:$N$1541,14,FALSE),"Not Enough Data")</f>
        <v>3.3344522167515808E-2</v>
      </c>
      <c r="H881">
        <v>0.23200558911242863</v>
      </c>
    </row>
    <row r="882" spans="1:8" x14ac:dyDescent="0.35">
      <c r="A882" t="str">
        <f t="shared" si="13"/>
        <v>18097360407_2024</v>
      </c>
      <c r="B882">
        <v>18097360407</v>
      </c>
      <c r="C882">
        <v>2024</v>
      </c>
      <c r="E882">
        <f>-(IF(VLOOKUP(B882,'2023 Z Scores'!$A$1:$K$309,11,FALSE)&gt;2,VLOOKUP(B882,'2023 Z Scores'!$A$1:$K$309,10,FALSE)/VLOOKUP(B882,'2023 Z Scores'!$A$1:$K$309,11,FALSE),"Not Enough data"))</f>
        <v>0.14376124201522655</v>
      </c>
      <c r="F882">
        <f>IF(VLOOKUP(A882,'Delta Z Scores'!$A$1:$N$1541,14,FALSE)&gt;2,VLOOKUP(A882,'Delta Z Scores'!$A$1:$N$1541,13,FALSE)/VLOOKUP(A882,'Delta Z Scores'!$A$1:$N$1541,14,FALSE),"Not Enough Data")</f>
        <v>0.18157762017378004</v>
      </c>
      <c r="G882">
        <f>IF(VLOOKUP(A882,'Forecast Z Scores'!$A$1:$N$1541,14,FALSE)&gt;2,VLOOKUP(A882,'Forecast Z Scores'!$A$1:$N$1541,13,FALSE)/VLOOKUP(A882,'Forecast Z Scores'!$A$1:$N$1541,14,FALSE),"Not Enough Data")</f>
        <v>-0.40991968613093083</v>
      </c>
      <c r="H882">
        <v>2.4249199057963952E-2</v>
      </c>
    </row>
    <row r="883" spans="1:8" x14ac:dyDescent="0.35">
      <c r="A883" t="str">
        <f t="shared" si="13"/>
        <v>18097360407_2025</v>
      </c>
      <c r="B883">
        <v>18097360407</v>
      </c>
      <c r="C883">
        <v>2025</v>
      </c>
      <c r="E883">
        <f>-(IF(VLOOKUP(B883,'2023 Z Scores'!$A$1:$K$309,11,FALSE)&gt;2,VLOOKUP(B883,'2023 Z Scores'!$A$1:$K$309,10,FALSE)/VLOOKUP(B883,'2023 Z Scores'!$A$1:$K$309,11,FALSE),"Not Enough data"))</f>
        <v>0.14376124201522655</v>
      </c>
      <c r="F883">
        <f>IF(VLOOKUP(A883,'Delta Z Scores'!$A$1:$N$1541,14,FALSE)&gt;2,VLOOKUP(A883,'Delta Z Scores'!$A$1:$N$1541,13,FALSE)/VLOOKUP(A883,'Delta Z Scores'!$A$1:$N$1541,14,FALSE),"Not Enough Data")</f>
        <v>0.24679410044752695</v>
      </c>
      <c r="G883">
        <f>IF(VLOOKUP(A883,'Forecast Z Scores'!$A$1:$N$1541,14,FALSE)&gt;2,VLOOKUP(A883,'Forecast Z Scores'!$A$1:$N$1541,13,FALSE)/VLOOKUP(A883,'Forecast Z Scores'!$A$1:$N$1541,14,FALSE),"Not Enough Data")</f>
        <v>-0.40299860590962844</v>
      </c>
      <c r="H883">
        <v>5.8587709250163003E-2</v>
      </c>
    </row>
    <row r="884" spans="1:8" x14ac:dyDescent="0.35">
      <c r="A884" t="str">
        <f t="shared" si="13"/>
        <v>18097360407_2026</v>
      </c>
      <c r="B884">
        <v>18097360407</v>
      </c>
      <c r="C884">
        <v>2026</v>
      </c>
      <c r="E884">
        <f>-(IF(VLOOKUP(B884,'2023 Z Scores'!$A$1:$K$309,11,FALSE)&gt;2,VLOOKUP(B884,'2023 Z Scores'!$A$1:$K$309,10,FALSE)/VLOOKUP(B884,'2023 Z Scores'!$A$1:$K$309,11,FALSE),"Not Enough data"))</f>
        <v>0.14376124201522655</v>
      </c>
      <c r="F884">
        <f>IF(VLOOKUP(A884,'Delta Z Scores'!$A$1:$N$1541,14,FALSE)&gt;2,VLOOKUP(A884,'Delta Z Scores'!$A$1:$N$1541,13,FALSE)/VLOOKUP(A884,'Delta Z Scores'!$A$1:$N$1541,14,FALSE),"Not Enough Data")</f>
        <v>5.8744750802834048E-2</v>
      </c>
      <c r="G884">
        <f>IF(VLOOKUP(A884,'Forecast Z Scores'!$A$1:$N$1541,14,FALSE)&gt;2,VLOOKUP(A884,'Forecast Z Scores'!$A$1:$N$1541,13,FALSE)/VLOOKUP(A884,'Forecast Z Scores'!$A$1:$N$1541,14,FALSE),"Not Enough Data")</f>
        <v>-0.418124288399286</v>
      </c>
      <c r="H884">
        <v>-3.9218386194597832E-2</v>
      </c>
    </row>
    <row r="885" spans="1:8" x14ac:dyDescent="0.35">
      <c r="A885" t="str">
        <f t="shared" si="13"/>
        <v>18097360407_2027</v>
      </c>
      <c r="B885">
        <v>18097360407</v>
      </c>
      <c r="C885">
        <v>2027</v>
      </c>
      <c r="E885">
        <f>-(IF(VLOOKUP(B885,'2023 Z Scores'!$A$1:$K$309,11,FALSE)&gt;2,VLOOKUP(B885,'2023 Z Scores'!$A$1:$K$309,10,FALSE)/VLOOKUP(B885,'2023 Z Scores'!$A$1:$K$309,11,FALSE),"Not Enough data"))</f>
        <v>0.14376124201522655</v>
      </c>
      <c r="F885">
        <f>IF(VLOOKUP(A885,'Delta Z Scores'!$A$1:$N$1541,14,FALSE)&gt;2,VLOOKUP(A885,'Delta Z Scores'!$A$1:$N$1541,13,FALSE)/VLOOKUP(A885,'Delta Z Scores'!$A$1:$N$1541,14,FALSE),"Not Enough Data")</f>
        <v>0.23904348223402991</v>
      </c>
      <c r="G885">
        <f>IF(VLOOKUP(A885,'Forecast Z Scores'!$A$1:$N$1541,14,FALSE)&gt;2,VLOOKUP(A885,'Forecast Z Scores'!$A$1:$N$1541,13,FALSE)/VLOOKUP(A885,'Forecast Z Scores'!$A$1:$N$1541,14,FALSE),"Not Enough Data")</f>
        <v>-0.41993873285360567</v>
      </c>
      <c r="H885">
        <v>5.0477368407420176E-2</v>
      </c>
    </row>
    <row r="886" spans="1:8" x14ac:dyDescent="0.35">
      <c r="A886" t="str">
        <f t="shared" si="13"/>
        <v>18097360407_2028</v>
      </c>
      <c r="B886">
        <v>18097360407</v>
      </c>
      <c r="C886">
        <v>2028</v>
      </c>
      <c r="E886">
        <f>-(IF(VLOOKUP(B886,'2023 Z Scores'!$A$1:$K$309,11,FALSE)&gt;2,VLOOKUP(B886,'2023 Z Scores'!$A$1:$K$309,10,FALSE)/VLOOKUP(B886,'2023 Z Scores'!$A$1:$K$309,11,FALSE),"Not Enough data"))</f>
        <v>0.14376124201522655</v>
      </c>
      <c r="F886">
        <f>IF(VLOOKUP(A886,'Delta Z Scores'!$A$1:$N$1541,14,FALSE)&gt;2,VLOOKUP(A886,'Delta Z Scores'!$A$1:$N$1541,13,FALSE)/VLOOKUP(A886,'Delta Z Scores'!$A$1:$N$1541,14,FALSE),"Not Enough Data")</f>
        <v>0.11182273703471124</v>
      </c>
      <c r="G886">
        <f>IF(VLOOKUP(A886,'Forecast Z Scores'!$A$1:$N$1541,14,FALSE)&gt;2,VLOOKUP(A886,'Forecast Z Scores'!$A$1:$N$1541,13,FALSE)/VLOOKUP(A886,'Forecast Z Scores'!$A$1:$N$1541,14,FALSE),"Not Enough Data")</f>
        <v>-0.42733217916801275</v>
      </c>
      <c r="H886">
        <v>-1.4981365770840929E-2</v>
      </c>
    </row>
    <row r="887" spans="1:8" x14ac:dyDescent="0.35">
      <c r="A887" t="str">
        <f t="shared" si="13"/>
        <v>18097360501_2024</v>
      </c>
      <c r="B887">
        <v>18097360501</v>
      </c>
      <c r="C887">
        <v>2024</v>
      </c>
      <c r="E887">
        <f>-(IF(VLOOKUP(B887,'2023 Z Scores'!$A$1:$K$309,11,FALSE)&gt;2,VLOOKUP(B887,'2023 Z Scores'!$A$1:$K$309,10,FALSE)/VLOOKUP(B887,'2023 Z Scores'!$A$1:$K$309,11,FALSE),"Not Enough data"))</f>
        <v>-9.4464954352987268E-2</v>
      </c>
      <c r="F887">
        <f>IF(VLOOKUP(A887,'Delta Z Scores'!$A$1:$N$1541,14,FALSE)&gt;2,VLOOKUP(A887,'Delta Z Scores'!$A$1:$N$1541,13,FALSE)/VLOOKUP(A887,'Delta Z Scores'!$A$1:$N$1541,14,FALSE),"Not Enough Data")</f>
        <v>0.13900131846103736</v>
      </c>
      <c r="G887">
        <f>IF(VLOOKUP(A887,'Forecast Z Scores'!$A$1:$N$1541,14,FALSE)&gt;2,VLOOKUP(A887,'Forecast Z Scores'!$A$1:$N$1541,13,FALSE)/VLOOKUP(A887,'Forecast Z Scores'!$A$1:$N$1541,14,FALSE),"Not Enough Data")</f>
        <v>5.6175629546564576E-2</v>
      </c>
      <c r="H887">
        <v>5.9928328028913007E-2</v>
      </c>
    </row>
    <row r="888" spans="1:8" x14ac:dyDescent="0.35">
      <c r="A888" t="str">
        <f t="shared" si="13"/>
        <v>18097360501_2025</v>
      </c>
      <c r="B888">
        <v>18097360501</v>
      </c>
      <c r="C888">
        <v>2025</v>
      </c>
      <c r="E888">
        <f>-(IF(VLOOKUP(B888,'2023 Z Scores'!$A$1:$K$309,11,FALSE)&gt;2,VLOOKUP(B888,'2023 Z Scores'!$A$1:$K$309,10,FALSE)/VLOOKUP(B888,'2023 Z Scores'!$A$1:$K$309,11,FALSE),"Not Enough data"))</f>
        <v>-9.4464954352987268E-2</v>
      </c>
      <c r="F888">
        <f>IF(VLOOKUP(A888,'Delta Z Scores'!$A$1:$N$1541,14,FALSE)&gt;2,VLOOKUP(A888,'Delta Z Scores'!$A$1:$N$1541,13,FALSE)/VLOOKUP(A888,'Delta Z Scores'!$A$1:$N$1541,14,FALSE),"Not Enough Data")</f>
        <v>-4.0531454436698866E-2</v>
      </c>
      <c r="G888">
        <f>IF(VLOOKUP(A888,'Forecast Z Scores'!$A$1:$N$1541,14,FALSE)&gt;2,VLOOKUP(A888,'Forecast Z Scores'!$A$1:$N$1541,13,FALSE)/VLOOKUP(A888,'Forecast Z Scores'!$A$1:$N$1541,14,FALSE),"Not Enough Data")</f>
        <v>2.9825864179735644E-2</v>
      </c>
      <c r="H888">
        <v>-3.6425499761662337E-2</v>
      </c>
    </row>
    <row r="889" spans="1:8" x14ac:dyDescent="0.35">
      <c r="A889" t="str">
        <f t="shared" si="13"/>
        <v>18097360501_2026</v>
      </c>
      <c r="B889">
        <v>18097360501</v>
      </c>
      <c r="C889">
        <v>2026</v>
      </c>
      <c r="E889">
        <f>-(IF(VLOOKUP(B889,'2023 Z Scores'!$A$1:$K$309,11,FALSE)&gt;2,VLOOKUP(B889,'2023 Z Scores'!$A$1:$K$309,10,FALSE)/VLOOKUP(B889,'2023 Z Scores'!$A$1:$K$309,11,FALSE),"Not Enough data"))</f>
        <v>-9.4464954352987268E-2</v>
      </c>
      <c r="F889">
        <f>IF(VLOOKUP(A889,'Delta Z Scores'!$A$1:$N$1541,14,FALSE)&gt;2,VLOOKUP(A889,'Delta Z Scores'!$A$1:$N$1541,13,FALSE)/VLOOKUP(A889,'Delta Z Scores'!$A$1:$N$1541,14,FALSE),"Not Enough Data")</f>
        <v>0.27630108480879129</v>
      </c>
      <c r="G889">
        <f>IF(VLOOKUP(A889,'Forecast Z Scores'!$A$1:$N$1541,14,FALSE)&gt;2,VLOOKUP(A889,'Forecast Z Scores'!$A$1:$N$1541,13,FALSE)/VLOOKUP(A889,'Forecast Z Scores'!$A$1:$N$1541,14,FALSE),"Not Enough Data")</f>
        <v>2.4064324943542353E-2</v>
      </c>
      <c r="H889">
        <v>0.12055038505203441</v>
      </c>
    </row>
    <row r="890" spans="1:8" x14ac:dyDescent="0.35">
      <c r="A890" t="str">
        <f t="shared" si="13"/>
        <v>18097360501_2027</v>
      </c>
      <c r="B890">
        <v>18097360501</v>
      </c>
      <c r="C890">
        <v>2027</v>
      </c>
      <c r="E890">
        <f>-(IF(VLOOKUP(B890,'2023 Z Scores'!$A$1:$K$309,11,FALSE)&gt;2,VLOOKUP(B890,'2023 Z Scores'!$A$1:$K$309,10,FALSE)/VLOOKUP(B890,'2023 Z Scores'!$A$1:$K$309,11,FALSE),"Not Enough data"))</f>
        <v>-9.4464954352987268E-2</v>
      </c>
      <c r="F890">
        <f>IF(VLOOKUP(A890,'Delta Z Scores'!$A$1:$N$1541,14,FALSE)&gt;2,VLOOKUP(A890,'Delta Z Scores'!$A$1:$N$1541,13,FALSE)/VLOOKUP(A890,'Delta Z Scores'!$A$1:$N$1541,14,FALSE),"Not Enough Data")</f>
        <v>0.33661898363028653</v>
      </c>
      <c r="G890">
        <f>IF(VLOOKUP(A890,'Forecast Z Scores'!$A$1:$N$1541,14,FALSE)&gt;2,VLOOKUP(A890,'Forecast Z Scores'!$A$1:$N$1541,13,FALSE)/VLOOKUP(A890,'Forecast Z Scores'!$A$1:$N$1541,14,FALSE),"Not Enough Data")</f>
        <v>2.0985331238474618E-2</v>
      </c>
      <c r="H890">
        <v>0.14993958603651508</v>
      </c>
    </row>
    <row r="891" spans="1:8" x14ac:dyDescent="0.35">
      <c r="A891" t="str">
        <f t="shared" si="13"/>
        <v>18097360501_2028</v>
      </c>
      <c r="B891">
        <v>18097360501</v>
      </c>
      <c r="C891">
        <v>2028</v>
      </c>
      <c r="E891">
        <f>-(IF(VLOOKUP(B891,'2023 Z Scores'!$A$1:$K$309,11,FALSE)&gt;2,VLOOKUP(B891,'2023 Z Scores'!$A$1:$K$309,10,FALSE)/VLOOKUP(B891,'2023 Z Scores'!$A$1:$K$309,11,FALSE),"Not Enough data"))</f>
        <v>-9.4464954352987268E-2</v>
      </c>
      <c r="F891">
        <f>IF(VLOOKUP(A891,'Delta Z Scores'!$A$1:$N$1541,14,FALSE)&gt;2,VLOOKUP(A891,'Delta Z Scores'!$A$1:$N$1541,13,FALSE)/VLOOKUP(A891,'Delta Z Scores'!$A$1:$N$1541,14,FALSE),"Not Enough Data")</f>
        <v>0.35888926600796589</v>
      </c>
      <c r="G891">
        <f>IF(VLOOKUP(A891,'Forecast Z Scores'!$A$1:$N$1541,14,FALSE)&gt;2,VLOOKUP(A891,'Forecast Z Scores'!$A$1:$N$1541,13,FALSE)/VLOOKUP(A891,'Forecast Z Scores'!$A$1:$N$1541,14,FALSE),"Not Enough Data")</f>
        <v>-4.7515687138961968E-3</v>
      </c>
      <c r="H891">
        <v>0.15464050223726208</v>
      </c>
    </row>
    <row r="892" spans="1:8" x14ac:dyDescent="0.35">
      <c r="A892" t="str">
        <f t="shared" si="13"/>
        <v>18097360502_2024</v>
      </c>
      <c r="B892">
        <v>18097360502</v>
      </c>
      <c r="C892">
        <v>2024</v>
      </c>
      <c r="E892">
        <f>-(IF(VLOOKUP(B892,'2023 Z Scores'!$A$1:$K$309,11,FALSE)&gt;2,VLOOKUP(B892,'2023 Z Scores'!$A$1:$K$309,10,FALSE)/VLOOKUP(B892,'2023 Z Scores'!$A$1:$K$309,11,FALSE),"Not Enough data"))</f>
        <v>-0.21667954155839267</v>
      </c>
      <c r="F892">
        <f>IF(VLOOKUP(A892,'Delta Z Scores'!$A$1:$N$1541,14,FALSE)&gt;2,VLOOKUP(A892,'Delta Z Scores'!$A$1:$N$1541,13,FALSE)/VLOOKUP(A892,'Delta Z Scores'!$A$1:$N$1541,14,FALSE),"Not Enough Data")</f>
        <v>-0.18884333928758085</v>
      </c>
      <c r="G892">
        <f>IF(VLOOKUP(A892,'Forecast Z Scores'!$A$1:$N$1541,14,FALSE)&gt;2,VLOOKUP(A892,'Forecast Z Scores'!$A$1:$N$1541,13,FALSE)/VLOOKUP(A892,'Forecast Z Scores'!$A$1:$N$1541,14,FALSE),"Not Enough Data")</f>
        <v>-0.10292106294838145</v>
      </c>
      <c r="H892">
        <v>-0.17432182077048394</v>
      </c>
    </row>
    <row r="893" spans="1:8" x14ac:dyDescent="0.35">
      <c r="A893" t="str">
        <f t="shared" si="13"/>
        <v>18097360502_2025</v>
      </c>
      <c r="B893">
        <v>18097360502</v>
      </c>
      <c r="C893">
        <v>2025</v>
      </c>
      <c r="E893">
        <f>-(IF(VLOOKUP(B893,'2023 Z Scores'!$A$1:$K$309,11,FALSE)&gt;2,VLOOKUP(B893,'2023 Z Scores'!$A$1:$K$309,10,FALSE)/VLOOKUP(B893,'2023 Z Scores'!$A$1:$K$309,11,FALSE),"Not Enough data"))</f>
        <v>-0.21667954155839267</v>
      </c>
      <c r="F893">
        <f>IF(VLOOKUP(A893,'Delta Z Scores'!$A$1:$N$1541,14,FALSE)&gt;2,VLOOKUP(A893,'Delta Z Scores'!$A$1:$N$1541,13,FALSE)/VLOOKUP(A893,'Delta Z Scores'!$A$1:$N$1541,14,FALSE),"Not Enough Data")</f>
        <v>-0.28005610961343608</v>
      </c>
      <c r="G893">
        <f>IF(VLOOKUP(A893,'Forecast Z Scores'!$A$1:$N$1541,14,FALSE)&gt;2,VLOOKUP(A893,'Forecast Z Scores'!$A$1:$N$1541,13,FALSE)/VLOOKUP(A893,'Forecast Z Scores'!$A$1:$N$1541,14,FALSE),"Not Enough Data")</f>
        <v>-0.13463789908907645</v>
      </c>
      <c r="H893">
        <v>-0.2278574149685853</v>
      </c>
    </row>
    <row r="894" spans="1:8" x14ac:dyDescent="0.35">
      <c r="A894" t="str">
        <f t="shared" si="13"/>
        <v>18097360502_2026</v>
      </c>
      <c r="B894">
        <v>18097360502</v>
      </c>
      <c r="C894">
        <v>2026</v>
      </c>
      <c r="E894">
        <f>-(IF(VLOOKUP(B894,'2023 Z Scores'!$A$1:$K$309,11,FALSE)&gt;2,VLOOKUP(B894,'2023 Z Scores'!$A$1:$K$309,10,FALSE)/VLOOKUP(B894,'2023 Z Scores'!$A$1:$K$309,11,FALSE),"Not Enough data"))</f>
        <v>-0.21667954155839267</v>
      </c>
      <c r="F894">
        <f>IF(VLOOKUP(A894,'Delta Z Scores'!$A$1:$N$1541,14,FALSE)&gt;2,VLOOKUP(A894,'Delta Z Scores'!$A$1:$N$1541,13,FALSE)/VLOOKUP(A894,'Delta Z Scores'!$A$1:$N$1541,14,FALSE),"Not Enough Data")</f>
        <v>-7.7489113689312258E-2</v>
      </c>
      <c r="G894">
        <f>IF(VLOOKUP(A894,'Forecast Z Scores'!$A$1:$N$1541,14,FALSE)&gt;2,VLOOKUP(A894,'Forecast Z Scores'!$A$1:$N$1541,13,FALSE)/VLOOKUP(A894,'Forecast Z Scores'!$A$1:$N$1541,14,FALSE),"Not Enough Data")</f>
        <v>-0.14859338670127367</v>
      </c>
      <c r="H894">
        <v>-0.13006278890957271</v>
      </c>
    </row>
    <row r="895" spans="1:8" x14ac:dyDescent="0.35">
      <c r="A895" t="str">
        <f t="shared" si="13"/>
        <v>18097360502_2027</v>
      </c>
      <c r="B895">
        <v>18097360502</v>
      </c>
      <c r="C895">
        <v>2027</v>
      </c>
      <c r="E895">
        <f>-(IF(VLOOKUP(B895,'2023 Z Scores'!$A$1:$K$309,11,FALSE)&gt;2,VLOOKUP(B895,'2023 Z Scores'!$A$1:$K$309,10,FALSE)/VLOOKUP(B895,'2023 Z Scores'!$A$1:$K$309,11,FALSE),"Not Enough data"))</f>
        <v>-0.21667954155839267</v>
      </c>
      <c r="F895">
        <f>IF(VLOOKUP(A895,'Delta Z Scores'!$A$1:$N$1541,14,FALSE)&gt;2,VLOOKUP(A895,'Delta Z Scores'!$A$1:$N$1541,13,FALSE)/VLOOKUP(A895,'Delta Z Scores'!$A$1:$N$1541,14,FALSE),"Not Enough Data")</f>
        <v>-3.6161032517088222E-2</v>
      </c>
      <c r="G895">
        <f>IF(VLOOKUP(A895,'Forecast Z Scores'!$A$1:$N$1541,14,FALSE)&gt;2,VLOOKUP(A895,'Forecast Z Scores'!$A$1:$N$1541,13,FALSE)/VLOOKUP(A895,'Forecast Z Scores'!$A$1:$N$1541,14,FALSE),"Not Enough Data")</f>
        <v>-0.16532321377965595</v>
      </c>
      <c r="H895">
        <v>-0.11358120509305628</v>
      </c>
    </row>
    <row r="896" spans="1:8" x14ac:dyDescent="0.35">
      <c r="A896" t="str">
        <f t="shared" si="13"/>
        <v>18097360502_2028</v>
      </c>
      <c r="B896">
        <v>18097360502</v>
      </c>
      <c r="C896">
        <v>2028</v>
      </c>
      <c r="E896">
        <f>-(IF(VLOOKUP(B896,'2023 Z Scores'!$A$1:$K$309,11,FALSE)&gt;2,VLOOKUP(B896,'2023 Z Scores'!$A$1:$K$309,10,FALSE)/VLOOKUP(B896,'2023 Z Scores'!$A$1:$K$309,11,FALSE),"Not Enough data"))</f>
        <v>-0.21667954155839267</v>
      </c>
      <c r="F896">
        <f>IF(VLOOKUP(A896,'Delta Z Scores'!$A$1:$N$1541,14,FALSE)&gt;2,VLOOKUP(A896,'Delta Z Scores'!$A$1:$N$1541,13,FALSE)/VLOOKUP(A896,'Delta Z Scores'!$A$1:$N$1541,14,FALSE),"Not Enough Data")</f>
        <v>-0.10523133713220895</v>
      </c>
      <c r="G896">
        <f>IF(VLOOKUP(A896,'Forecast Z Scores'!$A$1:$N$1541,14,FALSE)&gt;2,VLOOKUP(A896,'Forecast Z Scores'!$A$1:$N$1541,13,FALSE)/VLOOKUP(A896,'Forecast Z Scores'!$A$1:$N$1541,14,FALSE),"Not Enough Data")</f>
        <v>-0.19502598073929853</v>
      </c>
      <c r="H896">
        <v>-0.15554204914052727</v>
      </c>
    </row>
    <row r="897" spans="1:8" x14ac:dyDescent="0.35">
      <c r="A897" t="str">
        <f t="shared" si="13"/>
        <v>18097360601_2024</v>
      </c>
      <c r="B897">
        <v>18097360601</v>
      </c>
      <c r="C897">
        <v>2024</v>
      </c>
      <c r="E897">
        <f>-(IF(VLOOKUP(B897,'2023 Z Scores'!$A$1:$K$309,11,FALSE)&gt;2,VLOOKUP(B897,'2023 Z Scores'!$A$1:$K$309,10,FALSE)/VLOOKUP(B897,'2023 Z Scores'!$A$1:$K$309,11,FALSE),"Not Enough data"))</f>
        <v>9.8748783983511682E-2</v>
      </c>
      <c r="F897">
        <f>IF(VLOOKUP(A897,'Delta Z Scores'!$A$1:$N$1541,14,FALSE)&gt;2,VLOOKUP(A897,'Delta Z Scores'!$A$1:$N$1541,13,FALSE)/VLOOKUP(A897,'Delta Z Scores'!$A$1:$N$1541,14,FALSE),"Not Enough Data")</f>
        <v>5.0151085679528563E-2</v>
      </c>
      <c r="G897">
        <f>IF(VLOOKUP(A897,'Forecast Z Scores'!$A$1:$N$1541,14,FALSE)&gt;2,VLOOKUP(A897,'Forecast Z Scores'!$A$1:$N$1541,13,FALSE)/VLOOKUP(A897,'Forecast Z Scores'!$A$1:$N$1541,14,FALSE),"Not Enough Data")</f>
        <v>-0.10827838414842889</v>
      </c>
      <c r="H897">
        <v>2.2693142798534981E-2</v>
      </c>
    </row>
    <row r="898" spans="1:8" x14ac:dyDescent="0.35">
      <c r="A898" t="str">
        <f t="shared" si="13"/>
        <v>18097360601_2025</v>
      </c>
      <c r="B898">
        <v>18097360601</v>
      </c>
      <c r="C898">
        <v>2025</v>
      </c>
      <c r="E898">
        <f>-(IF(VLOOKUP(B898,'2023 Z Scores'!$A$1:$K$309,11,FALSE)&gt;2,VLOOKUP(B898,'2023 Z Scores'!$A$1:$K$309,10,FALSE)/VLOOKUP(B898,'2023 Z Scores'!$A$1:$K$309,11,FALSE),"Not Enough data"))</f>
        <v>9.8748783983511682E-2</v>
      </c>
      <c r="F898">
        <f>IF(VLOOKUP(A898,'Delta Z Scores'!$A$1:$N$1541,14,FALSE)&gt;2,VLOOKUP(A898,'Delta Z Scores'!$A$1:$N$1541,13,FALSE)/VLOOKUP(A898,'Delta Z Scores'!$A$1:$N$1541,14,FALSE),"Not Enough Data")</f>
        <v>-0.15212598101478361</v>
      </c>
      <c r="G898">
        <f>IF(VLOOKUP(A898,'Forecast Z Scores'!$A$1:$N$1541,14,FALSE)&gt;2,VLOOKUP(A898,'Forecast Z Scores'!$A$1:$N$1541,13,FALSE)/VLOOKUP(A898,'Forecast Z Scores'!$A$1:$N$1541,14,FALSE),"Not Enough Data")</f>
        <v>-0.13801001884694153</v>
      </c>
      <c r="H898">
        <v>-8.5878299223249271E-2</v>
      </c>
    </row>
    <row r="899" spans="1:8" x14ac:dyDescent="0.35">
      <c r="A899" t="str">
        <f t="shared" ref="A899:A962" si="14">TEXT(B899,0)&amp;"_"&amp;TEXT(C899,0)</f>
        <v>18097360601_2026</v>
      </c>
      <c r="B899">
        <v>18097360601</v>
      </c>
      <c r="C899">
        <v>2026</v>
      </c>
      <c r="E899">
        <f>-(IF(VLOOKUP(B899,'2023 Z Scores'!$A$1:$K$309,11,FALSE)&gt;2,VLOOKUP(B899,'2023 Z Scores'!$A$1:$K$309,10,FALSE)/VLOOKUP(B899,'2023 Z Scores'!$A$1:$K$309,11,FALSE),"Not Enough data"))</f>
        <v>9.8748783983511682E-2</v>
      </c>
      <c r="F899">
        <f>IF(VLOOKUP(A899,'Delta Z Scores'!$A$1:$N$1541,14,FALSE)&gt;2,VLOOKUP(A899,'Delta Z Scores'!$A$1:$N$1541,13,FALSE)/VLOOKUP(A899,'Delta Z Scores'!$A$1:$N$1541,14,FALSE),"Not Enough Data")</f>
        <v>-1.2624870271050331E-2</v>
      </c>
      <c r="G899">
        <f>IF(VLOOKUP(A899,'Forecast Z Scores'!$A$1:$N$1541,14,FALSE)&gt;2,VLOOKUP(A899,'Forecast Z Scores'!$A$1:$N$1541,13,FALSE)/VLOOKUP(A899,'Forecast Z Scores'!$A$1:$N$1541,14,FALSE),"Not Enough Data")</f>
        <v>-0.15080675818033015</v>
      </c>
      <c r="H899">
        <v>-1.9326928684729783E-2</v>
      </c>
    </row>
    <row r="900" spans="1:8" x14ac:dyDescent="0.35">
      <c r="A900" t="str">
        <f t="shared" si="14"/>
        <v>18097360601_2027</v>
      </c>
      <c r="B900">
        <v>18097360601</v>
      </c>
      <c r="C900">
        <v>2027</v>
      </c>
      <c r="E900">
        <f>-(IF(VLOOKUP(B900,'2023 Z Scores'!$A$1:$K$309,11,FALSE)&gt;2,VLOOKUP(B900,'2023 Z Scores'!$A$1:$K$309,10,FALSE)/VLOOKUP(B900,'2023 Z Scores'!$A$1:$K$309,11,FALSE),"Not Enough data"))</f>
        <v>9.8748783983511682E-2</v>
      </c>
      <c r="F900">
        <f>IF(VLOOKUP(A900,'Delta Z Scores'!$A$1:$N$1541,14,FALSE)&gt;2,VLOOKUP(A900,'Delta Z Scores'!$A$1:$N$1541,13,FALSE)/VLOOKUP(A900,'Delta Z Scores'!$A$1:$N$1541,14,FALSE),"Not Enough Data")</f>
        <v>-6.463549875533639E-2</v>
      </c>
      <c r="G900">
        <f>IF(VLOOKUP(A900,'Forecast Z Scores'!$A$1:$N$1541,14,FALSE)&gt;2,VLOOKUP(A900,'Forecast Z Scores'!$A$1:$N$1541,13,FALSE)/VLOOKUP(A900,'Forecast Z Scores'!$A$1:$N$1541,14,FALSE),"Not Enough Data")</f>
        <v>-0.16638317793241703</v>
      </c>
      <c r="H900">
        <v>-4.9226347864894535E-2</v>
      </c>
    </row>
    <row r="901" spans="1:8" x14ac:dyDescent="0.35">
      <c r="A901" t="str">
        <f t="shared" si="14"/>
        <v>18097360601_2028</v>
      </c>
      <c r="B901">
        <v>18097360601</v>
      </c>
      <c r="C901">
        <v>2028</v>
      </c>
      <c r="E901">
        <f>-(IF(VLOOKUP(B901,'2023 Z Scores'!$A$1:$K$309,11,FALSE)&gt;2,VLOOKUP(B901,'2023 Z Scores'!$A$1:$K$309,10,FALSE)/VLOOKUP(B901,'2023 Z Scores'!$A$1:$K$309,11,FALSE),"Not Enough data"))</f>
        <v>9.8748783983511682E-2</v>
      </c>
      <c r="F901">
        <f>IF(VLOOKUP(A901,'Delta Z Scores'!$A$1:$N$1541,14,FALSE)&gt;2,VLOOKUP(A901,'Delta Z Scores'!$A$1:$N$1541,13,FALSE)/VLOOKUP(A901,'Delta Z Scores'!$A$1:$N$1541,14,FALSE),"Not Enough Data")</f>
        <v>-1.0566913320896106E-2</v>
      </c>
      <c r="G901">
        <f>IF(VLOOKUP(A901,'Forecast Z Scores'!$A$1:$N$1541,14,FALSE)&gt;2,VLOOKUP(A901,'Forecast Z Scores'!$A$1:$N$1541,13,FALSE)/VLOOKUP(A901,'Forecast Z Scores'!$A$1:$N$1541,14,FALSE),"Not Enough Data")</f>
        <v>-0.17816277299488664</v>
      </c>
      <c r="H901">
        <v>-2.5136953913291789E-2</v>
      </c>
    </row>
    <row r="902" spans="1:8" x14ac:dyDescent="0.35">
      <c r="A902" t="str">
        <f t="shared" si="14"/>
        <v>18097360602_2024</v>
      </c>
      <c r="B902">
        <v>18097360602</v>
      </c>
      <c r="C902">
        <v>2024</v>
      </c>
      <c r="E902">
        <f>-(IF(VLOOKUP(B902,'2023 Z Scores'!$A$1:$K$309,11,FALSE)&gt;2,VLOOKUP(B902,'2023 Z Scores'!$A$1:$K$309,10,FALSE)/VLOOKUP(B902,'2023 Z Scores'!$A$1:$K$309,11,FALSE),"Not Enough data"))</f>
        <v>0.30733437892803028</v>
      </c>
      <c r="F902">
        <f>IF(VLOOKUP(A902,'Delta Z Scores'!$A$1:$N$1541,14,FALSE)&gt;2,VLOOKUP(A902,'Delta Z Scores'!$A$1:$N$1541,13,FALSE)/VLOOKUP(A902,'Delta Z Scores'!$A$1:$N$1541,14,FALSE),"Not Enough Data")</f>
        <v>7.8324435429109163E-2</v>
      </c>
      <c r="G902">
        <f>IF(VLOOKUP(A902,'Forecast Z Scores'!$A$1:$N$1541,14,FALSE)&gt;2,VLOOKUP(A902,'Forecast Z Scores'!$A$1:$N$1541,13,FALSE)/VLOOKUP(A902,'Forecast Z Scores'!$A$1:$N$1541,14,FALSE),"Not Enough Data")</f>
        <v>2.0271346894522591E-3</v>
      </c>
      <c r="H902">
        <v>0.11650259611892522</v>
      </c>
    </row>
    <row r="903" spans="1:8" x14ac:dyDescent="0.35">
      <c r="A903" t="str">
        <f t="shared" si="14"/>
        <v>18097360602_2025</v>
      </c>
      <c r="B903">
        <v>18097360602</v>
      </c>
      <c r="C903">
        <v>2025</v>
      </c>
      <c r="E903">
        <f>-(IF(VLOOKUP(B903,'2023 Z Scores'!$A$1:$K$309,11,FALSE)&gt;2,VLOOKUP(B903,'2023 Z Scores'!$A$1:$K$309,10,FALSE)/VLOOKUP(B903,'2023 Z Scores'!$A$1:$K$309,11,FALSE),"Not Enough data"))</f>
        <v>0.30733437892803028</v>
      </c>
      <c r="F903">
        <f>IF(VLOOKUP(A903,'Delta Z Scores'!$A$1:$N$1541,14,FALSE)&gt;2,VLOOKUP(A903,'Delta Z Scores'!$A$1:$N$1541,13,FALSE)/VLOOKUP(A903,'Delta Z Scores'!$A$1:$N$1541,14,FALSE),"Not Enough Data")</f>
        <v>-0.34975559795958605</v>
      </c>
      <c r="G903">
        <f>IF(VLOOKUP(A903,'Forecast Z Scores'!$A$1:$N$1541,14,FALSE)&gt;2,VLOOKUP(A903,'Forecast Z Scores'!$A$1:$N$1541,13,FALSE)/VLOOKUP(A903,'Forecast Z Scores'!$A$1:$N$1541,14,FALSE),"Not Enough Data")</f>
        <v>-5.4650248783590177E-2</v>
      </c>
      <c r="H903">
        <v>-0.11170676644368299</v>
      </c>
    </row>
    <row r="904" spans="1:8" x14ac:dyDescent="0.35">
      <c r="A904" t="str">
        <f t="shared" si="14"/>
        <v>18097360602_2026</v>
      </c>
      <c r="B904">
        <v>18097360602</v>
      </c>
      <c r="C904">
        <v>2026</v>
      </c>
      <c r="E904">
        <f>-(IF(VLOOKUP(B904,'2023 Z Scores'!$A$1:$K$309,11,FALSE)&gt;2,VLOOKUP(B904,'2023 Z Scores'!$A$1:$K$309,10,FALSE)/VLOOKUP(B904,'2023 Z Scores'!$A$1:$K$309,11,FALSE),"Not Enough data"))</f>
        <v>0.30733437892803028</v>
      </c>
      <c r="F904">
        <f>IF(VLOOKUP(A904,'Delta Z Scores'!$A$1:$N$1541,14,FALSE)&gt;2,VLOOKUP(A904,'Delta Z Scores'!$A$1:$N$1541,13,FALSE)/VLOOKUP(A904,'Delta Z Scores'!$A$1:$N$1541,14,FALSE),"Not Enough Data")</f>
        <v>-0.28164262335461299</v>
      </c>
      <c r="G904">
        <f>IF(VLOOKUP(A904,'Forecast Z Scores'!$A$1:$N$1541,14,FALSE)&gt;2,VLOOKUP(A904,'Forecast Z Scores'!$A$1:$N$1541,13,FALSE)/VLOOKUP(A904,'Forecast Z Scores'!$A$1:$N$1541,14,FALSE),"Not Enough Data")</f>
        <v>-9.1942319685438242E-2</v>
      </c>
      <c r="H904">
        <v>-8.6973296866658473E-2</v>
      </c>
    </row>
    <row r="905" spans="1:8" x14ac:dyDescent="0.35">
      <c r="A905" t="str">
        <f t="shared" si="14"/>
        <v>18097360602_2027</v>
      </c>
      <c r="B905">
        <v>18097360602</v>
      </c>
      <c r="C905">
        <v>2027</v>
      </c>
      <c r="E905">
        <f>-(IF(VLOOKUP(B905,'2023 Z Scores'!$A$1:$K$309,11,FALSE)&gt;2,VLOOKUP(B905,'2023 Z Scores'!$A$1:$K$309,10,FALSE)/VLOOKUP(B905,'2023 Z Scores'!$A$1:$K$309,11,FALSE),"Not Enough data"))</f>
        <v>0.30733437892803028</v>
      </c>
      <c r="F905">
        <f>IF(VLOOKUP(A905,'Delta Z Scores'!$A$1:$N$1541,14,FALSE)&gt;2,VLOOKUP(A905,'Delta Z Scores'!$A$1:$N$1541,13,FALSE)/VLOOKUP(A905,'Delta Z Scores'!$A$1:$N$1541,14,FALSE),"Not Enough Data")</f>
        <v>-0.35582238824736567</v>
      </c>
      <c r="G905">
        <f>IF(VLOOKUP(A905,'Forecast Z Scores'!$A$1:$N$1541,14,FALSE)&gt;2,VLOOKUP(A905,'Forecast Z Scores'!$A$1:$N$1541,13,FALSE)/VLOOKUP(A905,'Forecast Z Scores'!$A$1:$N$1541,14,FALSE),"Not Enough Data")</f>
        <v>-0.13919986698794889</v>
      </c>
      <c r="H905">
        <v>-0.13587756613866248</v>
      </c>
    </row>
    <row r="906" spans="1:8" x14ac:dyDescent="0.35">
      <c r="A906" t="str">
        <f t="shared" si="14"/>
        <v>18097360602_2028</v>
      </c>
      <c r="B906">
        <v>18097360602</v>
      </c>
      <c r="C906">
        <v>2028</v>
      </c>
      <c r="E906">
        <f>-(IF(VLOOKUP(B906,'2023 Z Scores'!$A$1:$K$309,11,FALSE)&gt;2,VLOOKUP(B906,'2023 Z Scores'!$A$1:$K$309,10,FALSE)/VLOOKUP(B906,'2023 Z Scores'!$A$1:$K$309,11,FALSE),"Not Enough data"))</f>
        <v>0.30733437892803028</v>
      </c>
      <c r="F906">
        <f>IF(VLOOKUP(A906,'Delta Z Scores'!$A$1:$N$1541,14,FALSE)&gt;2,VLOOKUP(A906,'Delta Z Scores'!$A$1:$N$1541,13,FALSE)/VLOOKUP(A906,'Delta Z Scores'!$A$1:$N$1541,14,FALSE),"Not Enough Data")</f>
        <v>-0.28454523839940304</v>
      </c>
      <c r="G906">
        <f>IF(VLOOKUP(A906,'Forecast Z Scores'!$A$1:$N$1541,14,FALSE)&gt;2,VLOOKUP(A906,'Forecast Z Scores'!$A$1:$N$1541,13,FALSE)/VLOOKUP(A906,'Forecast Z Scores'!$A$1:$N$1541,14,FALSE),"Not Enough Data")</f>
        <v>-0.17633751261969605</v>
      </c>
      <c r="H906">
        <v>-0.10952340262261795</v>
      </c>
    </row>
    <row r="907" spans="1:8" x14ac:dyDescent="0.35">
      <c r="A907" t="str">
        <f t="shared" si="14"/>
        <v>18097360700_2024</v>
      </c>
      <c r="B907">
        <v>18097360700</v>
      </c>
      <c r="C907">
        <v>2024</v>
      </c>
      <c r="E907">
        <f>-(IF(VLOOKUP(B907,'2023 Z Scores'!$A$1:$K$309,11,FALSE)&gt;2,VLOOKUP(B907,'2023 Z Scores'!$A$1:$K$309,10,FALSE)/VLOOKUP(B907,'2023 Z Scores'!$A$1:$K$309,11,FALSE),"Not Enough data"))</f>
        <v>-0.17849851558396795</v>
      </c>
      <c r="F907">
        <f>IF(VLOOKUP(A907,'Delta Z Scores'!$A$1:$N$1541,14,FALSE)&gt;2,VLOOKUP(A907,'Delta Z Scores'!$A$1:$N$1541,13,FALSE)/VLOOKUP(A907,'Delta Z Scores'!$A$1:$N$1541,14,FALSE),"Not Enough Data")</f>
        <v>0.12524737511545739</v>
      </c>
      <c r="G907">
        <f>IF(VLOOKUP(A907,'Forecast Z Scores'!$A$1:$N$1541,14,FALSE)&gt;2,VLOOKUP(A907,'Forecast Z Scores'!$A$1:$N$1541,13,FALSE)/VLOOKUP(A907,'Forecast Z Scores'!$A$1:$N$1541,14,FALSE),"Not Enough Data")</f>
        <v>-3.7531812897280081E-2</v>
      </c>
      <c r="H907">
        <v>8.6161054374166851E-3</v>
      </c>
    </row>
    <row r="908" spans="1:8" x14ac:dyDescent="0.35">
      <c r="A908" t="str">
        <f t="shared" si="14"/>
        <v>18097360700_2025</v>
      </c>
      <c r="B908">
        <v>18097360700</v>
      </c>
      <c r="C908">
        <v>2025</v>
      </c>
      <c r="E908">
        <f>-(IF(VLOOKUP(B908,'2023 Z Scores'!$A$1:$K$309,11,FALSE)&gt;2,VLOOKUP(B908,'2023 Z Scores'!$A$1:$K$309,10,FALSE)/VLOOKUP(B908,'2023 Z Scores'!$A$1:$K$309,11,FALSE),"Not Enough data"))</f>
        <v>-0.17849851558396795</v>
      </c>
      <c r="F908">
        <f>IF(VLOOKUP(A908,'Delta Z Scores'!$A$1:$N$1541,14,FALSE)&gt;2,VLOOKUP(A908,'Delta Z Scores'!$A$1:$N$1541,13,FALSE)/VLOOKUP(A908,'Delta Z Scores'!$A$1:$N$1541,14,FALSE),"Not Enough Data")</f>
        <v>-3.0215711206740492E-2</v>
      </c>
      <c r="G908">
        <f>IF(VLOOKUP(A908,'Forecast Z Scores'!$A$1:$N$1541,14,FALSE)&gt;2,VLOOKUP(A908,'Forecast Z Scores'!$A$1:$N$1541,13,FALSE)/VLOOKUP(A908,'Forecast Z Scores'!$A$1:$N$1541,14,FALSE),"Not Enough Data")</f>
        <v>-4.8908116917294381E-2</v>
      </c>
      <c r="H908">
        <v>-7.1959513728685837E-2</v>
      </c>
    </row>
    <row r="909" spans="1:8" x14ac:dyDescent="0.35">
      <c r="A909" t="str">
        <f t="shared" si="14"/>
        <v>18097360700_2026</v>
      </c>
      <c r="B909">
        <v>18097360700</v>
      </c>
      <c r="C909">
        <v>2026</v>
      </c>
      <c r="E909">
        <f>-(IF(VLOOKUP(B909,'2023 Z Scores'!$A$1:$K$309,11,FALSE)&gt;2,VLOOKUP(B909,'2023 Z Scores'!$A$1:$K$309,10,FALSE)/VLOOKUP(B909,'2023 Z Scores'!$A$1:$K$309,11,FALSE),"Not Enough data"))</f>
        <v>-0.17849851558396795</v>
      </c>
      <c r="F909">
        <f>IF(VLOOKUP(A909,'Delta Z Scores'!$A$1:$N$1541,14,FALSE)&gt;2,VLOOKUP(A909,'Delta Z Scores'!$A$1:$N$1541,13,FALSE)/VLOOKUP(A909,'Delta Z Scores'!$A$1:$N$1541,14,FALSE),"Not Enough Data")</f>
        <v>0.13109692041883009</v>
      </c>
      <c r="G909">
        <f>IF(VLOOKUP(A909,'Forecast Z Scores'!$A$1:$N$1541,14,FALSE)&gt;2,VLOOKUP(A909,'Forecast Z Scores'!$A$1:$N$1541,13,FALSE)/VLOOKUP(A909,'Forecast Z Scores'!$A$1:$N$1541,14,FALSE),"Not Enough Data")</f>
        <v>-3.9138473286744982E-2</v>
      </c>
      <c r="H909">
        <v>1.1139212991736813E-2</v>
      </c>
    </row>
    <row r="910" spans="1:8" x14ac:dyDescent="0.35">
      <c r="A910" t="str">
        <f t="shared" si="14"/>
        <v>18097360700_2027</v>
      </c>
      <c r="B910">
        <v>18097360700</v>
      </c>
      <c r="C910">
        <v>2027</v>
      </c>
      <c r="E910">
        <f>-(IF(VLOOKUP(B910,'2023 Z Scores'!$A$1:$K$309,11,FALSE)&gt;2,VLOOKUP(B910,'2023 Z Scores'!$A$1:$K$309,10,FALSE)/VLOOKUP(B910,'2023 Z Scores'!$A$1:$K$309,11,FALSE),"Not Enough data"))</f>
        <v>-0.17849851558396795</v>
      </c>
      <c r="F910">
        <f>IF(VLOOKUP(A910,'Delta Z Scores'!$A$1:$N$1541,14,FALSE)&gt;2,VLOOKUP(A910,'Delta Z Scores'!$A$1:$N$1541,13,FALSE)/VLOOKUP(A910,'Delta Z Scores'!$A$1:$N$1541,14,FALSE),"Not Enough Data")</f>
        <v>3.2122169401504815E-2</v>
      </c>
      <c r="G910">
        <f>IF(VLOOKUP(A910,'Forecast Z Scores'!$A$1:$N$1541,14,FALSE)&gt;2,VLOOKUP(A910,'Forecast Z Scores'!$A$1:$N$1541,13,FALSE)/VLOOKUP(A910,'Forecast Z Scores'!$A$1:$N$1541,14,FALSE),"Not Enough Data")</f>
        <v>-3.6093616220153821E-2</v>
      </c>
      <c r="H910">
        <v>-3.7586948250278036E-2</v>
      </c>
    </row>
    <row r="911" spans="1:8" x14ac:dyDescent="0.35">
      <c r="A911" t="str">
        <f t="shared" si="14"/>
        <v>18097360700_2028</v>
      </c>
      <c r="B911">
        <v>18097360700</v>
      </c>
      <c r="C911">
        <v>2028</v>
      </c>
      <c r="E911">
        <f>-(IF(VLOOKUP(B911,'2023 Z Scores'!$A$1:$K$309,11,FALSE)&gt;2,VLOOKUP(B911,'2023 Z Scores'!$A$1:$K$309,10,FALSE)/VLOOKUP(B911,'2023 Z Scores'!$A$1:$K$309,11,FALSE),"Not Enough data"))</f>
        <v>-0.17849851558396795</v>
      </c>
      <c r="F911">
        <f>IF(VLOOKUP(A911,'Delta Z Scores'!$A$1:$N$1541,14,FALSE)&gt;2,VLOOKUP(A911,'Delta Z Scores'!$A$1:$N$1541,13,FALSE)/VLOOKUP(A911,'Delta Z Scores'!$A$1:$N$1541,14,FALSE),"Not Enough Data")</f>
        <v>6.7208253723197386E-2</v>
      </c>
      <c r="G911">
        <f>IF(VLOOKUP(A911,'Forecast Z Scores'!$A$1:$N$1541,14,FALSE)&gt;2,VLOOKUP(A911,'Forecast Z Scores'!$A$1:$N$1541,13,FALSE)/VLOOKUP(A911,'Forecast Z Scores'!$A$1:$N$1541,14,FALSE),"Not Enough Data")</f>
        <v>-2.8397326132026876E-2</v>
      </c>
      <c r="H911">
        <v>-1.8119833567400014E-2</v>
      </c>
    </row>
    <row r="912" spans="1:8" x14ac:dyDescent="0.35">
      <c r="A912" t="str">
        <f t="shared" si="14"/>
        <v>18097360800_2024</v>
      </c>
      <c r="B912">
        <v>18097360800</v>
      </c>
      <c r="C912">
        <v>2024</v>
      </c>
      <c r="E912">
        <f>-(IF(VLOOKUP(B912,'2023 Z Scores'!$A$1:$K$309,11,FALSE)&gt;2,VLOOKUP(B912,'2023 Z Scores'!$A$1:$K$309,10,FALSE)/VLOOKUP(B912,'2023 Z Scores'!$A$1:$K$309,11,FALSE),"Not Enough data"))</f>
        <v>0.70252679411496988</v>
      </c>
      <c r="F912">
        <f>IF(VLOOKUP(A912,'Delta Z Scores'!$A$1:$N$1541,14,FALSE)&gt;2,VLOOKUP(A912,'Delta Z Scores'!$A$1:$N$1541,13,FALSE)/VLOOKUP(A912,'Delta Z Scores'!$A$1:$N$1541,14,FALSE),"Not Enough Data")</f>
        <v>0.13175565442642487</v>
      </c>
      <c r="G912">
        <f>IF(VLOOKUP(A912,'Forecast Z Scores'!$A$1:$N$1541,14,FALSE)&gt;2,VLOOKUP(A912,'Forecast Z Scores'!$A$1:$N$1541,13,FALSE)/VLOOKUP(A912,'Forecast Z Scores'!$A$1:$N$1541,14,FALSE),"Not Enough Data")</f>
        <v>-0.52798340497823415</v>
      </c>
      <c r="H912">
        <v>0.10951367449739637</v>
      </c>
    </row>
    <row r="913" spans="1:8" x14ac:dyDescent="0.35">
      <c r="A913" t="str">
        <f t="shared" si="14"/>
        <v>18097360800_2025</v>
      </c>
      <c r="B913">
        <v>18097360800</v>
      </c>
      <c r="C913">
        <v>2025</v>
      </c>
      <c r="E913">
        <f>-(IF(VLOOKUP(B913,'2023 Z Scores'!$A$1:$K$309,11,FALSE)&gt;2,VLOOKUP(B913,'2023 Z Scores'!$A$1:$K$309,10,FALSE)/VLOOKUP(B913,'2023 Z Scores'!$A$1:$K$309,11,FALSE),"Not Enough data"))</f>
        <v>0.70252679411496988</v>
      </c>
      <c r="F913">
        <f>IF(VLOOKUP(A913,'Delta Z Scores'!$A$1:$N$1541,14,FALSE)&gt;2,VLOOKUP(A913,'Delta Z Scores'!$A$1:$N$1541,13,FALSE)/VLOOKUP(A913,'Delta Z Scores'!$A$1:$N$1541,14,FALSE),"Not Enough Data")</f>
        <v>-0.30075094606168989</v>
      </c>
      <c r="G913">
        <f>IF(VLOOKUP(A913,'Forecast Z Scores'!$A$1:$N$1541,14,FALSE)&gt;2,VLOOKUP(A913,'Forecast Z Scores'!$A$1:$N$1541,13,FALSE)/VLOOKUP(A913,'Forecast Z Scores'!$A$1:$N$1541,14,FALSE),"Not Enough Data")</f>
        <v>-0.56503076006567754</v>
      </c>
      <c r="H913">
        <v>-0.11600146451852186</v>
      </c>
    </row>
    <row r="914" spans="1:8" x14ac:dyDescent="0.35">
      <c r="A914" t="str">
        <f t="shared" si="14"/>
        <v>18097360800_2026</v>
      </c>
      <c r="B914">
        <v>18097360800</v>
      </c>
      <c r="C914">
        <v>2026</v>
      </c>
      <c r="E914">
        <f>-(IF(VLOOKUP(B914,'2023 Z Scores'!$A$1:$K$309,11,FALSE)&gt;2,VLOOKUP(B914,'2023 Z Scores'!$A$1:$K$309,10,FALSE)/VLOOKUP(B914,'2023 Z Scores'!$A$1:$K$309,11,FALSE),"Not Enough data"))</f>
        <v>0.70252679411496988</v>
      </c>
      <c r="F914">
        <f>IF(VLOOKUP(A914,'Delta Z Scores'!$A$1:$N$1541,14,FALSE)&gt;2,VLOOKUP(A914,'Delta Z Scores'!$A$1:$N$1541,13,FALSE)/VLOOKUP(A914,'Delta Z Scores'!$A$1:$N$1541,14,FALSE),"Not Enough Data")</f>
        <v>-0.22651943913958422</v>
      </c>
      <c r="G914">
        <f>IF(VLOOKUP(A914,'Forecast Z Scores'!$A$1:$N$1541,14,FALSE)&gt;2,VLOOKUP(A914,'Forecast Z Scores'!$A$1:$N$1541,13,FALSE)/VLOOKUP(A914,'Forecast Z Scores'!$A$1:$N$1541,14,FALSE),"Not Enough Data")</f>
        <v>-0.57938122129830782</v>
      </c>
      <c r="H914">
        <v>-8.247332636562657E-2</v>
      </c>
    </row>
    <row r="915" spans="1:8" x14ac:dyDescent="0.35">
      <c r="A915" t="str">
        <f t="shared" si="14"/>
        <v>18097360800_2027</v>
      </c>
      <c r="B915">
        <v>18097360800</v>
      </c>
      <c r="C915">
        <v>2027</v>
      </c>
      <c r="E915">
        <f>-(IF(VLOOKUP(B915,'2023 Z Scores'!$A$1:$K$309,11,FALSE)&gt;2,VLOOKUP(B915,'2023 Z Scores'!$A$1:$K$309,10,FALSE)/VLOOKUP(B915,'2023 Z Scores'!$A$1:$K$309,11,FALSE),"Not Enough data"))</f>
        <v>0.70252679411496988</v>
      </c>
      <c r="F915">
        <f>IF(VLOOKUP(A915,'Delta Z Scores'!$A$1:$N$1541,14,FALSE)&gt;2,VLOOKUP(A915,'Delta Z Scores'!$A$1:$N$1541,13,FALSE)/VLOOKUP(A915,'Delta Z Scores'!$A$1:$N$1541,14,FALSE),"Not Enough Data")</f>
        <v>-0.27127966321586217</v>
      </c>
      <c r="G915">
        <f>IF(VLOOKUP(A915,'Forecast Z Scores'!$A$1:$N$1541,14,FALSE)&gt;2,VLOOKUP(A915,'Forecast Z Scores'!$A$1:$N$1541,13,FALSE)/VLOOKUP(A915,'Forecast Z Scores'!$A$1:$N$1541,14,FALSE),"Not Enough Data")</f>
        <v>-0.59880629363110549</v>
      </c>
      <c r="H915">
        <v>-0.10970970648696501</v>
      </c>
    </row>
    <row r="916" spans="1:8" x14ac:dyDescent="0.35">
      <c r="A916" t="str">
        <f t="shared" si="14"/>
        <v>18097360800_2028</v>
      </c>
      <c r="B916">
        <v>18097360800</v>
      </c>
      <c r="C916">
        <v>2028</v>
      </c>
      <c r="E916">
        <f>-(IF(VLOOKUP(B916,'2023 Z Scores'!$A$1:$K$309,11,FALSE)&gt;2,VLOOKUP(B916,'2023 Z Scores'!$A$1:$K$309,10,FALSE)/VLOOKUP(B916,'2023 Z Scores'!$A$1:$K$309,11,FALSE),"Not Enough data"))</f>
        <v>0.70252679411496988</v>
      </c>
      <c r="F916">
        <f>IF(VLOOKUP(A916,'Delta Z Scores'!$A$1:$N$1541,14,FALSE)&gt;2,VLOOKUP(A916,'Delta Z Scores'!$A$1:$N$1541,13,FALSE)/VLOOKUP(A916,'Delta Z Scores'!$A$1:$N$1541,14,FALSE),"Not Enough Data")</f>
        <v>-0.22588328702361221</v>
      </c>
      <c r="G916">
        <f>IF(VLOOKUP(A916,'Forecast Z Scores'!$A$1:$N$1541,14,FALSE)&gt;2,VLOOKUP(A916,'Forecast Z Scores'!$A$1:$N$1541,13,FALSE)/VLOOKUP(A916,'Forecast Z Scores'!$A$1:$N$1541,14,FALSE),"Not Enough Data")</f>
        <v>-0.60276648259058774</v>
      </c>
      <c r="H916">
        <v>-8.8001565630710571E-2</v>
      </c>
    </row>
    <row r="917" spans="1:8" x14ac:dyDescent="0.35">
      <c r="A917" t="str">
        <f t="shared" si="14"/>
        <v>18097360900_2024</v>
      </c>
      <c r="B917">
        <v>18097360900</v>
      </c>
      <c r="C917">
        <v>2024</v>
      </c>
      <c r="E917">
        <f>-(IF(VLOOKUP(B917,'2023 Z Scores'!$A$1:$K$309,11,FALSE)&gt;2,VLOOKUP(B917,'2023 Z Scores'!$A$1:$K$309,10,FALSE)/VLOOKUP(B917,'2023 Z Scores'!$A$1:$K$309,11,FALSE),"Not Enough data"))</f>
        <v>0.25871632536760703</v>
      </c>
      <c r="F917">
        <f>IF(VLOOKUP(A917,'Delta Z Scores'!$A$1:$N$1541,14,FALSE)&gt;2,VLOOKUP(A917,'Delta Z Scores'!$A$1:$N$1541,13,FALSE)/VLOOKUP(A917,'Delta Z Scores'!$A$1:$N$1541,14,FALSE),"Not Enough Data")</f>
        <v>0.26199881727991892</v>
      </c>
      <c r="G917">
        <f>IF(VLOOKUP(A917,'Forecast Z Scores'!$A$1:$N$1541,14,FALSE)&gt;2,VLOOKUP(A917,'Forecast Z Scores'!$A$1:$N$1541,13,FALSE)/VLOOKUP(A917,'Forecast Z Scores'!$A$1:$N$1541,14,FALSE),"Not Enough Data")</f>
        <v>3.024922659704754E-2</v>
      </c>
      <c r="H917">
        <v>0.2032407966311231</v>
      </c>
    </row>
    <row r="918" spans="1:8" x14ac:dyDescent="0.35">
      <c r="A918" t="str">
        <f t="shared" si="14"/>
        <v>18097360900_2025</v>
      </c>
      <c r="B918">
        <v>18097360900</v>
      </c>
      <c r="C918">
        <v>2025</v>
      </c>
      <c r="E918">
        <f>-(IF(VLOOKUP(B918,'2023 Z Scores'!$A$1:$K$309,11,FALSE)&gt;2,VLOOKUP(B918,'2023 Z Scores'!$A$1:$K$309,10,FALSE)/VLOOKUP(B918,'2023 Z Scores'!$A$1:$K$309,11,FALSE),"Not Enough data"))</f>
        <v>0.25871632536760703</v>
      </c>
      <c r="F918">
        <f>IF(VLOOKUP(A918,'Delta Z Scores'!$A$1:$N$1541,14,FALSE)&gt;2,VLOOKUP(A918,'Delta Z Scores'!$A$1:$N$1541,13,FALSE)/VLOOKUP(A918,'Delta Z Scores'!$A$1:$N$1541,14,FALSE),"Not Enough Data")</f>
        <v>0.50091125604682019</v>
      </c>
      <c r="G918">
        <f>IF(VLOOKUP(A918,'Forecast Z Scores'!$A$1:$N$1541,14,FALSE)&gt;2,VLOOKUP(A918,'Forecast Z Scores'!$A$1:$N$1541,13,FALSE)/VLOOKUP(A918,'Forecast Z Scores'!$A$1:$N$1541,14,FALSE),"Not Enough Data")</f>
        <v>1.4423593731379525E-2</v>
      </c>
      <c r="H918">
        <v>0.31874060779815672</v>
      </c>
    </row>
    <row r="919" spans="1:8" x14ac:dyDescent="0.35">
      <c r="A919" t="str">
        <f t="shared" si="14"/>
        <v>18097360900_2026</v>
      </c>
      <c r="B919">
        <v>18097360900</v>
      </c>
      <c r="C919">
        <v>2026</v>
      </c>
      <c r="E919">
        <f>-(IF(VLOOKUP(B919,'2023 Z Scores'!$A$1:$K$309,11,FALSE)&gt;2,VLOOKUP(B919,'2023 Z Scores'!$A$1:$K$309,10,FALSE)/VLOOKUP(B919,'2023 Z Scores'!$A$1:$K$309,11,FALSE),"Not Enough data"))</f>
        <v>0.25871632536760703</v>
      </c>
      <c r="F919">
        <f>IF(VLOOKUP(A919,'Delta Z Scores'!$A$1:$N$1541,14,FALSE)&gt;2,VLOOKUP(A919,'Delta Z Scores'!$A$1:$N$1541,13,FALSE)/VLOOKUP(A919,'Delta Z Scores'!$A$1:$N$1541,14,FALSE),"Not Enough Data")</f>
        <v>0.83340353058206518</v>
      </c>
      <c r="G919">
        <f>IF(VLOOKUP(A919,'Forecast Z Scores'!$A$1:$N$1541,14,FALSE)&gt;2,VLOOKUP(A919,'Forecast Z Scores'!$A$1:$N$1541,13,FALSE)/VLOOKUP(A919,'Forecast Z Scores'!$A$1:$N$1541,14,FALSE),"Not Enough Data")</f>
        <v>-6.2052871063524861E-3</v>
      </c>
      <c r="H919">
        <v>0.47982952485634622</v>
      </c>
    </row>
    <row r="920" spans="1:8" x14ac:dyDescent="0.35">
      <c r="A920" t="str">
        <f t="shared" si="14"/>
        <v>18097360900_2027</v>
      </c>
      <c r="B920">
        <v>18097360900</v>
      </c>
      <c r="C920">
        <v>2027</v>
      </c>
      <c r="E920">
        <f>-(IF(VLOOKUP(B920,'2023 Z Scores'!$A$1:$K$309,11,FALSE)&gt;2,VLOOKUP(B920,'2023 Z Scores'!$A$1:$K$309,10,FALSE)/VLOOKUP(B920,'2023 Z Scores'!$A$1:$K$309,11,FALSE),"Not Enough data"))</f>
        <v>0.25871632536760703</v>
      </c>
      <c r="F920">
        <f>IF(VLOOKUP(A920,'Delta Z Scores'!$A$1:$N$1541,14,FALSE)&gt;2,VLOOKUP(A920,'Delta Z Scores'!$A$1:$N$1541,13,FALSE)/VLOOKUP(A920,'Delta Z Scores'!$A$1:$N$1541,14,FALSE),"Not Enough Data")</f>
        <v>-0.25017725956436465</v>
      </c>
      <c r="G920">
        <f>IF(VLOOKUP(A920,'Forecast Z Scores'!$A$1:$N$1541,14,FALSE)&gt;2,VLOOKUP(A920,'Forecast Z Scores'!$A$1:$N$1541,13,FALSE)/VLOOKUP(A920,'Forecast Z Scores'!$A$1:$N$1541,14,FALSE),"Not Enough Data")</f>
        <v>-5.3826283462494989E-2</v>
      </c>
      <c r="H920">
        <v>-7.386611930590431E-2</v>
      </c>
    </row>
    <row r="921" spans="1:8" x14ac:dyDescent="0.35">
      <c r="A921" t="str">
        <f t="shared" si="14"/>
        <v>18097360900_2028</v>
      </c>
      <c r="B921">
        <v>18097360900</v>
      </c>
      <c r="C921">
        <v>2028</v>
      </c>
      <c r="E921">
        <f>-(IF(VLOOKUP(B921,'2023 Z Scores'!$A$1:$K$309,11,FALSE)&gt;2,VLOOKUP(B921,'2023 Z Scores'!$A$1:$K$309,10,FALSE)/VLOOKUP(B921,'2023 Z Scores'!$A$1:$K$309,11,FALSE),"Not Enough data"))</f>
        <v>0.25871632536760703</v>
      </c>
      <c r="F921">
        <f>IF(VLOOKUP(A921,'Delta Z Scores'!$A$1:$N$1541,14,FALSE)&gt;2,VLOOKUP(A921,'Delta Z Scores'!$A$1:$N$1541,13,FALSE)/VLOOKUP(A921,'Delta Z Scores'!$A$1:$N$1541,14,FALSE),"Not Enough Data")</f>
        <v>2.9311515032406792E-2</v>
      </c>
      <c r="G921">
        <f>IF(VLOOKUP(A921,'Forecast Z Scores'!$A$1:$N$1541,14,FALSE)&gt;2,VLOOKUP(A921,'Forecast Z Scores'!$A$1:$N$1541,13,FALSE)/VLOOKUP(A921,'Forecast Z Scores'!$A$1:$N$1541,14,FALSE),"Not Enough Data")</f>
        <v>-7.7583013492098202E-2</v>
      </c>
      <c r="H921">
        <v>5.9939085485080604E-2</v>
      </c>
    </row>
    <row r="922" spans="1:8" x14ac:dyDescent="0.35">
      <c r="A922" t="str">
        <f t="shared" si="14"/>
        <v>18097361000_2024</v>
      </c>
      <c r="B922">
        <v>18097361000</v>
      </c>
      <c r="C922">
        <v>2024</v>
      </c>
      <c r="E922">
        <f>-(IF(VLOOKUP(B922,'2023 Z Scores'!$A$1:$K$309,11,FALSE)&gt;2,VLOOKUP(B922,'2023 Z Scores'!$A$1:$K$309,10,FALSE)/VLOOKUP(B922,'2023 Z Scores'!$A$1:$K$309,11,FALSE),"Not Enough data"))</f>
        <v>-0.48504790516072027</v>
      </c>
      <c r="F922">
        <f>IF(VLOOKUP(A922,'Delta Z Scores'!$A$1:$N$1541,14,FALSE)&gt;2,VLOOKUP(A922,'Delta Z Scores'!$A$1:$N$1541,13,FALSE)/VLOOKUP(A922,'Delta Z Scores'!$A$1:$N$1541,14,FALSE),"Not Enough Data")</f>
        <v>2.9074903775929955E-2</v>
      </c>
      <c r="G922">
        <f>IF(VLOOKUP(A922,'Forecast Z Scores'!$A$1:$N$1541,14,FALSE)&gt;2,VLOOKUP(A922,'Forecast Z Scores'!$A$1:$N$1541,13,FALSE)/VLOOKUP(A922,'Forecast Z Scores'!$A$1:$N$1541,14,FALSE),"Not Enough Data")</f>
        <v>6.5039487493717976E-2</v>
      </c>
      <c r="H922">
        <v>-9.0464652528785605E-2</v>
      </c>
    </row>
    <row r="923" spans="1:8" x14ac:dyDescent="0.35">
      <c r="A923" t="str">
        <f t="shared" si="14"/>
        <v>18097361000_2025</v>
      </c>
      <c r="B923">
        <v>18097361000</v>
      </c>
      <c r="C923">
        <v>2025</v>
      </c>
      <c r="E923">
        <f>-(IF(VLOOKUP(B923,'2023 Z Scores'!$A$1:$K$309,11,FALSE)&gt;2,VLOOKUP(B923,'2023 Z Scores'!$A$1:$K$309,10,FALSE)/VLOOKUP(B923,'2023 Z Scores'!$A$1:$K$309,11,FALSE),"Not Enough data"))</f>
        <v>-0.48504790516072027</v>
      </c>
      <c r="F923">
        <f>IF(VLOOKUP(A923,'Delta Z Scores'!$A$1:$N$1541,14,FALSE)&gt;2,VLOOKUP(A923,'Delta Z Scores'!$A$1:$N$1541,13,FALSE)/VLOOKUP(A923,'Delta Z Scores'!$A$1:$N$1541,14,FALSE),"Not Enough Data")</f>
        <v>2.2425042560024516E-3</v>
      </c>
      <c r="G923">
        <f>IF(VLOOKUP(A923,'Forecast Z Scores'!$A$1:$N$1541,14,FALSE)&gt;2,VLOOKUP(A923,'Forecast Z Scores'!$A$1:$N$1541,13,FALSE)/VLOOKUP(A923,'Forecast Z Scores'!$A$1:$N$1541,14,FALSE),"Not Enough Data")</f>
        <v>5.513800390410712E-2</v>
      </c>
      <c r="H923">
        <v>-0.10635622318615207</v>
      </c>
    </row>
    <row r="924" spans="1:8" x14ac:dyDescent="0.35">
      <c r="A924" t="str">
        <f t="shared" si="14"/>
        <v>18097361000_2026</v>
      </c>
      <c r="B924">
        <v>18097361000</v>
      </c>
      <c r="C924">
        <v>2026</v>
      </c>
      <c r="E924">
        <f>-(IF(VLOOKUP(B924,'2023 Z Scores'!$A$1:$K$309,11,FALSE)&gt;2,VLOOKUP(B924,'2023 Z Scores'!$A$1:$K$309,10,FALSE)/VLOOKUP(B924,'2023 Z Scores'!$A$1:$K$309,11,FALSE),"Not Enough data"))</f>
        <v>-0.48504790516072027</v>
      </c>
      <c r="F924">
        <f>IF(VLOOKUP(A924,'Delta Z Scores'!$A$1:$N$1541,14,FALSE)&gt;2,VLOOKUP(A924,'Delta Z Scores'!$A$1:$N$1541,13,FALSE)/VLOOKUP(A924,'Delta Z Scores'!$A$1:$N$1541,14,FALSE),"Not Enough Data")</f>
        <v>2.4018260844770274E-2</v>
      </c>
      <c r="G924">
        <f>IF(VLOOKUP(A924,'Forecast Z Scores'!$A$1:$N$1541,14,FALSE)&gt;2,VLOOKUP(A924,'Forecast Z Scores'!$A$1:$N$1541,13,FALSE)/VLOOKUP(A924,'Forecast Z Scores'!$A$1:$N$1541,14,FALSE),"Not Enough Data")</f>
        <v>5.3528596841803236E-2</v>
      </c>
      <c r="H924">
        <v>-9.5870696657344129E-2</v>
      </c>
    </row>
    <row r="925" spans="1:8" x14ac:dyDescent="0.35">
      <c r="A925" t="str">
        <f t="shared" si="14"/>
        <v>18097361000_2027</v>
      </c>
      <c r="B925">
        <v>18097361000</v>
      </c>
      <c r="C925">
        <v>2027</v>
      </c>
      <c r="E925">
        <f>-(IF(VLOOKUP(B925,'2023 Z Scores'!$A$1:$K$309,11,FALSE)&gt;2,VLOOKUP(B925,'2023 Z Scores'!$A$1:$K$309,10,FALSE)/VLOOKUP(B925,'2023 Z Scores'!$A$1:$K$309,11,FALSE),"Not Enough data"))</f>
        <v>-0.48504790516072027</v>
      </c>
      <c r="F925">
        <f>IF(VLOOKUP(A925,'Delta Z Scores'!$A$1:$N$1541,14,FALSE)&gt;2,VLOOKUP(A925,'Delta Z Scores'!$A$1:$N$1541,13,FALSE)/VLOOKUP(A925,'Delta Z Scores'!$A$1:$N$1541,14,FALSE),"Not Enough Data")</f>
        <v>-1.1029682186866063E-3</v>
      </c>
      <c r="G925">
        <f>IF(VLOOKUP(A925,'Forecast Z Scores'!$A$1:$N$1541,14,FALSE)&gt;2,VLOOKUP(A925,'Forecast Z Scores'!$A$1:$N$1541,13,FALSE)/VLOOKUP(A925,'Forecast Z Scores'!$A$1:$N$1541,14,FALSE),"Not Enough Data")</f>
        <v>5.4868356320116489E-2</v>
      </c>
      <c r="H925">
        <v>-0.10809637131949425</v>
      </c>
    </row>
    <row r="926" spans="1:8" x14ac:dyDescent="0.35">
      <c r="A926" t="str">
        <f t="shared" si="14"/>
        <v>18097361000_2028</v>
      </c>
      <c r="B926">
        <v>18097361000</v>
      </c>
      <c r="C926">
        <v>2028</v>
      </c>
      <c r="E926">
        <f>-(IF(VLOOKUP(B926,'2023 Z Scores'!$A$1:$K$309,11,FALSE)&gt;2,VLOOKUP(B926,'2023 Z Scores'!$A$1:$K$309,10,FALSE)/VLOOKUP(B926,'2023 Z Scores'!$A$1:$K$309,11,FALSE),"Not Enough data"))</f>
        <v>-0.48504790516072027</v>
      </c>
      <c r="F926">
        <f>IF(VLOOKUP(A926,'Delta Z Scores'!$A$1:$N$1541,14,FALSE)&gt;2,VLOOKUP(A926,'Delta Z Scores'!$A$1:$N$1541,13,FALSE)/VLOOKUP(A926,'Delta Z Scores'!$A$1:$N$1541,14,FALSE),"Not Enough Data")</f>
        <v>2.7799562924553583E-2</v>
      </c>
      <c r="G926">
        <f>IF(VLOOKUP(A926,'Forecast Z Scores'!$A$1:$N$1541,14,FALSE)&gt;2,VLOOKUP(A926,'Forecast Z Scores'!$A$1:$N$1541,13,FALSE)/VLOOKUP(A926,'Forecast Z Scores'!$A$1:$N$1541,14,FALSE),"Not Enough Data")</f>
        <v>5.5307006280953627E-2</v>
      </c>
      <c r="H926">
        <v>-9.3535443257664871E-2</v>
      </c>
    </row>
    <row r="927" spans="1:8" x14ac:dyDescent="0.35">
      <c r="A927" t="str">
        <f t="shared" si="14"/>
        <v>18097361100_2024</v>
      </c>
      <c r="B927">
        <v>18097361100</v>
      </c>
      <c r="C927">
        <v>2024</v>
      </c>
      <c r="E927">
        <f>-(IF(VLOOKUP(B927,'2023 Z Scores'!$A$1:$K$309,11,FALSE)&gt;2,VLOOKUP(B927,'2023 Z Scores'!$A$1:$K$309,10,FALSE)/VLOOKUP(B927,'2023 Z Scores'!$A$1:$K$309,11,FALSE),"Not Enough data"))</f>
        <v>-2.0748471388095817E-2</v>
      </c>
      <c r="F927">
        <f>IF(VLOOKUP(A927,'Delta Z Scores'!$A$1:$N$1541,14,FALSE)&gt;2,VLOOKUP(A927,'Delta Z Scores'!$A$1:$N$1541,13,FALSE)/VLOOKUP(A927,'Delta Z Scores'!$A$1:$N$1541,14,FALSE),"Not Enough Data")</f>
        <v>0.3208249079191744</v>
      </c>
      <c r="G927">
        <f>IF(VLOOKUP(A927,'Forecast Z Scores'!$A$1:$N$1541,14,FALSE)&gt;2,VLOOKUP(A927,'Forecast Z Scores'!$A$1:$N$1541,13,FALSE)/VLOOKUP(A927,'Forecast Z Scores'!$A$1:$N$1541,14,FALSE),"Not Enough Data")</f>
        <v>0.38672516404398521</v>
      </c>
      <c r="H927">
        <v>0.25190662712355955</v>
      </c>
    </row>
    <row r="928" spans="1:8" x14ac:dyDescent="0.35">
      <c r="A928" t="str">
        <f t="shared" si="14"/>
        <v>18097361100_2025</v>
      </c>
      <c r="B928">
        <v>18097361100</v>
      </c>
      <c r="C928">
        <v>2025</v>
      </c>
      <c r="E928">
        <f>-(IF(VLOOKUP(B928,'2023 Z Scores'!$A$1:$K$309,11,FALSE)&gt;2,VLOOKUP(B928,'2023 Z Scores'!$A$1:$K$309,10,FALSE)/VLOOKUP(B928,'2023 Z Scores'!$A$1:$K$309,11,FALSE),"Not Enough data"))</f>
        <v>-2.0748471388095817E-2</v>
      </c>
      <c r="F928">
        <f>IF(VLOOKUP(A928,'Delta Z Scores'!$A$1:$N$1541,14,FALSE)&gt;2,VLOOKUP(A928,'Delta Z Scores'!$A$1:$N$1541,13,FALSE)/VLOOKUP(A928,'Delta Z Scores'!$A$1:$N$1541,14,FALSE),"Not Enough Data")</f>
        <v>0.20820419520633746</v>
      </c>
      <c r="G928">
        <f>IF(VLOOKUP(A928,'Forecast Z Scores'!$A$1:$N$1541,14,FALSE)&gt;2,VLOOKUP(A928,'Forecast Z Scores'!$A$1:$N$1541,13,FALSE)/VLOOKUP(A928,'Forecast Z Scores'!$A$1:$N$1541,14,FALSE),"Not Enough Data")</f>
        <v>0.38819152487846625</v>
      </c>
      <c r="H928">
        <v>0.19596286097576135</v>
      </c>
    </row>
    <row r="929" spans="1:8" x14ac:dyDescent="0.35">
      <c r="A929" t="str">
        <f t="shared" si="14"/>
        <v>18097361100_2026</v>
      </c>
      <c r="B929">
        <v>18097361100</v>
      </c>
      <c r="C929">
        <v>2026</v>
      </c>
      <c r="E929">
        <f>-(IF(VLOOKUP(B929,'2023 Z Scores'!$A$1:$K$309,11,FALSE)&gt;2,VLOOKUP(B929,'2023 Z Scores'!$A$1:$K$309,10,FALSE)/VLOOKUP(B929,'2023 Z Scores'!$A$1:$K$309,11,FALSE),"Not Enough data"))</f>
        <v>-2.0748471388095817E-2</v>
      </c>
      <c r="F929">
        <f>IF(VLOOKUP(A929,'Delta Z Scores'!$A$1:$N$1541,14,FALSE)&gt;2,VLOOKUP(A929,'Delta Z Scores'!$A$1:$N$1541,13,FALSE)/VLOOKUP(A929,'Delta Z Scores'!$A$1:$N$1541,14,FALSE),"Not Enough Data")</f>
        <v>0.36493681232570513</v>
      </c>
      <c r="G929">
        <f>IF(VLOOKUP(A929,'Forecast Z Scores'!$A$1:$N$1541,14,FALSE)&gt;2,VLOOKUP(A929,'Forecast Z Scores'!$A$1:$N$1541,13,FALSE)/VLOOKUP(A929,'Forecast Z Scores'!$A$1:$N$1541,14,FALSE),"Not Enough Data")</f>
        <v>0.39547095866601989</v>
      </c>
      <c r="H929">
        <v>0.27614902798233354</v>
      </c>
    </row>
    <row r="930" spans="1:8" x14ac:dyDescent="0.35">
      <c r="A930" t="str">
        <f t="shared" si="14"/>
        <v>18097361100_2027</v>
      </c>
      <c r="B930">
        <v>18097361100</v>
      </c>
      <c r="C930">
        <v>2027</v>
      </c>
      <c r="E930">
        <f>-(IF(VLOOKUP(B930,'2023 Z Scores'!$A$1:$K$309,11,FALSE)&gt;2,VLOOKUP(B930,'2023 Z Scores'!$A$1:$K$309,10,FALSE)/VLOOKUP(B930,'2023 Z Scores'!$A$1:$K$309,11,FALSE),"Not Enough data"))</f>
        <v>-2.0748471388095817E-2</v>
      </c>
      <c r="F930">
        <f>IF(VLOOKUP(A930,'Delta Z Scores'!$A$1:$N$1541,14,FALSE)&gt;2,VLOOKUP(A930,'Delta Z Scores'!$A$1:$N$1541,13,FALSE)/VLOOKUP(A930,'Delta Z Scores'!$A$1:$N$1541,14,FALSE),"Not Enough Data")</f>
        <v>0.30760756053446831</v>
      </c>
      <c r="G930">
        <f>IF(VLOOKUP(A930,'Forecast Z Scores'!$A$1:$N$1541,14,FALSE)&gt;2,VLOOKUP(A930,'Forecast Z Scores'!$A$1:$N$1541,13,FALSE)/VLOOKUP(A930,'Forecast Z Scores'!$A$1:$N$1541,14,FALSE),"Not Enough Data")</f>
        <v>0.39407293538992272</v>
      </c>
      <c r="H930">
        <v>0.24713489626769089</v>
      </c>
    </row>
    <row r="931" spans="1:8" x14ac:dyDescent="0.35">
      <c r="A931" t="str">
        <f t="shared" si="14"/>
        <v>18097361100_2028</v>
      </c>
      <c r="B931">
        <v>18097361100</v>
      </c>
      <c r="C931">
        <v>2028</v>
      </c>
      <c r="E931">
        <f>-(IF(VLOOKUP(B931,'2023 Z Scores'!$A$1:$K$309,11,FALSE)&gt;2,VLOOKUP(B931,'2023 Z Scores'!$A$1:$K$309,10,FALSE)/VLOOKUP(B931,'2023 Z Scores'!$A$1:$K$309,11,FALSE),"Not Enough data"))</f>
        <v>-2.0748471388095817E-2</v>
      </c>
      <c r="F931">
        <f>IF(VLOOKUP(A931,'Delta Z Scores'!$A$1:$N$1541,14,FALSE)&gt;2,VLOOKUP(A931,'Delta Z Scores'!$A$1:$N$1541,13,FALSE)/VLOOKUP(A931,'Delta Z Scores'!$A$1:$N$1541,14,FALSE),"Not Enough Data")</f>
        <v>0.42302999210777953</v>
      </c>
      <c r="G931">
        <f>IF(VLOOKUP(A931,'Forecast Z Scores'!$A$1:$N$1541,14,FALSE)&gt;2,VLOOKUP(A931,'Forecast Z Scores'!$A$1:$N$1541,13,FALSE)/VLOOKUP(A931,'Forecast Z Scores'!$A$1:$N$1541,14,FALSE),"Not Enough Data")</f>
        <v>0.38748295539704414</v>
      </c>
      <c r="H931">
        <v>0.30319861705612683</v>
      </c>
    </row>
    <row r="932" spans="1:8" x14ac:dyDescent="0.35">
      <c r="A932" t="str">
        <f t="shared" si="14"/>
        <v>18097361200_2024</v>
      </c>
      <c r="B932">
        <v>18097361200</v>
      </c>
      <c r="C932">
        <v>2024</v>
      </c>
      <c r="E932">
        <f>-(IF(VLOOKUP(B932,'2023 Z Scores'!$A$1:$K$309,11,FALSE)&gt;2,VLOOKUP(B932,'2023 Z Scores'!$A$1:$K$309,10,FALSE)/VLOOKUP(B932,'2023 Z Scores'!$A$1:$K$309,11,FALSE),"Not Enough data"))</f>
        <v>0.2256483342195281</v>
      </c>
      <c r="F932">
        <f>IF(VLOOKUP(A932,'Delta Z Scores'!$A$1:$N$1541,14,FALSE)&gt;2,VLOOKUP(A932,'Delta Z Scores'!$A$1:$N$1541,13,FALSE)/VLOOKUP(A932,'Delta Z Scores'!$A$1:$N$1541,14,FALSE),"Not Enough Data")</f>
        <v>0.2249658426238304</v>
      </c>
      <c r="G932">
        <f>IF(VLOOKUP(A932,'Forecast Z Scores'!$A$1:$N$1541,14,FALSE)&gt;2,VLOOKUP(A932,'Forecast Z Scores'!$A$1:$N$1541,13,FALSE)/VLOOKUP(A932,'Forecast Z Scores'!$A$1:$N$1541,14,FALSE),"Not Enough Data")</f>
        <v>4.1701641862455965E-2</v>
      </c>
      <c r="H932">
        <v>0.17932041533241122</v>
      </c>
    </row>
    <row r="933" spans="1:8" x14ac:dyDescent="0.35">
      <c r="A933" t="str">
        <f t="shared" si="14"/>
        <v>18097361200_2025</v>
      </c>
      <c r="B933">
        <v>18097361200</v>
      </c>
      <c r="C933">
        <v>2025</v>
      </c>
      <c r="E933">
        <f>-(IF(VLOOKUP(B933,'2023 Z Scores'!$A$1:$K$309,11,FALSE)&gt;2,VLOOKUP(B933,'2023 Z Scores'!$A$1:$K$309,10,FALSE)/VLOOKUP(B933,'2023 Z Scores'!$A$1:$K$309,11,FALSE),"Not Enough data"))</f>
        <v>0.2256483342195281</v>
      </c>
      <c r="F933">
        <f>IF(VLOOKUP(A933,'Delta Z Scores'!$A$1:$N$1541,14,FALSE)&gt;2,VLOOKUP(A933,'Delta Z Scores'!$A$1:$N$1541,13,FALSE)/VLOOKUP(A933,'Delta Z Scores'!$A$1:$N$1541,14,FALSE),"Not Enough Data")</f>
        <v>3.7674794202670427E-2</v>
      </c>
      <c r="G933">
        <f>IF(VLOOKUP(A933,'Forecast Z Scores'!$A$1:$N$1541,14,FALSE)&gt;2,VLOOKUP(A933,'Forecast Z Scores'!$A$1:$N$1541,13,FALSE)/VLOOKUP(A933,'Forecast Z Scores'!$A$1:$N$1541,14,FALSE),"Not Enough Data")</f>
        <v>4.7623999776336974E-2</v>
      </c>
      <c r="H933">
        <v>8.7155480600301483E-2</v>
      </c>
    </row>
    <row r="934" spans="1:8" x14ac:dyDescent="0.35">
      <c r="A934" t="str">
        <f t="shared" si="14"/>
        <v>18097361200_2026</v>
      </c>
      <c r="B934">
        <v>18097361200</v>
      </c>
      <c r="C934">
        <v>2026</v>
      </c>
      <c r="E934">
        <f>-(IF(VLOOKUP(B934,'2023 Z Scores'!$A$1:$K$309,11,FALSE)&gt;2,VLOOKUP(B934,'2023 Z Scores'!$A$1:$K$309,10,FALSE)/VLOOKUP(B934,'2023 Z Scores'!$A$1:$K$309,11,FALSE),"Not Enough data"))</f>
        <v>0.2256483342195281</v>
      </c>
      <c r="F934">
        <f>IF(VLOOKUP(A934,'Delta Z Scores'!$A$1:$N$1541,14,FALSE)&gt;2,VLOOKUP(A934,'Delta Z Scores'!$A$1:$N$1541,13,FALSE)/VLOOKUP(A934,'Delta Z Scores'!$A$1:$N$1541,14,FALSE),"Not Enough Data")</f>
        <v>-4.4008533393459448E-2</v>
      </c>
      <c r="G934">
        <f>IF(VLOOKUP(A934,'Forecast Z Scores'!$A$1:$N$1541,14,FALSE)&gt;2,VLOOKUP(A934,'Forecast Z Scores'!$A$1:$N$1541,13,FALSE)/VLOOKUP(A934,'Forecast Z Scores'!$A$1:$N$1541,14,FALSE),"Not Enough Data")</f>
        <v>2.9980862420627252E-2</v>
      </c>
      <c r="H934">
        <v>4.1903032463309113E-2</v>
      </c>
    </row>
    <row r="935" spans="1:8" x14ac:dyDescent="0.35">
      <c r="A935" t="str">
        <f t="shared" si="14"/>
        <v>18097361200_2027</v>
      </c>
      <c r="B935">
        <v>18097361200</v>
      </c>
      <c r="C935">
        <v>2027</v>
      </c>
      <c r="E935">
        <f>-(IF(VLOOKUP(B935,'2023 Z Scores'!$A$1:$K$309,11,FALSE)&gt;2,VLOOKUP(B935,'2023 Z Scores'!$A$1:$K$309,10,FALSE)/VLOOKUP(B935,'2023 Z Scores'!$A$1:$K$309,11,FALSE),"Not Enough data"))</f>
        <v>0.2256483342195281</v>
      </c>
      <c r="F935">
        <f>IF(VLOOKUP(A935,'Delta Z Scores'!$A$1:$N$1541,14,FALSE)&gt;2,VLOOKUP(A935,'Delta Z Scores'!$A$1:$N$1541,13,FALSE)/VLOOKUP(A935,'Delta Z Scores'!$A$1:$N$1541,14,FALSE),"Not Enough Data")</f>
        <v>7.5863508663592495E-3</v>
      </c>
      <c r="G935">
        <f>IF(VLOOKUP(A935,'Forecast Z Scores'!$A$1:$N$1541,14,FALSE)&gt;2,VLOOKUP(A935,'Forecast Z Scores'!$A$1:$N$1541,13,FALSE)/VLOOKUP(A935,'Forecast Z Scores'!$A$1:$N$1541,14,FALSE),"Not Enough Data")</f>
        <v>3.8625535488694629E-2</v>
      </c>
      <c r="H935">
        <v>6.9861642860235301E-2</v>
      </c>
    </row>
    <row r="936" spans="1:8" x14ac:dyDescent="0.35">
      <c r="A936" t="str">
        <f t="shared" si="14"/>
        <v>18097361200_2028</v>
      </c>
      <c r="B936">
        <v>18097361200</v>
      </c>
      <c r="C936">
        <v>2028</v>
      </c>
      <c r="E936">
        <f>-(IF(VLOOKUP(B936,'2023 Z Scores'!$A$1:$K$309,11,FALSE)&gt;2,VLOOKUP(B936,'2023 Z Scores'!$A$1:$K$309,10,FALSE)/VLOOKUP(B936,'2023 Z Scores'!$A$1:$K$309,11,FALSE),"Not Enough data"))</f>
        <v>0.2256483342195281</v>
      </c>
      <c r="F936">
        <f>IF(VLOOKUP(A936,'Delta Z Scores'!$A$1:$N$1541,14,FALSE)&gt;2,VLOOKUP(A936,'Delta Z Scores'!$A$1:$N$1541,13,FALSE)/VLOOKUP(A936,'Delta Z Scores'!$A$1:$N$1541,14,FALSE),"Not Enough Data")</f>
        <v>-7.042286847862235E-2</v>
      </c>
      <c r="G936">
        <f>IF(VLOOKUP(A936,'Forecast Z Scores'!$A$1:$N$1541,14,FALSE)&gt;2,VLOOKUP(A936,'Forecast Z Scores'!$A$1:$N$1541,13,FALSE)/VLOOKUP(A936,'Forecast Z Scores'!$A$1:$N$1541,14,FALSE),"Not Enough Data")</f>
        <v>2.5109320034126376E-2</v>
      </c>
      <c r="H936">
        <v>2.7477979324102442E-2</v>
      </c>
    </row>
    <row r="937" spans="1:8" x14ac:dyDescent="0.35">
      <c r="A937" t="str">
        <f t="shared" si="14"/>
        <v>18097361300_2024</v>
      </c>
      <c r="B937">
        <v>18097361300</v>
      </c>
      <c r="C937">
        <v>2024</v>
      </c>
      <c r="E937">
        <f>-(IF(VLOOKUP(B937,'2023 Z Scores'!$A$1:$K$309,11,FALSE)&gt;2,VLOOKUP(B937,'2023 Z Scores'!$A$1:$K$309,10,FALSE)/VLOOKUP(B937,'2023 Z Scores'!$A$1:$K$309,11,FALSE),"Not Enough data"))</f>
        <v>0.49288884061546739</v>
      </c>
      <c r="F937">
        <f>IF(VLOOKUP(A937,'Delta Z Scores'!$A$1:$N$1541,14,FALSE)&gt;2,VLOOKUP(A937,'Delta Z Scores'!$A$1:$N$1541,13,FALSE)/VLOOKUP(A937,'Delta Z Scores'!$A$1:$N$1541,14,FALSE),"Not Enough Data")</f>
        <v>0.11660643614457078</v>
      </c>
      <c r="G937">
        <f>IF(VLOOKUP(A937,'Forecast Z Scores'!$A$1:$N$1541,14,FALSE)&gt;2,VLOOKUP(A937,'Forecast Z Scores'!$A$1:$N$1541,13,FALSE)/VLOOKUP(A937,'Forecast Z Scores'!$A$1:$N$1541,14,FALSE),"Not Enough Data")</f>
        <v>-0.29707695895708619</v>
      </c>
      <c r="H937">
        <v>0.10725618848688069</v>
      </c>
    </row>
    <row r="938" spans="1:8" x14ac:dyDescent="0.35">
      <c r="A938" t="str">
        <f t="shared" si="14"/>
        <v>18097361300_2025</v>
      </c>
      <c r="B938">
        <v>18097361300</v>
      </c>
      <c r="C938">
        <v>2025</v>
      </c>
      <c r="E938">
        <f>-(IF(VLOOKUP(B938,'2023 Z Scores'!$A$1:$K$309,11,FALSE)&gt;2,VLOOKUP(B938,'2023 Z Scores'!$A$1:$K$309,10,FALSE)/VLOOKUP(B938,'2023 Z Scores'!$A$1:$K$309,11,FALSE),"Not Enough data"))</f>
        <v>0.49288884061546739</v>
      </c>
      <c r="F938">
        <f>IF(VLOOKUP(A938,'Delta Z Scores'!$A$1:$N$1541,14,FALSE)&gt;2,VLOOKUP(A938,'Delta Z Scores'!$A$1:$N$1541,13,FALSE)/VLOOKUP(A938,'Delta Z Scores'!$A$1:$N$1541,14,FALSE),"Not Enough Data")</f>
        <v>0.1072831887693414</v>
      </c>
      <c r="G938">
        <f>IF(VLOOKUP(A938,'Forecast Z Scores'!$A$1:$N$1541,14,FALSE)&gt;2,VLOOKUP(A938,'Forecast Z Scores'!$A$1:$N$1541,13,FALSE)/VLOOKUP(A938,'Forecast Z Scores'!$A$1:$N$1541,14,FALSE),"Not Enough Data")</f>
        <v>-0.30342334505554736</v>
      </c>
      <c r="H938">
        <v>0.10100796827465071</v>
      </c>
    </row>
    <row r="939" spans="1:8" x14ac:dyDescent="0.35">
      <c r="A939" t="str">
        <f t="shared" si="14"/>
        <v>18097361300_2026</v>
      </c>
      <c r="B939">
        <v>18097361300</v>
      </c>
      <c r="C939">
        <v>2026</v>
      </c>
      <c r="E939">
        <f>-(IF(VLOOKUP(B939,'2023 Z Scores'!$A$1:$K$309,11,FALSE)&gt;2,VLOOKUP(B939,'2023 Z Scores'!$A$1:$K$309,10,FALSE)/VLOOKUP(B939,'2023 Z Scores'!$A$1:$K$309,11,FALSE),"Not Enough data"))</f>
        <v>0.49288884061546739</v>
      </c>
      <c r="F939">
        <f>IF(VLOOKUP(A939,'Delta Z Scores'!$A$1:$N$1541,14,FALSE)&gt;2,VLOOKUP(A939,'Delta Z Scores'!$A$1:$N$1541,13,FALSE)/VLOOKUP(A939,'Delta Z Scores'!$A$1:$N$1541,14,FALSE),"Not Enough Data")</f>
        <v>0.27286314050377602</v>
      </c>
      <c r="G939">
        <f>IF(VLOOKUP(A939,'Forecast Z Scores'!$A$1:$N$1541,14,FALSE)&gt;2,VLOOKUP(A939,'Forecast Z Scores'!$A$1:$N$1541,13,FALSE)/VLOOKUP(A939,'Forecast Z Scores'!$A$1:$N$1541,14,FALSE),"Not Enough Data")</f>
        <v>-0.29653867854786475</v>
      </c>
      <c r="H939">
        <v>0.18551911076878869</v>
      </c>
    </row>
    <row r="940" spans="1:8" x14ac:dyDescent="0.35">
      <c r="A940" t="str">
        <f t="shared" si="14"/>
        <v>18097361300_2027</v>
      </c>
      <c r="B940">
        <v>18097361300</v>
      </c>
      <c r="C940">
        <v>2027</v>
      </c>
      <c r="E940">
        <f>-(IF(VLOOKUP(B940,'2023 Z Scores'!$A$1:$K$309,11,FALSE)&gt;2,VLOOKUP(B940,'2023 Z Scores'!$A$1:$K$309,10,FALSE)/VLOOKUP(B940,'2023 Z Scores'!$A$1:$K$309,11,FALSE),"Not Enough data"))</f>
        <v>0.49288884061546739</v>
      </c>
      <c r="F940">
        <f>IF(VLOOKUP(A940,'Delta Z Scores'!$A$1:$N$1541,14,FALSE)&gt;2,VLOOKUP(A940,'Delta Z Scores'!$A$1:$N$1541,13,FALSE)/VLOOKUP(A940,'Delta Z Scores'!$A$1:$N$1541,14,FALSE),"Not Enough Data")</f>
        <v>0.26901640591386228</v>
      </c>
      <c r="G940">
        <f>IF(VLOOKUP(A940,'Forecast Z Scores'!$A$1:$N$1541,14,FALSE)&gt;2,VLOOKUP(A940,'Forecast Z Scores'!$A$1:$N$1541,13,FALSE)/VLOOKUP(A940,'Forecast Z Scores'!$A$1:$N$1541,14,FALSE),"Not Enough Data")</f>
        <v>-0.29271779537418868</v>
      </c>
      <c r="H940">
        <v>0.18455096426725082</v>
      </c>
    </row>
    <row r="941" spans="1:8" x14ac:dyDescent="0.35">
      <c r="A941" t="str">
        <f t="shared" si="14"/>
        <v>18097361300_2028</v>
      </c>
      <c r="B941">
        <v>18097361300</v>
      </c>
      <c r="C941">
        <v>2028</v>
      </c>
      <c r="E941">
        <f>-(IF(VLOOKUP(B941,'2023 Z Scores'!$A$1:$K$309,11,FALSE)&gt;2,VLOOKUP(B941,'2023 Z Scores'!$A$1:$K$309,10,FALSE)/VLOOKUP(B941,'2023 Z Scores'!$A$1:$K$309,11,FALSE),"Not Enough data"))</f>
        <v>0.49288884061546739</v>
      </c>
      <c r="F941">
        <f>IF(VLOOKUP(A941,'Delta Z Scores'!$A$1:$N$1541,14,FALSE)&gt;2,VLOOKUP(A941,'Delta Z Scores'!$A$1:$N$1541,13,FALSE)/VLOOKUP(A941,'Delta Z Scores'!$A$1:$N$1541,14,FALSE),"Not Enough Data")</f>
        <v>0.32362118735293371</v>
      </c>
      <c r="G941">
        <f>IF(VLOOKUP(A941,'Forecast Z Scores'!$A$1:$N$1541,14,FALSE)&gt;2,VLOOKUP(A941,'Forecast Z Scores'!$A$1:$N$1541,13,FALSE)/VLOOKUP(A941,'Forecast Z Scores'!$A$1:$N$1541,14,FALSE),"Not Enough Data")</f>
        <v>-0.29377753472927004</v>
      </c>
      <c r="H941">
        <v>0.21158842014801621</v>
      </c>
    </row>
    <row r="942" spans="1:8" x14ac:dyDescent="0.35">
      <c r="A942" t="str">
        <f t="shared" si="14"/>
        <v>18097361401_2024</v>
      </c>
      <c r="B942">
        <v>18097361401</v>
      </c>
      <c r="C942">
        <v>2024</v>
      </c>
      <c r="E942">
        <f>-(IF(VLOOKUP(B942,'2023 Z Scores'!$A$1:$K$309,11,FALSE)&gt;2,VLOOKUP(B942,'2023 Z Scores'!$A$1:$K$309,10,FALSE)/VLOOKUP(B942,'2023 Z Scores'!$A$1:$K$309,11,FALSE),"Not Enough data"))</f>
        <v>-0.37855444546551797</v>
      </c>
      <c r="F942">
        <f>IF(VLOOKUP(A942,'Delta Z Scores'!$A$1:$N$1541,14,FALSE)&gt;2,VLOOKUP(A942,'Delta Z Scores'!$A$1:$N$1541,13,FALSE)/VLOOKUP(A942,'Delta Z Scores'!$A$1:$N$1541,14,FALSE),"Not Enough Data")</f>
        <v>-0.18239564920283888</v>
      </c>
      <c r="G942">
        <f>IF(VLOOKUP(A942,'Forecast Z Scores'!$A$1:$N$1541,14,FALSE)&gt;2,VLOOKUP(A942,'Forecast Z Scores'!$A$1:$N$1541,13,FALSE)/VLOOKUP(A942,'Forecast Z Scores'!$A$1:$N$1541,14,FALSE),"Not Enough Data")</f>
        <v>0.16219843744151499</v>
      </c>
      <c r="H942">
        <v>-0.14528682660742018</v>
      </c>
    </row>
    <row r="943" spans="1:8" x14ac:dyDescent="0.35">
      <c r="A943" t="str">
        <f t="shared" si="14"/>
        <v>18097361401_2025</v>
      </c>
      <c r="B943">
        <v>18097361401</v>
      </c>
      <c r="C943">
        <v>2025</v>
      </c>
      <c r="E943">
        <f>-(IF(VLOOKUP(B943,'2023 Z Scores'!$A$1:$K$309,11,FALSE)&gt;2,VLOOKUP(B943,'2023 Z Scores'!$A$1:$K$309,10,FALSE)/VLOOKUP(B943,'2023 Z Scores'!$A$1:$K$309,11,FALSE),"Not Enough data"))</f>
        <v>-0.37855444546551797</v>
      </c>
      <c r="F943">
        <f>IF(VLOOKUP(A943,'Delta Z Scores'!$A$1:$N$1541,14,FALSE)&gt;2,VLOOKUP(A943,'Delta Z Scores'!$A$1:$N$1541,13,FALSE)/VLOOKUP(A943,'Delta Z Scores'!$A$1:$N$1541,14,FALSE),"Not Enough Data")</f>
        <v>-0.35498123556688804</v>
      </c>
      <c r="G943">
        <f>IF(VLOOKUP(A943,'Forecast Z Scores'!$A$1:$N$1541,14,FALSE)&gt;2,VLOOKUP(A943,'Forecast Z Scores'!$A$1:$N$1541,13,FALSE)/VLOOKUP(A943,'Forecast Z Scores'!$A$1:$N$1541,14,FALSE),"Not Enough Data")</f>
        <v>0.17512036025882935</v>
      </c>
      <c r="H943">
        <v>-0.22834913908511617</v>
      </c>
    </row>
    <row r="944" spans="1:8" x14ac:dyDescent="0.35">
      <c r="A944" t="str">
        <f t="shared" si="14"/>
        <v>18097361401_2026</v>
      </c>
      <c r="B944">
        <v>18097361401</v>
      </c>
      <c r="C944">
        <v>2026</v>
      </c>
      <c r="E944">
        <f>-(IF(VLOOKUP(B944,'2023 Z Scores'!$A$1:$K$309,11,FALSE)&gt;2,VLOOKUP(B944,'2023 Z Scores'!$A$1:$K$309,10,FALSE)/VLOOKUP(B944,'2023 Z Scores'!$A$1:$K$309,11,FALSE),"Not Enough data"))</f>
        <v>-0.37855444546551797</v>
      </c>
      <c r="F944">
        <f>IF(VLOOKUP(A944,'Delta Z Scores'!$A$1:$N$1541,14,FALSE)&gt;2,VLOOKUP(A944,'Delta Z Scores'!$A$1:$N$1541,13,FALSE)/VLOOKUP(A944,'Delta Z Scores'!$A$1:$N$1541,14,FALSE),"Not Enough Data")</f>
        <v>-0.47575087677717748</v>
      </c>
      <c r="G944">
        <f>IF(VLOOKUP(A944,'Forecast Z Scores'!$A$1:$N$1541,14,FALSE)&gt;2,VLOOKUP(A944,'Forecast Z Scores'!$A$1:$N$1541,13,FALSE)/VLOOKUP(A944,'Forecast Z Scores'!$A$1:$N$1541,14,FALSE),"Not Enough Data")</f>
        <v>0.13164686512908227</v>
      </c>
      <c r="H944">
        <v>-0.29960233347269766</v>
      </c>
    </row>
    <row r="945" spans="1:8" x14ac:dyDescent="0.35">
      <c r="A945" t="str">
        <f t="shared" si="14"/>
        <v>18097361401_2027</v>
      </c>
      <c r="B945">
        <v>18097361401</v>
      </c>
      <c r="C945">
        <v>2027</v>
      </c>
      <c r="E945">
        <f>-(IF(VLOOKUP(B945,'2023 Z Scores'!$A$1:$K$309,11,FALSE)&gt;2,VLOOKUP(B945,'2023 Z Scores'!$A$1:$K$309,10,FALSE)/VLOOKUP(B945,'2023 Z Scores'!$A$1:$K$309,11,FALSE),"Not Enough data"))</f>
        <v>-0.37855444546551797</v>
      </c>
      <c r="F945">
        <f>IF(VLOOKUP(A945,'Delta Z Scores'!$A$1:$N$1541,14,FALSE)&gt;2,VLOOKUP(A945,'Delta Z Scores'!$A$1:$N$1541,13,FALSE)/VLOOKUP(A945,'Delta Z Scores'!$A$1:$N$1541,14,FALSE),"Not Enough Data")</f>
        <v>-0.35183866213579185</v>
      </c>
      <c r="G945">
        <f>IF(VLOOKUP(A945,'Forecast Z Scores'!$A$1:$N$1541,14,FALSE)&gt;2,VLOOKUP(A945,'Forecast Z Scores'!$A$1:$N$1541,13,FALSE)/VLOOKUP(A945,'Forecast Z Scores'!$A$1:$N$1541,14,FALSE),"Not Enough Data")</f>
        <v>0.12226156853526894</v>
      </c>
      <c r="H945">
        <v>-0.23999255030045819</v>
      </c>
    </row>
    <row r="946" spans="1:8" x14ac:dyDescent="0.35">
      <c r="A946" t="str">
        <f t="shared" si="14"/>
        <v>18097361401_2028</v>
      </c>
      <c r="B946">
        <v>18097361401</v>
      </c>
      <c r="C946">
        <v>2028</v>
      </c>
      <c r="E946">
        <f>-(IF(VLOOKUP(B946,'2023 Z Scores'!$A$1:$K$309,11,FALSE)&gt;2,VLOOKUP(B946,'2023 Z Scores'!$A$1:$K$309,10,FALSE)/VLOOKUP(B946,'2023 Z Scores'!$A$1:$K$309,11,FALSE),"Not Enough data"))</f>
        <v>-0.37855444546551797</v>
      </c>
      <c r="F946">
        <f>IF(VLOOKUP(A946,'Delta Z Scores'!$A$1:$N$1541,14,FALSE)&gt;2,VLOOKUP(A946,'Delta Z Scores'!$A$1:$N$1541,13,FALSE)/VLOOKUP(A946,'Delta Z Scores'!$A$1:$N$1541,14,FALSE),"Not Enough Data")</f>
        <v>-0.36885742906769842</v>
      </c>
      <c r="G946">
        <f>IF(VLOOKUP(A946,'Forecast Z Scores'!$A$1:$N$1541,14,FALSE)&gt;2,VLOOKUP(A946,'Forecast Z Scores'!$A$1:$N$1541,13,FALSE)/VLOOKUP(A946,'Forecast Z Scores'!$A$1:$N$1541,14,FALSE),"Not Enough Data")</f>
        <v>9.3678858212293978E-2</v>
      </c>
      <c r="H946">
        <v>-0.25564761134715519</v>
      </c>
    </row>
    <row r="947" spans="1:8" x14ac:dyDescent="0.35">
      <c r="A947" t="str">
        <f t="shared" si="14"/>
        <v>18097361402_2024</v>
      </c>
      <c r="B947">
        <v>18097361402</v>
      </c>
      <c r="C947">
        <v>2024</v>
      </c>
      <c r="E947">
        <f>-(IF(VLOOKUP(B947,'2023 Z Scores'!$A$1:$K$309,11,FALSE)&gt;2,VLOOKUP(B947,'2023 Z Scores'!$A$1:$K$309,10,FALSE)/VLOOKUP(B947,'2023 Z Scores'!$A$1:$K$309,11,FALSE),"Not Enough data"))</f>
        <v>1.8784772716883874E-3</v>
      </c>
      <c r="F947">
        <f>IF(VLOOKUP(A947,'Delta Z Scores'!$A$1:$N$1541,14,FALSE)&gt;2,VLOOKUP(A947,'Delta Z Scores'!$A$1:$N$1541,13,FALSE)/VLOOKUP(A947,'Delta Z Scores'!$A$1:$N$1541,14,FALSE),"Not Enough Data")</f>
        <v>0.16758604683911338</v>
      </c>
      <c r="G947">
        <f>IF(VLOOKUP(A947,'Forecast Z Scores'!$A$1:$N$1541,14,FALSE)&gt;2,VLOOKUP(A947,'Forecast Z Scores'!$A$1:$N$1541,13,FALSE)/VLOOKUP(A947,'Forecast Z Scores'!$A$1:$N$1541,14,FALSE),"Not Enough Data")</f>
        <v>0.28369830448615768</v>
      </c>
      <c r="H947">
        <v>0.15518721885901821</v>
      </c>
    </row>
    <row r="948" spans="1:8" x14ac:dyDescent="0.35">
      <c r="A948" t="str">
        <f t="shared" si="14"/>
        <v>18097361402_2025</v>
      </c>
      <c r="B948">
        <v>18097361402</v>
      </c>
      <c r="C948">
        <v>2025</v>
      </c>
      <c r="E948">
        <f>-(IF(VLOOKUP(B948,'2023 Z Scores'!$A$1:$K$309,11,FALSE)&gt;2,VLOOKUP(B948,'2023 Z Scores'!$A$1:$K$309,10,FALSE)/VLOOKUP(B948,'2023 Z Scores'!$A$1:$K$309,11,FALSE),"Not Enough data"))</f>
        <v>1.8784772716883874E-3</v>
      </c>
      <c r="F948">
        <f>IF(VLOOKUP(A948,'Delta Z Scores'!$A$1:$N$1541,14,FALSE)&gt;2,VLOOKUP(A948,'Delta Z Scores'!$A$1:$N$1541,13,FALSE)/VLOOKUP(A948,'Delta Z Scores'!$A$1:$N$1541,14,FALSE),"Not Enough Data")</f>
        <v>0.2446641431961577</v>
      </c>
      <c r="G948">
        <f>IF(VLOOKUP(A948,'Forecast Z Scores'!$A$1:$N$1541,14,FALSE)&gt;2,VLOOKUP(A948,'Forecast Z Scores'!$A$1:$N$1541,13,FALSE)/VLOOKUP(A948,'Forecast Z Scores'!$A$1:$N$1541,14,FALSE),"Not Enough Data")</f>
        <v>0.25854627511563394</v>
      </c>
      <c r="H948">
        <v>0.18743825969490946</v>
      </c>
    </row>
    <row r="949" spans="1:8" x14ac:dyDescent="0.35">
      <c r="A949" t="str">
        <f t="shared" si="14"/>
        <v>18097361402_2026</v>
      </c>
      <c r="B949">
        <v>18097361402</v>
      </c>
      <c r="C949">
        <v>2026</v>
      </c>
      <c r="E949">
        <f>-(IF(VLOOKUP(B949,'2023 Z Scores'!$A$1:$K$309,11,FALSE)&gt;2,VLOOKUP(B949,'2023 Z Scores'!$A$1:$K$309,10,FALSE)/VLOOKUP(B949,'2023 Z Scores'!$A$1:$K$309,11,FALSE),"Not Enough data"))</f>
        <v>1.8784772716883874E-3</v>
      </c>
      <c r="F949">
        <f>IF(VLOOKUP(A949,'Delta Z Scores'!$A$1:$N$1541,14,FALSE)&gt;2,VLOOKUP(A949,'Delta Z Scores'!$A$1:$N$1541,13,FALSE)/VLOOKUP(A949,'Delta Z Scores'!$A$1:$N$1541,14,FALSE),"Not Enough Data")</f>
        <v>0.10477452440823146</v>
      </c>
      <c r="G949">
        <f>IF(VLOOKUP(A949,'Forecast Z Scores'!$A$1:$N$1541,14,FALSE)&gt;2,VLOOKUP(A949,'Forecast Z Scores'!$A$1:$N$1541,13,FALSE)/VLOOKUP(A949,'Forecast Z Scores'!$A$1:$N$1541,14,FALSE),"Not Enough Data")</f>
        <v>0.2659172176859973</v>
      </c>
      <c r="H949">
        <v>0.11933618594353715</v>
      </c>
    </row>
    <row r="950" spans="1:8" x14ac:dyDescent="0.35">
      <c r="A950" t="str">
        <f t="shared" si="14"/>
        <v>18097361402_2027</v>
      </c>
      <c r="B950">
        <v>18097361402</v>
      </c>
      <c r="C950">
        <v>2027</v>
      </c>
      <c r="E950">
        <f>-(IF(VLOOKUP(B950,'2023 Z Scores'!$A$1:$K$309,11,FALSE)&gt;2,VLOOKUP(B950,'2023 Z Scores'!$A$1:$K$309,10,FALSE)/VLOOKUP(B950,'2023 Z Scores'!$A$1:$K$309,11,FALSE),"Not Enough data"))</f>
        <v>1.8784772716883874E-3</v>
      </c>
      <c r="F950">
        <f>IF(VLOOKUP(A950,'Delta Z Scores'!$A$1:$N$1541,14,FALSE)&gt;2,VLOOKUP(A950,'Delta Z Scores'!$A$1:$N$1541,13,FALSE)/VLOOKUP(A950,'Delta Z Scores'!$A$1:$N$1541,14,FALSE),"Not Enough Data")</f>
        <v>0.31735279742172123</v>
      </c>
      <c r="G950">
        <f>IF(VLOOKUP(A950,'Forecast Z Scores'!$A$1:$N$1541,14,FALSE)&gt;2,VLOOKUP(A950,'Forecast Z Scores'!$A$1:$N$1541,13,FALSE)/VLOOKUP(A950,'Forecast Z Scores'!$A$1:$N$1541,14,FALSE),"Not Enough Data")</f>
        <v>0.24105996712971281</v>
      </c>
      <c r="H950">
        <v>0.21941100981121092</v>
      </c>
    </row>
    <row r="951" spans="1:8" x14ac:dyDescent="0.35">
      <c r="A951" t="str">
        <f t="shared" si="14"/>
        <v>18097361402_2028</v>
      </c>
      <c r="B951">
        <v>18097361402</v>
      </c>
      <c r="C951">
        <v>2028</v>
      </c>
      <c r="E951">
        <f>-(IF(VLOOKUP(B951,'2023 Z Scores'!$A$1:$K$309,11,FALSE)&gt;2,VLOOKUP(B951,'2023 Z Scores'!$A$1:$K$309,10,FALSE)/VLOOKUP(B951,'2023 Z Scores'!$A$1:$K$309,11,FALSE),"Not Enough data"))</f>
        <v>1.8784772716883874E-3</v>
      </c>
      <c r="F951">
        <f>IF(VLOOKUP(A951,'Delta Z Scores'!$A$1:$N$1541,14,FALSE)&gt;2,VLOOKUP(A951,'Delta Z Scores'!$A$1:$N$1541,13,FALSE)/VLOOKUP(A951,'Delta Z Scores'!$A$1:$N$1541,14,FALSE),"Not Enough Data")</f>
        <v>8.8167320126563059E-2</v>
      </c>
      <c r="G951">
        <f>IF(VLOOKUP(A951,'Forecast Z Scores'!$A$1:$N$1541,14,FALSE)&gt;2,VLOOKUP(A951,'Forecast Z Scores'!$A$1:$N$1541,13,FALSE)/VLOOKUP(A951,'Forecast Z Scores'!$A$1:$N$1541,14,FALSE),"Not Enough Data")</f>
        <v>0.24007360300593081</v>
      </c>
      <c r="H951">
        <v>0.10457168013268632</v>
      </c>
    </row>
    <row r="952" spans="1:8" x14ac:dyDescent="0.35">
      <c r="A952" t="str">
        <f t="shared" si="14"/>
        <v>18097361601_2024</v>
      </c>
      <c r="B952">
        <v>18097361601</v>
      </c>
      <c r="C952">
        <v>2024</v>
      </c>
      <c r="E952">
        <f>-(IF(VLOOKUP(B952,'2023 Z Scores'!$A$1:$K$309,11,FALSE)&gt;2,VLOOKUP(B952,'2023 Z Scores'!$A$1:$K$309,10,FALSE)/VLOOKUP(B952,'2023 Z Scores'!$A$1:$K$309,11,FALSE),"Not Enough data"))</f>
        <v>-0.68769566613393873</v>
      </c>
      <c r="F952">
        <f>IF(VLOOKUP(A952,'Delta Z Scores'!$A$1:$N$1541,14,FALSE)&gt;2,VLOOKUP(A952,'Delta Z Scores'!$A$1:$N$1541,13,FALSE)/VLOOKUP(A952,'Delta Z Scores'!$A$1:$N$1541,14,FALSE),"Not Enough Data")</f>
        <v>6.6999558048130414E-3</v>
      </c>
      <c r="G952">
        <f>IF(VLOOKUP(A952,'Forecast Z Scores'!$A$1:$N$1541,14,FALSE)&gt;2,VLOOKUP(A952,'Forecast Z Scores'!$A$1:$N$1541,13,FALSE)/VLOOKUP(A952,'Forecast Z Scores'!$A$1:$N$1541,14,FALSE),"Not Enough Data")</f>
        <v>0.21755080842736918</v>
      </c>
      <c r="H952">
        <v>-0.11418623652423587</v>
      </c>
    </row>
    <row r="953" spans="1:8" x14ac:dyDescent="0.35">
      <c r="A953" t="str">
        <f t="shared" si="14"/>
        <v>18097361601_2025</v>
      </c>
      <c r="B953">
        <v>18097361601</v>
      </c>
      <c r="C953">
        <v>2025</v>
      </c>
      <c r="E953">
        <f>-(IF(VLOOKUP(B953,'2023 Z Scores'!$A$1:$K$309,11,FALSE)&gt;2,VLOOKUP(B953,'2023 Z Scores'!$A$1:$K$309,10,FALSE)/VLOOKUP(B953,'2023 Z Scores'!$A$1:$K$309,11,FALSE),"Not Enough data"))</f>
        <v>-0.68769566613393873</v>
      </c>
      <c r="F953">
        <f>IF(VLOOKUP(A953,'Delta Z Scores'!$A$1:$N$1541,14,FALSE)&gt;2,VLOOKUP(A953,'Delta Z Scores'!$A$1:$N$1541,13,FALSE)/VLOOKUP(A953,'Delta Z Scores'!$A$1:$N$1541,14,FALSE),"Not Enough Data")</f>
        <v>1.0442326982160084</v>
      </c>
      <c r="G953">
        <f>IF(VLOOKUP(A953,'Forecast Z Scores'!$A$1:$N$1541,14,FALSE)&gt;2,VLOOKUP(A953,'Forecast Z Scores'!$A$1:$N$1541,13,FALSE)/VLOOKUP(A953,'Forecast Z Scores'!$A$1:$N$1541,14,FALSE),"Not Enough Data")</f>
        <v>0.35589258340177182</v>
      </c>
      <c r="H953">
        <v>0.4391655784249624</v>
      </c>
    </row>
    <row r="954" spans="1:8" x14ac:dyDescent="0.35">
      <c r="A954" t="str">
        <f t="shared" si="14"/>
        <v>18097361601_2026</v>
      </c>
      <c r="B954">
        <v>18097361601</v>
      </c>
      <c r="C954">
        <v>2026</v>
      </c>
      <c r="E954">
        <f>-(IF(VLOOKUP(B954,'2023 Z Scores'!$A$1:$K$309,11,FALSE)&gt;2,VLOOKUP(B954,'2023 Z Scores'!$A$1:$K$309,10,FALSE)/VLOOKUP(B954,'2023 Z Scores'!$A$1:$K$309,11,FALSE),"Not Enough data"))</f>
        <v>-0.68769566613393873</v>
      </c>
      <c r="F954">
        <f>IF(VLOOKUP(A954,'Delta Z Scores'!$A$1:$N$1541,14,FALSE)&gt;2,VLOOKUP(A954,'Delta Z Scores'!$A$1:$N$1541,13,FALSE)/VLOOKUP(A954,'Delta Z Scores'!$A$1:$N$1541,14,FALSE),"Not Enough Data")</f>
        <v>1.3781663567583577</v>
      </c>
      <c r="G954">
        <f>IF(VLOOKUP(A954,'Forecast Z Scores'!$A$1:$N$1541,14,FALSE)&gt;2,VLOOKUP(A954,'Forecast Z Scores'!$A$1:$N$1541,13,FALSE)/VLOOKUP(A954,'Forecast Z Scores'!$A$1:$N$1541,14,FALSE),"Not Enough Data")</f>
        <v>0.61888648520007894</v>
      </c>
      <c r="H954">
        <v>0.67188088314571393</v>
      </c>
    </row>
    <row r="955" spans="1:8" x14ac:dyDescent="0.35">
      <c r="A955" t="str">
        <f t="shared" si="14"/>
        <v>18097361601_2027</v>
      </c>
      <c r="B955">
        <v>18097361601</v>
      </c>
      <c r="C955">
        <v>2027</v>
      </c>
      <c r="E955">
        <f>-(IF(VLOOKUP(B955,'2023 Z Scores'!$A$1:$K$309,11,FALSE)&gt;2,VLOOKUP(B955,'2023 Z Scores'!$A$1:$K$309,10,FALSE)/VLOOKUP(B955,'2023 Z Scores'!$A$1:$K$309,11,FALSE),"Not Enough data"))</f>
        <v>-0.68769566613393873</v>
      </c>
      <c r="F955">
        <f>IF(VLOOKUP(A955,'Delta Z Scores'!$A$1:$N$1541,14,FALSE)&gt;2,VLOOKUP(A955,'Delta Z Scores'!$A$1:$N$1541,13,FALSE)/VLOOKUP(A955,'Delta Z Scores'!$A$1:$N$1541,14,FALSE),"Not Enough Data")</f>
        <v>0.8747244589969434</v>
      </c>
      <c r="G955">
        <f>IF(VLOOKUP(A955,'Forecast Z Scores'!$A$1:$N$1541,14,FALSE)&gt;2,VLOOKUP(A955,'Forecast Z Scores'!$A$1:$N$1541,13,FALSE)/VLOOKUP(A955,'Forecast Z Scores'!$A$1:$N$1541,14,FALSE),"Not Enough Data")</f>
        <v>0.85240916897599328</v>
      </c>
      <c r="H955">
        <v>0.47854060520898534</v>
      </c>
    </row>
    <row r="956" spans="1:8" x14ac:dyDescent="0.35">
      <c r="A956" t="str">
        <f t="shared" si="14"/>
        <v>18097361601_2028</v>
      </c>
      <c r="B956">
        <v>18097361601</v>
      </c>
      <c r="C956">
        <v>2028</v>
      </c>
      <c r="E956">
        <f>-(IF(VLOOKUP(B956,'2023 Z Scores'!$A$1:$K$309,11,FALSE)&gt;2,VLOOKUP(B956,'2023 Z Scores'!$A$1:$K$309,10,FALSE)/VLOOKUP(B956,'2023 Z Scores'!$A$1:$K$309,11,FALSE),"Not Enough data"))</f>
        <v>-0.68769566613393873</v>
      </c>
      <c r="F956">
        <f>IF(VLOOKUP(A956,'Delta Z Scores'!$A$1:$N$1541,14,FALSE)&gt;2,VLOOKUP(A956,'Delta Z Scores'!$A$1:$N$1541,13,FALSE)/VLOOKUP(A956,'Delta Z Scores'!$A$1:$N$1541,14,FALSE),"Not Enough Data")</f>
        <v>0.2366811503793155</v>
      </c>
      <c r="G956">
        <f>IF(VLOOKUP(A956,'Forecast Z Scores'!$A$1:$N$1541,14,FALSE)&gt;2,VLOOKUP(A956,'Forecast Z Scores'!$A$1:$N$1541,13,FALSE)/VLOOKUP(A956,'Forecast Z Scores'!$A$1:$N$1541,14,FALSE),"Not Enough Data")</f>
        <v>0.79222431366108204</v>
      </c>
      <c r="H956">
        <v>0.14447273707144356</v>
      </c>
    </row>
    <row r="957" spans="1:8" x14ac:dyDescent="0.35">
      <c r="A957" t="str">
        <f t="shared" si="14"/>
        <v>18097361602_2024</v>
      </c>
      <c r="B957">
        <v>18097361602</v>
      </c>
      <c r="C957">
        <v>2024</v>
      </c>
      <c r="E957">
        <f>-(IF(VLOOKUP(B957,'2023 Z Scores'!$A$1:$K$309,11,FALSE)&gt;2,VLOOKUP(B957,'2023 Z Scores'!$A$1:$K$309,10,FALSE)/VLOOKUP(B957,'2023 Z Scores'!$A$1:$K$309,11,FALSE),"Not Enough data"))</f>
        <v>-0.31930133368289637</v>
      </c>
      <c r="F957">
        <f>IF(VLOOKUP(A957,'Delta Z Scores'!$A$1:$N$1541,14,FALSE)&gt;2,VLOOKUP(A957,'Delta Z Scores'!$A$1:$N$1541,13,FALSE)/VLOOKUP(A957,'Delta Z Scores'!$A$1:$N$1541,14,FALSE),"Not Enough Data")</f>
        <v>-0.72301429521717586</v>
      </c>
      <c r="G957">
        <f>IF(VLOOKUP(A957,'Forecast Z Scores'!$A$1:$N$1541,14,FALSE)&gt;2,VLOOKUP(A957,'Forecast Z Scores'!$A$1:$N$1541,13,FALSE)/VLOOKUP(A957,'Forecast Z Scores'!$A$1:$N$1541,14,FALSE),"Not Enough Data")</f>
        <v>0.35661707755033339</v>
      </c>
      <c r="H957">
        <v>-0.35217821164172869</v>
      </c>
    </row>
    <row r="958" spans="1:8" x14ac:dyDescent="0.35">
      <c r="A958" t="str">
        <f t="shared" si="14"/>
        <v>18097361602_2025</v>
      </c>
      <c r="B958">
        <v>18097361602</v>
      </c>
      <c r="C958">
        <v>2025</v>
      </c>
      <c r="E958">
        <f>-(IF(VLOOKUP(B958,'2023 Z Scores'!$A$1:$K$309,11,FALSE)&gt;2,VLOOKUP(B958,'2023 Z Scores'!$A$1:$K$309,10,FALSE)/VLOOKUP(B958,'2023 Z Scores'!$A$1:$K$309,11,FALSE),"Not Enough data"))</f>
        <v>-0.31930133368289637</v>
      </c>
      <c r="F958">
        <f>IF(VLOOKUP(A958,'Delta Z Scores'!$A$1:$N$1541,14,FALSE)&gt;2,VLOOKUP(A958,'Delta Z Scores'!$A$1:$N$1541,13,FALSE)/VLOOKUP(A958,'Delta Z Scores'!$A$1:$N$1541,14,FALSE),"Not Enough Data")</f>
        <v>0.90709706210090635</v>
      </c>
      <c r="G958">
        <f>IF(VLOOKUP(A958,'Forecast Z Scores'!$A$1:$N$1541,14,FALSE)&gt;2,VLOOKUP(A958,'Forecast Z Scores'!$A$1:$N$1541,13,FALSE)/VLOOKUP(A958,'Forecast Z Scores'!$A$1:$N$1541,14,FALSE),"Not Enough Data")</f>
        <v>0.46118782184081847</v>
      </c>
      <c r="H958">
        <v>0.48902015308993374</v>
      </c>
    </row>
    <row r="959" spans="1:8" x14ac:dyDescent="0.35">
      <c r="A959" t="str">
        <f t="shared" si="14"/>
        <v>18097361602_2026</v>
      </c>
      <c r="B959">
        <v>18097361602</v>
      </c>
      <c r="C959">
        <v>2026</v>
      </c>
      <c r="E959">
        <f>-(IF(VLOOKUP(B959,'2023 Z Scores'!$A$1:$K$309,11,FALSE)&gt;2,VLOOKUP(B959,'2023 Z Scores'!$A$1:$K$309,10,FALSE)/VLOOKUP(B959,'2023 Z Scores'!$A$1:$K$309,11,FALSE),"Not Enough data"))</f>
        <v>-0.31930133368289637</v>
      </c>
      <c r="F959">
        <f>IF(VLOOKUP(A959,'Delta Z Scores'!$A$1:$N$1541,14,FALSE)&gt;2,VLOOKUP(A959,'Delta Z Scores'!$A$1:$N$1541,13,FALSE)/VLOOKUP(A959,'Delta Z Scores'!$A$1:$N$1541,14,FALSE),"Not Enough Data")</f>
        <v>-1.9247332697810553</v>
      </c>
      <c r="G959">
        <f>IF(VLOOKUP(A959,'Forecast Z Scores'!$A$1:$N$1541,14,FALSE)&gt;2,VLOOKUP(A959,'Forecast Z Scores'!$A$1:$N$1541,13,FALSE)/VLOOKUP(A959,'Forecast Z Scores'!$A$1:$N$1541,14,FALSE),"Not Enough Data")</f>
        <v>0.23387878486844588</v>
      </c>
      <c r="H959">
        <v>-0.9837222720941402</v>
      </c>
    </row>
    <row r="960" spans="1:8" x14ac:dyDescent="0.35">
      <c r="A960" t="str">
        <f t="shared" si="14"/>
        <v>18097361602_2027</v>
      </c>
      <c r="B960">
        <v>18097361602</v>
      </c>
      <c r="C960">
        <v>2027</v>
      </c>
      <c r="E960">
        <f>-(IF(VLOOKUP(B960,'2023 Z Scores'!$A$1:$K$309,11,FALSE)&gt;2,VLOOKUP(B960,'2023 Z Scores'!$A$1:$K$309,10,FALSE)/VLOOKUP(B960,'2023 Z Scores'!$A$1:$K$309,11,FALSE),"Not Enough data"))</f>
        <v>-0.31930133368289637</v>
      </c>
      <c r="F960">
        <f>IF(VLOOKUP(A960,'Delta Z Scores'!$A$1:$N$1541,14,FALSE)&gt;2,VLOOKUP(A960,'Delta Z Scores'!$A$1:$N$1541,13,FALSE)/VLOOKUP(A960,'Delta Z Scores'!$A$1:$N$1541,14,FALSE),"Not Enough Data")</f>
        <v>0.934243872779559</v>
      </c>
      <c r="G960">
        <f>IF(VLOOKUP(A960,'Forecast Z Scores'!$A$1:$N$1541,14,FALSE)&gt;2,VLOOKUP(A960,'Forecast Z Scores'!$A$1:$N$1541,13,FALSE)/VLOOKUP(A960,'Forecast Z Scores'!$A$1:$N$1541,14,FALSE),"Not Enough Data")</f>
        <v>0.31480308841966809</v>
      </c>
      <c r="H960">
        <v>0.46599737507397243</v>
      </c>
    </row>
    <row r="961" spans="1:8" x14ac:dyDescent="0.35">
      <c r="A961" t="str">
        <f t="shared" si="14"/>
        <v>18097361602_2028</v>
      </c>
      <c r="B961">
        <v>18097361602</v>
      </c>
      <c r="C961">
        <v>2028</v>
      </c>
      <c r="E961">
        <f>-(IF(VLOOKUP(B961,'2023 Z Scores'!$A$1:$K$309,11,FALSE)&gt;2,VLOOKUP(B961,'2023 Z Scores'!$A$1:$K$309,10,FALSE)/VLOOKUP(B961,'2023 Z Scores'!$A$1:$K$309,11,FALSE),"Not Enough data"))</f>
        <v>-0.31930133368289637</v>
      </c>
      <c r="F961">
        <f>IF(VLOOKUP(A961,'Delta Z Scores'!$A$1:$N$1541,14,FALSE)&gt;2,VLOOKUP(A961,'Delta Z Scores'!$A$1:$N$1541,13,FALSE)/VLOOKUP(A961,'Delta Z Scores'!$A$1:$N$1541,14,FALSE),"Not Enough Data")</f>
        <v>-1.8287466881129197</v>
      </c>
      <c r="G961">
        <f>IF(VLOOKUP(A961,'Forecast Z Scores'!$A$1:$N$1541,14,FALSE)&gt;2,VLOOKUP(A961,'Forecast Z Scores'!$A$1:$N$1541,13,FALSE)/VLOOKUP(A961,'Forecast Z Scores'!$A$1:$N$1541,14,FALSE),"Not Enough Data")</f>
        <v>0.15613814854295444</v>
      </c>
      <c r="H961">
        <v>-0.95516414034144537</v>
      </c>
    </row>
    <row r="962" spans="1:8" x14ac:dyDescent="0.35">
      <c r="A962" t="str">
        <f t="shared" si="14"/>
        <v>18097370201_2024</v>
      </c>
      <c r="B962">
        <v>18097370201</v>
      </c>
      <c r="C962">
        <v>2024</v>
      </c>
      <c r="E962">
        <f>-(IF(VLOOKUP(B962,'2023 Z Scores'!$A$1:$K$309,11,FALSE)&gt;2,VLOOKUP(B962,'2023 Z Scores'!$A$1:$K$309,10,FALSE)/VLOOKUP(B962,'2023 Z Scores'!$A$1:$K$309,11,FALSE),"Not Enough data"))</f>
        <v>-3.0976483131910062E-2</v>
      </c>
      <c r="F962">
        <f>IF(VLOOKUP(A962,'Delta Z Scores'!$A$1:$N$1541,14,FALSE)&gt;2,VLOOKUP(A962,'Delta Z Scores'!$A$1:$N$1541,13,FALSE)/VLOOKUP(A962,'Delta Z Scores'!$A$1:$N$1541,14,FALSE),"Not Enough Data")</f>
        <v>-6.7608030415923628E-2</v>
      </c>
      <c r="G962">
        <f>IF(VLOOKUP(A962,'Forecast Z Scores'!$A$1:$N$1541,14,FALSE)&gt;2,VLOOKUP(A962,'Forecast Z Scores'!$A$1:$N$1541,13,FALSE)/VLOOKUP(A962,'Forecast Z Scores'!$A$1:$N$1541,14,FALSE),"Not Enough Data")</f>
        <v>0.17975288399756897</v>
      </c>
      <c r="H962">
        <v>3.3900850084529139E-3</v>
      </c>
    </row>
    <row r="963" spans="1:8" x14ac:dyDescent="0.35">
      <c r="A963" t="str">
        <f t="shared" ref="A963:A1026" si="15">TEXT(B963,0)&amp;"_"&amp;TEXT(C963,0)</f>
        <v>18097370201_2025</v>
      </c>
      <c r="B963">
        <v>18097370201</v>
      </c>
      <c r="C963">
        <v>2025</v>
      </c>
      <c r="E963">
        <f>-(IF(VLOOKUP(B963,'2023 Z Scores'!$A$1:$K$309,11,FALSE)&gt;2,VLOOKUP(B963,'2023 Z Scores'!$A$1:$K$309,10,FALSE)/VLOOKUP(B963,'2023 Z Scores'!$A$1:$K$309,11,FALSE),"Not Enough data"))</f>
        <v>-3.0976483131910062E-2</v>
      </c>
      <c r="F963">
        <f>IF(VLOOKUP(A963,'Delta Z Scores'!$A$1:$N$1541,14,FALSE)&gt;2,VLOOKUP(A963,'Delta Z Scores'!$A$1:$N$1541,13,FALSE)/VLOOKUP(A963,'Delta Z Scores'!$A$1:$N$1541,14,FALSE),"Not Enough Data")</f>
        <v>6.5269707830198337E-2</v>
      </c>
      <c r="G963">
        <f>IF(VLOOKUP(A963,'Forecast Z Scores'!$A$1:$N$1541,14,FALSE)&gt;2,VLOOKUP(A963,'Forecast Z Scores'!$A$1:$N$1541,13,FALSE)/VLOOKUP(A963,'Forecast Z Scores'!$A$1:$N$1541,14,FALSE),"Not Enough Data")</f>
        <v>0.2414554038802551</v>
      </c>
      <c r="H963">
        <v>8.5254584102185435E-2</v>
      </c>
    </row>
    <row r="964" spans="1:8" x14ac:dyDescent="0.35">
      <c r="A964" t="str">
        <f t="shared" si="15"/>
        <v>18097370201_2026</v>
      </c>
      <c r="B964">
        <v>18097370201</v>
      </c>
      <c r="C964">
        <v>2026</v>
      </c>
      <c r="E964">
        <f>-(IF(VLOOKUP(B964,'2023 Z Scores'!$A$1:$K$309,11,FALSE)&gt;2,VLOOKUP(B964,'2023 Z Scores'!$A$1:$K$309,10,FALSE)/VLOOKUP(B964,'2023 Z Scores'!$A$1:$K$309,11,FALSE),"Not Enough data"))</f>
        <v>-3.0976483131910062E-2</v>
      </c>
      <c r="F964">
        <f>IF(VLOOKUP(A964,'Delta Z Scores'!$A$1:$N$1541,14,FALSE)&gt;2,VLOOKUP(A964,'Delta Z Scores'!$A$1:$N$1541,13,FALSE)/VLOOKUP(A964,'Delta Z Scores'!$A$1:$N$1541,14,FALSE),"Not Enough Data")</f>
        <v>-0.13299203923649242</v>
      </c>
      <c r="G964">
        <f>IF(VLOOKUP(A964,'Forecast Z Scores'!$A$1:$N$1541,14,FALSE)&gt;2,VLOOKUP(A964,'Forecast Z Scores'!$A$1:$N$1541,13,FALSE)/VLOOKUP(A964,'Forecast Z Scores'!$A$1:$N$1541,14,FALSE),"Not Enough Data")</f>
        <v>0.27659582047405107</v>
      </c>
      <c r="H964">
        <v>-5.091185282710956E-3</v>
      </c>
    </row>
    <row r="965" spans="1:8" x14ac:dyDescent="0.35">
      <c r="A965" t="str">
        <f t="shared" si="15"/>
        <v>18097370201_2027</v>
      </c>
      <c r="B965">
        <v>18097370201</v>
      </c>
      <c r="C965">
        <v>2027</v>
      </c>
      <c r="E965">
        <f>-(IF(VLOOKUP(B965,'2023 Z Scores'!$A$1:$K$309,11,FALSE)&gt;2,VLOOKUP(B965,'2023 Z Scores'!$A$1:$K$309,10,FALSE)/VLOOKUP(B965,'2023 Z Scores'!$A$1:$K$309,11,FALSE),"Not Enough data"))</f>
        <v>-3.0976483131910062E-2</v>
      </c>
      <c r="F965">
        <f>IF(VLOOKUP(A965,'Delta Z Scores'!$A$1:$N$1541,14,FALSE)&gt;2,VLOOKUP(A965,'Delta Z Scores'!$A$1:$N$1541,13,FALSE)/VLOOKUP(A965,'Delta Z Scores'!$A$1:$N$1541,14,FALSE),"Not Enough Data")</f>
        <v>-9.0104678691980022E-2</v>
      </c>
      <c r="G965">
        <f>IF(VLOOKUP(A965,'Forecast Z Scores'!$A$1:$N$1541,14,FALSE)&gt;2,VLOOKUP(A965,'Forecast Z Scores'!$A$1:$N$1541,13,FALSE)/VLOOKUP(A965,'Forecast Z Scores'!$A$1:$N$1541,14,FALSE),"Not Enough Data")</f>
        <v>0.30144917055582693</v>
      </c>
      <c r="H965">
        <v>2.2565832509989205E-2</v>
      </c>
    </row>
    <row r="966" spans="1:8" x14ac:dyDescent="0.35">
      <c r="A966" t="str">
        <f t="shared" si="15"/>
        <v>18097370201_2028</v>
      </c>
      <c r="B966">
        <v>18097370201</v>
      </c>
      <c r="C966">
        <v>2028</v>
      </c>
      <c r="E966">
        <f>-(IF(VLOOKUP(B966,'2023 Z Scores'!$A$1:$K$309,11,FALSE)&gt;2,VLOOKUP(B966,'2023 Z Scores'!$A$1:$K$309,10,FALSE)/VLOOKUP(B966,'2023 Z Scores'!$A$1:$K$309,11,FALSE),"Not Enough data"))</f>
        <v>-3.0976483131910062E-2</v>
      </c>
      <c r="F966">
        <f>IF(VLOOKUP(A966,'Delta Z Scores'!$A$1:$N$1541,14,FALSE)&gt;2,VLOOKUP(A966,'Delta Z Scores'!$A$1:$N$1541,13,FALSE)/VLOOKUP(A966,'Delta Z Scores'!$A$1:$N$1541,14,FALSE),"Not Enough Data")</f>
        <v>-0.11543798557277567</v>
      </c>
      <c r="G966">
        <f>IF(VLOOKUP(A966,'Forecast Z Scores'!$A$1:$N$1541,14,FALSE)&gt;2,VLOOKUP(A966,'Forecast Z Scores'!$A$1:$N$1541,13,FALSE)/VLOOKUP(A966,'Forecast Z Scores'!$A$1:$N$1541,14,FALSE),"Not Enough Data")</f>
        <v>0.32418115247352264</v>
      </c>
      <c r="H966">
        <v>1.558217454901531E-2</v>
      </c>
    </row>
    <row r="967" spans="1:8" x14ac:dyDescent="0.35">
      <c r="A967" t="str">
        <f t="shared" si="15"/>
        <v>18097370203_2024</v>
      </c>
      <c r="B967">
        <v>18097370203</v>
      </c>
      <c r="C967">
        <v>2024</v>
      </c>
      <c r="E967">
        <f>-(IF(VLOOKUP(B967,'2023 Z Scores'!$A$1:$K$309,11,FALSE)&gt;2,VLOOKUP(B967,'2023 Z Scores'!$A$1:$K$309,10,FALSE)/VLOOKUP(B967,'2023 Z Scores'!$A$1:$K$309,11,FALSE),"Not Enough data"))</f>
        <v>0.10331927610829354</v>
      </c>
      <c r="F967">
        <f>IF(VLOOKUP(A967,'Delta Z Scores'!$A$1:$N$1541,14,FALSE)&gt;2,VLOOKUP(A967,'Delta Z Scores'!$A$1:$N$1541,13,FALSE)/VLOOKUP(A967,'Delta Z Scores'!$A$1:$N$1541,14,FALSE),"Not Enough Data")</f>
        <v>0.45570510378536466</v>
      </c>
      <c r="G967">
        <f>IF(VLOOKUP(A967,'Forecast Z Scores'!$A$1:$N$1541,14,FALSE)&gt;2,VLOOKUP(A967,'Forecast Z Scores'!$A$1:$N$1541,13,FALSE)/VLOOKUP(A967,'Forecast Z Scores'!$A$1:$N$1541,14,FALSE),"Not Enough Data")</f>
        <v>-0.12707586459037587</v>
      </c>
      <c r="H967">
        <v>0.22191340477216173</v>
      </c>
    </row>
    <row r="968" spans="1:8" x14ac:dyDescent="0.35">
      <c r="A968" t="str">
        <f t="shared" si="15"/>
        <v>18097370203_2025</v>
      </c>
      <c r="B968">
        <v>18097370203</v>
      </c>
      <c r="C968">
        <v>2025</v>
      </c>
      <c r="E968">
        <f>-(IF(VLOOKUP(B968,'2023 Z Scores'!$A$1:$K$309,11,FALSE)&gt;2,VLOOKUP(B968,'2023 Z Scores'!$A$1:$K$309,10,FALSE)/VLOOKUP(B968,'2023 Z Scores'!$A$1:$K$309,11,FALSE),"Not Enough data"))</f>
        <v>0.10331927610829354</v>
      </c>
      <c r="F968">
        <f>IF(VLOOKUP(A968,'Delta Z Scores'!$A$1:$N$1541,14,FALSE)&gt;2,VLOOKUP(A968,'Delta Z Scores'!$A$1:$N$1541,13,FALSE)/VLOOKUP(A968,'Delta Z Scores'!$A$1:$N$1541,14,FALSE),"Not Enough Data")</f>
        <v>-4.6032203636306737E-2</v>
      </c>
      <c r="G968">
        <f>IF(VLOOKUP(A968,'Forecast Z Scores'!$A$1:$N$1541,14,FALSE)&gt;2,VLOOKUP(A968,'Forecast Z Scores'!$A$1:$N$1541,13,FALSE)/VLOOKUP(A968,'Forecast Z Scores'!$A$1:$N$1541,14,FALSE),"Not Enough Data")</f>
        <v>-0.15057070994597402</v>
      </c>
      <c r="H968">
        <v>-3.4828960277573484E-2</v>
      </c>
    </row>
    <row r="969" spans="1:8" x14ac:dyDescent="0.35">
      <c r="A969" t="str">
        <f t="shared" si="15"/>
        <v>18097370203_2026</v>
      </c>
      <c r="B969">
        <v>18097370203</v>
      </c>
      <c r="C969">
        <v>2026</v>
      </c>
      <c r="E969">
        <f>-(IF(VLOOKUP(B969,'2023 Z Scores'!$A$1:$K$309,11,FALSE)&gt;2,VLOOKUP(B969,'2023 Z Scores'!$A$1:$K$309,10,FALSE)/VLOOKUP(B969,'2023 Z Scores'!$A$1:$K$309,11,FALSE),"Not Enough data"))</f>
        <v>0.10331927610829354</v>
      </c>
      <c r="F969">
        <f>IF(VLOOKUP(A969,'Delta Z Scores'!$A$1:$N$1541,14,FALSE)&gt;2,VLOOKUP(A969,'Delta Z Scores'!$A$1:$N$1541,13,FALSE)/VLOOKUP(A969,'Delta Z Scores'!$A$1:$N$1541,14,FALSE),"Not Enough Data")</f>
        <v>0.38520662979940112</v>
      </c>
      <c r="G969">
        <f>IF(VLOOKUP(A969,'Forecast Z Scores'!$A$1:$N$1541,14,FALSE)&gt;2,VLOOKUP(A969,'Forecast Z Scores'!$A$1:$N$1541,13,FALSE)/VLOOKUP(A969,'Forecast Z Scores'!$A$1:$N$1541,14,FALSE),"Not Enough Data")</f>
        <v>-0.14223868832606271</v>
      </c>
      <c r="H969">
        <v>0.18287346184525827</v>
      </c>
    </row>
    <row r="970" spans="1:8" x14ac:dyDescent="0.35">
      <c r="A970" t="str">
        <f t="shared" si="15"/>
        <v>18097370203_2027</v>
      </c>
      <c r="B970">
        <v>18097370203</v>
      </c>
      <c r="C970">
        <v>2027</v>
      </c>
      <c r="E970">
        <f>-(IF(VLOOKUP(B970,'2023 Z Scores'!$A$1:$K$309,11,FALSE)&gt;2,VLOOKUP(B970,'2023 Z Scores'!$A$1:$K$309,10,FALSE)/VLOOKUP(B970,'2023 Z Scores'!$A$1:$K$309,11,FALSE),"Not Enough data"))</f>
        <v>0.10331927610829354</v>
      </c>
      <c r="F970">
        <f>IF(VLOOKUP(A970,'Delta Z Scores'!$A$1:$N$1541,14,FALSE)&gt;2,VLOOKUP(A970,'Delta Z Scores'!$A$1:$N$1541,13,FALSE)/VLOOKUP(A970,'Delta Z Scores'!$A$1:$N$1541,14,FALSE),"Not Enough Data")</f>
        <v>3.5240841561967204E-2</v>
      </c>
      <c r="G970">
        <f>IF(VLOOKUP(A970,'Forecast Z Scores'!$A$1:$N$1541,14,FALSE)&gt;2,VLOOKUP(A970,'Forecast Z Scores'!$A$1:$N$1541,13,FALSE)/VLOOKUP(A970,'Forecast Z Scores'!$A$1:$N$1541,14,FALSE),"Not Enough Data")</f>
        <v>-0.17681303633383352</v>
      </c>
      <c r="H970">
        <v>-7.5301927540139327E-4</v>
      </c>
    </row>
    <row r="971" spans="1:8" x14ac:dyDescent="0.35">
      <c r="A971" t="str">
        <f t="shared" si="15"/>
        <v>18097370203_2028</v>
      </c>
      <c r="B971">
        <v>18097370203</v>
      </c>
      <c r="C971">
        <v>2028</v>
      </c>
      <c r="E971">
        <f>-(IF(VLOOKUP(B971,'2023 Z Scores'!$A$1:$K$309,11,FALSE)&gt;2,VLOOKUP(B971,'2023 Z Scores'!$A$1:$K$309,10,FALSE)/VLOOKUP(B971,'2023 Z Scores'!$A$1:$K$309,11,FALSE),"Not Enough data"))</f>
        <v>0.10331927610829354</v>
      </c>
      <c r="F971">
        <f>IF(VLOOKUP(A971,'Delta Z Scores'!$A$1:$N$1541,14,FALSE)&gt;2,VLOOKUP(A971,'Delta Z Scores'!$A$1:$N$1541,13,FALSE)/VLOOKUP(A971,'Delta Z Scores'!$A$1:$N$1541,14,FALSE),"Not Enough Data")</f>
        <v>0.36784399550414726</v>
      </c>
      <c r="G971">
        <f>IF(VLOOKUP(A971,'Forecast Z Scores'!$A$1:$N$1541,14,FALSE)&gt;2,VLOOKUP(A971,'Forecast Z Scores'!$A$1:$N$1541,13,FALSE)/VLOOKUP(A971,'Forecast Z Scores'!$A$1:$N$1541,14,FALSE),"Not Enough Data")</f>
        <v>-0.17590258443450021</v>
      </c>
      <c r="H971">
        <v>0.16577617067052194</v>
      </c>
    </row>
    <row r="972" spans="1:8" x14ac:dyDescent="0.35">
      <c r="A972" t="str">
        <f t="shared" si="15"/>
        <v>18097370204_2024</v>
      </c>
      <c r="B972">
        <v>18097370204</v>
      </c>
      <c r="C972">
        <v>2024</v>
      </c>
      <c r="E972">
        <f>-(IF(VLOOKUP(B972,'2023 Z Scores'!$A$1:$K$309,11,FALSE)&gt;2,VLOOKUP(B972,'2023 Z Scores'!$A$1:$K$309,10,FALSE)/VLOOKUP(B972,'2023 Z Scores'!$A$1:$K$309,11,FALSE),"Not Enough data"))</f>
        <v>-0.23138902078743212</v>
      </c>
      <c r="F972">
        <f>IF(VLOOKUP(A972,'Delta Z Scores'!$A$1:$N$1541,14,FALSE)&gt;2,VLOOKUP(A972,'Delta Z Scores'!$A$1:$N$1541,13,FALSE)/VLOOKUP(A972,'Delta Z Scores'!$A$1:$N$1541,14,FALSE),"Not Enough Data")</f>
        <v>-0.24654061545565997</v>
      </c>
      <c r="G972">
        <f>IF(VLOOKUP(A972,'Forecast Z Scores'!$A$1:$N$1541,14,FALSE)&gt;2,VLOOKUP(A972,'Forecast Z Scores'!$A$1:$N$1541,13,FALSE)/VLOOKUP(A972,'Forecast Z Scores'!$A$1:$N$1541,14,FALSE),"Not Enough Data")</f>
        <v>0.16519628965457392</v>
      </c>
      <c r="H972">
        <v>-0.13981849051104456</v>
      </c>
    </row>
    <row r="973" spans="1:8" x14ac:dyDescent="0.35">
      <c r="A973" t="str">
        <f t="shared" si="15"/>
        <v>18097370204_2025</v>
      </c>
      <c r="B973">
        <v>18097370204</v>
      </c>
      <c r="C973">
        <v>2025</v>
      </c>
      <c r="E973">
        <f>-(IF(VLOOKUP(B973,'2023 Z Scores'!$A$1:$K$309,11,FALSE)&gt;2,VLOOKUP(B973,'2023 Z Scores'!$A$1:$K$309,10,FALSE)/VLOOKUP(B973,'2023 Z Scores'!$A$1:$K$309,11,FALSE),"Not Enough data"))</f>
        <v>-0.23138902078743212</v>
      </c>
      <c r="F973">
        <f>IF(VLOOKUP(A973,'Delta Z Scores'!$A$1:$N$1541,14,FALSE)&gt;2,VLOOKUP(A973,'Delta Z Scores'!$A$1:$N$1541,13,FALSE)/VLOOKUP(A973,'Delta Z Scores'!$A$1:$N$1541,14,FALSE),"Not Enough Data")</f>
        <v>0.53110178169964151</v>
      </c>
      <c r="G973">
        <f>IF(VLOOKUP(A973,'Forecast Z Scores'!$A$1:$N$1541,14,FALSE)&gt;2,VLOOKUP(A973,'Forecast Z Scores'!$A$1:$N$1541,13,FALSE)/VLOOKUP(A973,'Forecast Z Scores'!$A$1:$N$1541,14,FALSE),"Not Enough Data")</f>
        <v>0.10878240387761984</v>
      </c>
      <c r="H973">
        <v>0.23489923662236772</v>
      </c>
    </row>
    <row r="974" spans="1:8" x14ac:dyDescent="0.35">
      <c r="A974" t="str">
        <f t="shared" si="15"/>
        <v>18097370204_2026</v>
      </c>
      <c r="B974">
        <v>18097370204</v>
      </c>
      <c r="C974">
        <v>2026</v>
      </c>
      <c r="E974">
        <f>-(IF(VLOOKUP(B974,'2023 Z Scores'!$A$1:$K$309,11,FALSE)&gt;2,VLOOKUP(B974,'2023 Z Scores'!$A$1:$K$309,10,FALSE)/VLOOKUP(B974,'2023 Z Scores'!$A$1:$K$309,11,FALSE),"Not Enough data"))</f>
        <v>-0.23138902078743212</v>
      </c>
      <c r="F974">
        <f>IF(VLOOKUP(A974,'Delta Z Scores'!$A$1:$N$1541,14,FALSE)&gt;2,VLOOKUP(A974,'Delta Z Scores'!$A$1:$N$1541,13,FALSE)/VLOOKUP(A974,'Delta Z Scores'!$A$1:$N$1541,14,FALSE),"Not Enough Data")</f>
        <v>-0.21694000135629207</v>
      </c>
      <c r="G974">
        <f>IF(VLOOKUP(A974,'Forecast Z Scores'!$A$1:$N$1541,14,FALSE)&gt;2,VLOOKUP(A974,'Forecast Z Scores'!$A$1:$N$1541,13,FALSE)/VLOOKUP(A974,'Forecast Z Scores'!$A$1:$N$1541,14,FALSE),"Not Enough Data")</f>
        <v>9.5430329236282321E-2</v>
      </c>
      <c r="H974">
        <v>-0.14245967356593348</v>
      </c>
    </row>
    <row r="975" spans="1:8" x14ac:dyDescent="0.35">
      <c r="A975" t="str">
        <f t="shared" si="15"/>
        <v>18097370204_2027</v>
      </c>
      <c r="B975">
        <v>18097370204</v>
      </c>
      <c r="C975">
        <v>2027</v>
      </c>
      <c r="E975">
        <f>-(IF(VLOOKUP(B975,'2023 Z Scores'!$A$1:$K$309,11,FALSE)&gt;2,VLOOKUP(B975,'2023 Z Scores'!$A$1:$K$309,10,FALSE)/VLOOKUP(B975,'2023 Z Scores'!$A$1:$K$309,11,FALSE),"Not Enough data"))</f>
        <v>-0.23138902078743212</v>
      </c>
      <c r="F975">
        <f>IF(VLOOKUP(A975,'Delta Z Scores'!$A$1:$N$1541,14,FALSE)&gt;2,VLOOKUP(A975,'Delta Z Scores'!$A$1:$N$1541,13,FALSE)/VLOOKUP(A975,'Delta Z Scores'!$A$1:$N$1541,14,FALSE),"Not Enough Data")</f>
        <v>0.36543541241603439</v>
      </c>
      <c r="G975">
        <f>IF(VLOOKUP(A975,'Forecast Z Scores'!$A$1:$N$1541,14,FALSE)&gt;2,VLOOKUP(A975,'Forecast Z Scores'!$A$1:$N$1541,13,FALSE)/VLOOKUP(A975,'Forecast Z Scores'!$A$1:$N$1541,14,FALSE),"Not Enough Data")</f>
        <v>4.4757848921356848E-2</v>
      </c>
      <c r="H975">
        <v>0.13605991324149835</v>
      </c>
    </row>
    <row r="976" spans="1:8" x14ac:dyDescent="0.35">
      <c r="A976" t="str">
        <f t="shared" si="15"/>
        <v>18097370204_2028</v>
      </c>
      <c r="B976">
        <v>18097370204</v>
      </c>
      <c r="C976">
        <v>2028</v>
      </c>
      <c r="E976">
        <f>-(IF(VLOOKUP(B976,'2023 Z Scores'!$A$1:$K$309,11,FALSE)&gt;2,VLOOKUP(B976,'2023 Z Scores'!$A$1:$K$309,10,FALSE)/VLOOKUP(B976,'2023 Z Scores'!$A$1:$K$309,11,FALSE),"Not Enough data"))</f>
        <v>-0.23138902078743212</v>
      </c>
      <c r="F976">
        <f>IF(VLOOKUP(A976,'Delta Z Scores'!$A$1:$N$1541,14,FALSE)&gt;2,VLOOKUP(A976,'Delta Z Scores'!$A$1:$N$1541,13,FALSE)/VLOOKUP(A976,'Delta Z Scores'!$A$1:$N$1541,14,FALSE),"Not Enough Data")</f>
        <v>-6.3221411568939512E-2</v>
      </c>
      <c r="G976">
        <f>IF(VLOOKUP(A976,'Forecast Z Scores'!$A$1:$N$1541,14,FALSE)&gt;2,VLOOKUP(A976,'Forecast Z Scores'!$A$1:$N$1541,13,FALSE)/VLOOKUP(A976,'Forecast Z Scores'!$A$1:$N$1541,14,FALSE),"Not Enough Data")</f>
        <v>2.3164656391181412E-2</v>
      </c>
      <c r="H976">
        <v>-8.3666796883532429E-2</v>
      </c>
    </row>
    <row r="977" spans="1:8" x14ac:dyDescent="0.35">
      <c r="A977" t="str">
        <f t="shared" si="15"/>
        <v>18097370303_2024</v>
      </c>
      <c r="B977">
        <v>18097370303</v>
      </c>
      <c r="C977">
        <v>2024</v>
      </c>
      <c r="E977">
        <f>-(IF(VLOOKUP(B977,'2023 Z Scores'!$A$1:$K$309,11,FALSE)&gt;2,VLOOKUP(B977,'2023 Z Scores'!$A$1:$K$309,10,FALSE)/VLOOKUP(B977,'2023 Z Scores'!$A$1:$K$309,11,FALSE),"Not Enough data"))</f>
        <v>-4.5606440115114985E-2</v>
      </c>
      <c r="F977">
        <f>IF(VLOOKUP(A977,'Delta Z Scores'!$A$1:$N$1541,14,FALSE)&gt;2,VLOOKUP(A977,'Delta Z Scores'!$A$1:$N$1541,13,FALSE)/VLOOKUP(A977,'Delta Z Scores'!$A$1:$N$1541,14,FALSE),"Not Enough Data")</f>
        <v>3.521869110995024E-2</v>
      </c>
      <c r="G977">
        <f>IF(VLOOKUP(A977,'Forecast Z Scores'!$A$1:$N$1541,14,FALSE)&gt;2,VLOOKUP(A977,'Forecast Z Scores'!$A$1:$N$1541,13,FALSE)/VLOOKUP(A977,'Forecast Z Scores'!$A$1:$N$1541,14,FALSE),"Not Enough Data")</f>
        <v>-0.44831282821083146</v>
      </c>
      <c r="H977">
        <v>-0.10587047152651149</v>
      </c>
    </row>
    <row r="978" spans="1:8" x14ac:dyDescent="0.35">
      <c r="A978" t="str">
        <f t="shared" si="15"/>
        <v>18097370303_2025</v>
      </c>
      <c r="B978">
        <v>18097370303</v>
      </c>
      <c r="C978">
        <v>2025</v>
      </c>
      <c r="E978">
        <f>-(IF(VLOOKUP(B978,'2023 Z Scores'!$A$1:$K$309,11,FALSE)&gt;2,VLOOKUP(B978,'2023 Z Scores'!$A$1:$K$309,10,FALSE)/VLOOKUP(B978,'2023 Z Scores'!$A$1:$K$309,11,FALSE),"Not Enough data"))</f>
        <v>-4.5606440115114985E-2</v>
      </c>
      <c r="F978">
        <f>IF(VLOOKUP(A978,'Delta Z Scores'!$A$1:$N$1541,14,FALSE)&gt;2,VLOOKUP(A978,'Delta Z Scores'!$A$1:$N$1541,13,FALSE)/VLOOKUP(A978,'Delta Z Scores'!$A$1:$N$1541,14,FALSE),"Not Enough Data")</f>
        <v>-0.35441246400901899</v>
      </c>
      <c r="G978">
        <f>IF(VLOOKUP(A978,'Forecast Z Scores'!$A$1:$N$1541,14,FALSE)&gt;2,VLOOKUP(A978,'Forecast Z Scores'!$A$1:$N$1541,13,FALSE)/VLOOKUP(A978,'Forecast Z Scores'!$A$1:$N$1541,14,FALSE),"Not Enough Data")</f>
        <v>-0.53093322788478792</v>
      </c>
      <c r="H978">
        <v>-0.32134114900448524</v>
      </c>
    </row>
    <row r="979" spans="1:8" x14ac:dyDescent="0.35">
      <c r="A979" t="str">
        <f t="shared" si="15"/>
        <v>18097370303_2026</v>
      </c>
      <c r="B979">
        <v>18097370303</v>
      </c>
      <c r="C979">
        <v>2026</v>
      </c>
      <c r="E979">
        <f>-(IF(VLOOKUP(B979,'2023 Z Scores'!$A$1:$K$309,11,FALSE)&gt;2,VLOOKUP(B979,'2023 Z Scores'!$A$1:$K$309,10,FALSE)/VLOOKUP(B979,'2023 Z Scores'!$A$1:$K$309,11,FALSE),"Not Enough data"))</f>
        <v>-4.5606440115114985E-2</v>
      </c>
      <c r="F979">
        <f>IF(VLOOKUP(A979,'Delta Z Scores'!$A$1:$N$1541,14,FALSE)&gt;2,VLOOKUP(A979,'Delta Z Scores'!$A$1:$N$1541,13,FALSE)/VLOOKUP(A979,'Delta Z Scores'!$A$1:$N$1541,14,FALSE),"Not Enough Data")</f>
        <v>0.45458266091619265</v>
      </c>
      <c r="G979">
        <f>IF(VLOOKUP(A979,'Forecast Z Scores'!$A$1:$N$1541,14,FALSE)&gt;2,VLOOKUP(A979,'Forecast Z Scores'!$A$1:$N$1541,13,FALSE)/VLOOKUP(A979,'Forecast Z Scores'!$A$1:$N$1541,14,FALSE),"Not Enough Data")</f>
        <v>-0.45569144028423292</v>
      </c>
      <c r="H979">
        <v>0.10196686035825935</v>
      </c>
    </row>
    <row r="980" spans="1:8" x14ac:dyDescent="0.35">
      <c r="A980" t="str">
        <f t="shared" si="15"/>
        <v>18097370303_2027</v>
      </c>
      <c r="B980">
        <v>18097370303</v>
      </c>
      <c r="C980">
        <v>2027</v>
      </c>
      <c r="E980">
        <f>-(IF(VLOOKUP(B980,'2023 Z Scores'!$A$1:$K$309,11,FALSE)&gt;2,VLOOKUP(B980,'2023 Z Scores'!$A$1:$K$309,10,FALSE)/VLOOKUP(B980,'2023 Z Scores'!$A$1:$K$309,11,FALSE),"Not Enough data"))</f>
        <v>-4.5606440115114985E-2</v>
      </c>
      <c r="F980">
        <f>IF(VLOOKUP(A980,'Delta Z Scores'!$A$1:$N$1541,14,FALSE)&gt;2,VLOOKUP(A980,'Delta Z Scores'!$A$1:$N$1541,13,FALSE)/VLOOKUP(A980,'Delta Z Scores'!$A$1:$N$1541,14,FALSE),"Not Enough Data")</f>
        <v>-0.42757215142850541</v>
      </c>
      <c r="G980">
        <f>IF(VLOOKUP(A980,'Forecast Z Scores'!$A$1:$N$1541,14,FALSE)&gt;2,VLOOKUP(A980,'Forecast Z Scores'!$A$1:$N$1541,13,FALSE)/VLOOKUP(A980,'Forecast Z Scores'!$A$1:$N$1541,14,FALSE),"Not Enough Data")</f>
        <v>-0.53461010814587395</v>
      </c>
      <c r="H980">
        <v>-0.35884021277949996</v>
      </c>
    </row>
    <row r="981" spans="1:8" x14ac:dyDescent="0.35">
      <c r="A981" t="str">
        <f t="shared" si="15"/>
        <v>18097370303_2028</v>
      </c>
      <c r="B981">
        <v>18097370303</v>
      </c>
      <c r="C981">
        <v>2028</v>
      </c>
      <c r="E981">
        <f>-(IF(VLOOKUP(B981,'2023 Z Scores'!$A$1:$K$309,11,FALSE)&gt;2,VLOOKUP(B981,'2023 Z Scores'!$A$1:$K$309,10,FALSE)/VLOOKUP(B981,'2023 Z Scores'!$A$1:$K$309,11,FALSE),"Not Enough data"))</f>
        <v>-4.5606440115114985E-2</v>
      </c>
      <c r="F981">
        <f>IF(VLOOKUP(A981,'Delta Z Scores'!$A$1:$N$1541,14,FALSE)&gt;2,VLOOKUP(A981,'Delta Z Scores'!$A$1:$N$1541,13,FALSE)/VLOOKUP(A981,'Delta Z Scores'!$A$1:$N$1541,14,FALSE),"Not Enough Data")</f>
        <v>0.52388624733937084</v>
      </c>
      <c r="G981">
        <f>IF(VLOOKUP(A981,'Forecast Z Scores'!$A$1:$N$1541,14,FALSE)&gt;2,VLOOKUP(A981,'Forecast Z Scores'!$A$1:$N$1541,13,FALSE)/VLOOKUP(A981,'Forecast Z Scores'!$A$1:$N$1541,14,FALSE),"Not Enough Data")</f>
        <v>-0.46680115493956675</v>
      </c>
      <c r="H981">
        <v>0.13384122490601499</v>
      </c>
    </row>
    <row r="982" spans="1:8" x14ac:dyDescent="0.35">
      <c r="A982" t="str">
        <f t="shared" si="15"/>
        <v>18097370304_2024</v>
      </c>
      <c r="B982">
        <v>18097370304</v>
      </c>
      <c r="C982">
        <v>2024</v>
      </c>
      <c r="E982">
        <f>-(IF(VLOOKUP(B982,'2023 Z Scores'!$A$1:$K$309,11,FALSE)&gt;2,VLOOKUP(B982,'2023 Z Scores'!$A$1:$K$309,10,FALSE)/VLOOKUP(B982,'2023 Z Scores'!$A$1:$K$309,11,FALSE),"Not Enough data"))</f>
        <v>-0.42760423966550853</v>
      </c>
      <c r="F982">
        <f>IF(VLOOKUP(A982,'Delta Z Scores'!$A$1:$N$1541,14,FALSE)&gt;2,VLOOKUP(A982,'Delta Z Scores'!$A$1:$N$1541,13,FALSE)/VLOOKUP(A982,'Delta Z Scores'!$A$1:$N$1541,14,FALSE),"Not Enough Data")</f>
        <v>8.3231610919517723E-2</v>
      </c>
      <c r="G982">
        <f>IF(VLOOKUP(A982,'Forecast Z Scores'!$A$1:$N$1541,14,FALSE)&gt;2,VLOOKUP(A982,'Forecast Z Scores'!$A$1:$N$1541,13,FALSE)/VLOOKUP(A982,'Forecast Z Scores'!$A$1:$N$1541,14,FALSE),"Not Enough Data")</f>
        <v>-5.4814394461877865E-2</v>
      </c>
      <c r="H982">
        <v>-7.8988853072087736E-2</v>
      </c>
    </row>
    <row r="983" spans="1:8" x14ac:dyDescent="0.35">
      <c r="A983" t="str">
        <f t="shared" si="15"/>
        <v>18097370304_2025</v>
      </c>
      <c r="B983">
        <v>18097370304</v>
      </c>
      <c r="C983">
        <v>2025</v>
      </c>
      <c r="E983">
        <f>-(IF(VLOOKUP(B983,'2023 Z Scores'!$A$1:$K$309,11,FALSE)&gt;2,VLOOKUP(B983,'2023 Z Scores'!$A$1:$K$309,10,FALSE)/VLOOKUP(B983,'2023 Z Scores'!$A$1:$K$309,11,FALSE),"Not Enough data"))</f>
        <v>-0.42760423966550853</v>
      </c>
      <c r="F983">
        <f>IF(VLOOKUP(A983,'Delta Z Scores'!$A$1:$N$1541,14,FALSE)&gt;2,VLOOKUP(A983,'Delta Z Scores'!$A$1:$N$1541,13,FALSE)/VLOOKUP(A983,'Delta Z Scores'!$A$1:$N$1541,14,FALSE),"Not Enough Data")</f>
        <v>-0.40451198450037679</v>
      </c>
      <c r="G983">
        <f>IF(VLOOKUP(A983,'Forecast Z Scores'!$A$1:$N$1541,14,FALSE)&gt;2,VLOOKUP(A983,'Forecast Z Scores'!$A$1:$N$1541,13,FALSE)/VLOOKUP(A983,'Forecast Z Scores'!$A$1:$N$1541,14,FALSE),"Not Enough Data")</f>
        <v>-0.13221915994350616</v>
      </c>
      <c r="H983">
        <v>-0.34221184215244205</v>
      </c>
    </row>
    <row r="984" spans="1:8" x14ac:dyDescent="0.35">
      <c r="A984" t="str">
        <f t="shared" si="15"/>
        <v>18097370304_2026</v>
      </c>
      <c r="B984">
        <v>18097370304</v>
      </c>
      <c r="C984">
        <v>2026</v>
      </c>
      <c r="E984">
        <f>-(IF(VLOOKUP(B984,'2023 Z Scores'!$A$1:$K$309,11,FALSE)&gt;2,VLOOKUP(B984,'2023 Z Scores'!$A$1:$K$309,10,FALSE)/VLOOKUP(B984,'2023 Z Scores'!$A$1:$K$309,11,FALSE),"Not Enough data"))</f>
        <v>-0.42760423966550853</v>
      </c>
      <c r="F984">
        <f>IF(VLOOKUP(A984,'Delta Z Scores'!$A$1:$N$1541,14,FALSE)&gt;2,VLOOKUP(A984,'Delta Z Scores'!$A$1:$N$1541,13,FALSE)/VLOOKUP(A984,'Delta Z Scores'!$A$1:$N$1541,14,FALSE),"Not Enough Data")</f>
        <v>0.28984702421563535</v>
      </c>
      <c r="G984">
        <f>IF(VLOOKUP(A984,'Forecast Z Scores'!$A$1:$N$1541,14,FALSE)&gt;2,VLOOKUP(A984,'Forecast Z Scores'!$A$1:$N$1541,13,FALSE)/VLOOKUP(A984,'Forecast Z Scores'!$A$1:$N$1541,14,FALSE),"Not Enough Data")</f>
        <v>-0.11268567836428081</v>
      </c>
      <c r="H984">
        <v>9.8510326003703463E-3</v>
      </c>
    </row>
    <row r="985" spans="1:8" x14ac:dyDescent="0.35">
      <c r="A985" t="str">
        <f t="shared" si="15"/>
        <v>18097370304_2027</v>
      </c>
      <c r="B985">
        <v>18097370304</v>
      </c>
      <c r="C985">
        <v>2027</v>
      </c>
      <c r="E985">
        <f>-(IF(VLOOKUP(B985,'2023 Z Scores'!$A$1:$K$309,11,FALSE)&gt;2,VLOOKUP(B985,'2023 Z Scores'!$A$1:$K$309,10,FALSE)/VLOOKUP(B985,'2023 Z Scores'!$A$1:$K$309,11,FALSE),"Not Enough data"))</f>
        <v>-0.42760423966550853</v>
      </c>
      <c r="F985">
        <f>IF(VLOOKUP(A985,'Delta Z Scores'!$A$1:$N$1541,14,FALSE)&gt;2,VLOOKUP(A985,'Delta Z Scores'!$A$1:$N$1541,13,FALSE)/VLOOKUP(A985,'Delta Z Scores'!$A$1:$N$1541,14,FALSE),"Not Enough Data")</f>
        <v>-0.55737293574094526</v>
      </c>
      <c r="G985">
        <f>IF(VLOOKUP(A985,'Forecast Z Scores'!$A$1:$N$1541,14,FALSE)&gt;2,VLOOKUP(A985,'Forecast Z Scores'!$A$1:$N$1541,13,FALSE)/VLOOKUP(A985,'Forecast Z Scores'!$A$1:$N$1541,14,FALSE),"Not Enough Data")</f>
        <v>-0.185519682011103</v>
      </c>
      <c r="H985">
        <v>-0.43196744828962552</v>
      </c>
    </row>
    <row r="986" spans="1:8" x14ac:dyDescent="0.35">
      <c r="A986" t="str">
        <f t="shared" si="15"/>
        <v>18097370304_2028</v>
      </c>
      <c r="B986">
        <v>18097370304</v>
      </c>
      <c r="C986">
        <v>2028</v>
      </c>
      <c r="E986">
        <f>-(IF(VLOOKUP(B986,'2023 Z Scores'!$A$1:$K$309,11,FALSE)&gt;2,VLOOKUP(B986,'2023 Z Scores'!$A$1:$K$309,10,FALSE)/VLOOKUP(B986,'2023 Z Scores'!$A$1:$K$309,11,FALSE),"Not Enough data"))</f>
        <v>-0.42760423966550853</v>
      </c>
      <c r="F986">
        <f>IF(VLOOKUP(A986,'Delta Z Scores'!$A$1:$N$1541,14,FALSE)&gt;2,VLOOKUP(A986,'Delta Z Scores'!$A$1:$N$1541,13,FALSE)/VLOOKUP(A986,'Delta Z Scores'!$A$1:$N$1541,14,FALSE),"Not Enough Data")</f>
        <v>0.29104662780403645</v>
      </c>
      <c r="G986">
        <f>IF(VLOOKUP(A986,'Forecast Z Scores'!$A$1:$N$1541,14,FALSE)&gt;2,VLOOKUP(A986,'Forecast Z Scores'!$A$1:$N$1541,13,FALSE)/VLOOKUP(A986,'Forecast Z Scores'!$A$1:$N$1541,14,FALSE),"Not Enough Data")</f>
        <v>-0.16956996600874411</v>
      </c>
      <c r="H986">
        <v>-3.7702375165449276E-3</v>
      </c>
    </row>
    <row r="987" spans="1:8" x14ac:dyDescent="0.35">
      <c r="A987" t="str">
        <f t="shared" si="15"/>
        <v>18097370305_2024</v>
      </c>
      <c r="B987">
        <v>18097370305</v>
      </c>
      <c r="C987">
        <v>2024</v>
      </c>
      <c r="E987">
        <f>-(IF(VLOOKUP(B987,'2023 Z Scores'!$A$1:$K$309,11,FALSE)&gt;2,VLOOKUP(B987,'2023 Z Scores'!$A$1:$K$309,10,FALSE)/VLOOKUP(B987,'2023 Z Scores'!$A$1:$K$309,11,FALSE),"Not Enough data"))</f>
        <v>-0.16625533697541858</v>
      </c>
      <c r="F987">
        <f>IF(VLOOKUP(A987,'Delta Z Scores'!$A$1:$N$1541,14,FALSE)&gt;2,VLOOKUP(A987,'Delta Z Scores'!$A$1:$N$1541,13,FALSE)/VLOOKUP(A987,'Delta Z Scores'!$A$1:$N$1541,14,FALSE),"Not Enough Data")</f>
        <v>0.20732570564098057</v>
      </c>
      <c r="G987">
        <f>IF(VLOOKUP(A987,'Forecast Z Scores'!$A$1:$N$1541,14,FALSE)&gt;2,VLOOKUP(A987,'Forecast Z Scores'!$A$1:$N$1541,13,FALSE)/VLOOKUP(A987,'Forecast Z Scores'!$A$1:$N$1541,14,FALSE),"Not Enough Data")</f>
        <v>0.5723694334668491</v>
      </c>
      <c r="H987">
        <v>0.20519137694334791</v>
      </c>
    </row>
    <row r="988" spans="1:8" x14ac:dyDescent="0.35">
      <c r="A988" t="str">
        <f t="shared" si="15"/>
        <v>18097370305_2025</v>
      </c>
      <c r="B988">
        <v>18097370305</v>
      </c>
      <c r="C988">
        <v>2025</v>
      </c>
      <c r="E988">
        <f>-(IF(VLOOKUP(B988,'2023 Z Scores'!$A$1:$K$309,11,FALSE)&gt;2,VLOOKUP(B988,'2023 Z Scores'!$A$1:$K$309,10,FALSE)/VLOOKUP(B988,'2023 Z Scores'!$A$1:$K$309,11,FALSE),"Not Enough data"))</f>
        <v>-0.16625533697541858</v>
      </c>
      <c r="F988">
        <f>IF(VLOOKUP(A988,'Delta Z Scores'!$A$1:$N$1541,14,FALSE)&gt;2,VLOOKUP(A988,'Delta Z Scores'!$A$1:$N$1541,13,FALSE)/VLOOKUP(A988,'Delta Z Scores'!$A$1:$N$1541,14,FALSE),"Not Enough Data")</f>
        <v>0.17732045961645118</v>
      </c>
      <c r="G988">
        <f>IF(VLOOKUP(A988,'Forecast Z Scores'!$A$1:$N$1541,14,FALSE)&gt;2,VLOOKUP(A988,'Forecast Z Scores'!$A$1:$N$1541,13,FALSE)/VLOOKUP(A988,'Forecast Z Scores'!$A$1:$N$1541,14,FALSE),"Not Enough Data")</f>
        <v>0.56295189429606829</v>
      </c>
      <c r="H988">
        <v>0.187834369138388</v>
      </c>
    </row>
    <row r="989" spans="1:8" x14ac:dyDescent="0.35">
      <c r="A989" t="str">
        <f t="shared" si="15"/>
        <v>18097370305_2026</v>
      </c>
      <c r="B989">
        <v>18097370305</v>
      </c>
      <c r="C989">
        <v>2026</v>
      </c>
      <c r="E989">
        <f>-(IF(VLOOKUP(B989,'2023 Z Scores'!$A$1:$K$309,11,FALSE)&gt;2,VLOOKUP(B989,'2023 Z Scores'!$A$1:$K$309,10,FALSE)/VLOOKUP(B989,'2023 Z Scores'!$A$1:$K$309,11,FALSE),"Not Enough data"))</f>
        <v>-0.16625533697541858</v>
      </c>
      <c r="F989">
        <f>IF(VLOOKUP(A989,'Delta Z Scores'!$A$1:$N$1541,14,FALSE)&gt;2,VLOOKUP(A989,'Delta Z Scores'!$A$1:$N$1541,13,FALSE)/VLOOKUP(A989,'Delta Z Scores'!$A$1:$N$1541,14,FALSE),"Not Enough Data")</f>
        <v>-2.812896956441821E-2</v>
      </c>
      <c r="G989">
        <f>IF(VLOOKUP(A989,'Forecast Z Scores'!$A$1:$N$1541,14,FALSE)&gt;2,VLOOKUP(A989,'Forecast Z Scores'!$A$1:$N$1541,13,FALSE)/VLOOKUP(A989,'Forecast Z Scores'!$A$1:$N$1541,14,FALSE),"Not Enough Data")</f>
        <v>0.50337296285090771</v>
      </c>
      <c r="H989">
        <v>7.0214921686663184E-2</v>
      </c>
    </row>
    <row r="990" spans="1:8" x14ac:dyDescent="0.35">
      <c r="A990" t="str">
        <f t="shared" si="15"/>
        <v>18097370305_2027</v>
      </c>
      <c r="B990">
        <v>18097370305</v>
      </c>
      <c r="C990">
        <v>2027</v>
      </c>
      <c r="E990">
        <f>-(IF(VLOOKUP(B990,'2023 Z Scores'!$A$1:$K$309,11,FALSE)&gt;2,VLOOKUP(B990,'2023 Z Scores'!$A$1:$K$309,10,FALSE)/VLOOKUP(B990,'2023 Z Scores'!$A$1:$K$309,11,FALSE),"Not Enough data"))</f>
        <v>-0.16625533697541858</v>
      </c>
      <c r="F990">
        <f>IF(VLOOKUP(A990,'Delta Z Scores'!$A$1:$N$1541,14,FALSE)&gt;2,VLOOKUP(A990,'Delta Z Scores'!$A$1:$N$1541,13,FALSE)/VLOOKUP(A990,'Delta Z Scores'!$A$1:$N$1541,14,FALSE),"Not Enough Data")</f>
        <v>9.3217495653070137E-2</v>
      </c>
      <c r="G990">
        <f>IF(VLOOKUP(A990,'Forecast Z Scores'!$A$1:$N$1541,14,FALSE)&gt;2,VLOOKUP(A990,'Forecast Z Scores'!$A$1:$N$1541,13,FALSE)/VLOOKUP(A990,'Forecast Z Scores'!$A$1:$N$1541,14,FALSE),"Not Enough Data")</f>
        <v>0.45063203290423109</v>
      </c>
      <c r="H990">
        <v>0.11770292180873818</v>
      </c>
    </row>
    <row r="991" spans="1:8" x14ac:dyDescent="0.35">
      <c r="A991" t="str">
        <f t="shared" si="15"/>
        <v>18097370305_2028</v>
      </c>
      <c r="B991">
        <v>18097370305</v>
      </c>
      <c r="C991">
        <v>2028</v>
      </c>
      <c r="E991">
        <f>-(IF(VLOOKUP(B991,'2023 Z Scores'!$A$1:$K$309,11,FALSE)&gt;2,VLOOKUP(B991,'2023 Z Scores'!$A$1:$K$309,10,FALSE)/VLOOKUP(B991,'2023 Z Scores'!$A$1:$K$309,11,FALSE),"Not Enough data"))</f>
        <v>-0.16625533697541858</v>
      </c>
      <c r="F991">
        <f>IF(VLOOKUP(A991,'Delta Z Scores'!$A$1:$N$1541,14,FALSE)&gt;2,VLOOKUP(A991,'Delta Z Scores'!$A$1:$N$1541,13,FALSE)/VLOOKUP(A991,'Delta Z Scores'!$A$1:$N$1541,14,FALSE),"Not Enough Data")</f>
        <v>3.451868301283631E-2</v>
      </c>
      <c r="G991">
        <f>IF(VLOOKUP(A991,'Forecast Z Scores'!$A$1:$N$1541,14,FALSE)&gt;2,VLOOKUP(A991,'Forecast Z Scores'!$A$1:$N$1541,13,FALSE)/VLOOKUP(A991,'Forecast Z Scores'!$A$1:$N$1541,14,FALSE),"Not Enough Data")</f>
        <v>0.39995060506710267</v>
      </c>
      <c r="H991">
        <v>7.5683158529339184E-2</v>
      </c>
    </row>
    <row r="992" spans="1:8" x14ac:dyDescent="0.35">
      <c r="A992" t="str">
        <f t="shared" si="15"/>
        <v>18097370306_2024</v>
      </c>
      <c r="B992">
        <v>18097370306</v>
      </c>
      <c r="C992">
        <v>2024</v>
      </c>
      <c r="E992">
        <f>-(IF(VLOOKUP(B992,'2023 Z Scores'!$A$1:$K$309,11,FALSE)&gt;2,VLOOKUP(B992,'2023 Z Scores'!$A$1:$K$309,10,FALSE)/VLOOKUP(B992,'2023 Z Scores'!$A$1:$K$309,11,FALSE),"Not Enough data"))</f>
        <v>-0.23844608342418727</v>
      </c>
      <c r="F992">
        <f>IF(VLOOKUP(A992,'Delta Z Scores'!$A$1:$N$1541,14,FALSE)&gt;2,VLOOKUP(A992,'Delta Z Scores'!$A$1:$N$1541,13,FALSE)/VLOOKUP(A992,'Delta Z Scores'!$A$1:$N$1541,14,FALSE),"Not Enough Data")</f>
        <v>-0.25919573754995534</v>
      </c>
      <c r="G992">
        <f>IF(VLOOKUP(A992,'Forecast Z Scores'!$A$1:$N$1541,14,FALSE)&gt;2,VLOOKUP(A992,'Forecast Z Scores'!$A$1:$N$1541,13,FALSE)/VLOOKUP(A992,'Forecast Z Scores'!$A$1:$N$1541,14,FALSE),"Not Enough Data")</f>
        <v>3.8052139079070561E-2</v>
      </c>
      <c r="H992">
        <v>-0.17969635486125685</v>
      </c>
    </row>
    <row r="993" spans="1:8" x14ac:dyDescent="0.35">
      <c r="A993" t="str">
        <f t="shared" si="15"/>
        <v>18097370306_2025</v>
      </c>
      <c r="B993">
        <v>18097370306</v>
      </c>
      <c r="C993">
        <v>2025</v>
      </c>
      <c r="E993">
        <f>-(IF(VLOOKUP(B993,'2023 Z Scores'!$A$1:$K$309,11,FALSE)&gt;2,VLOOKUP(B993,'2023 Z Scores'!$A$1:$K$309,10,FALSE)/VLOOKUP(B993,'2023 Z Scores'!$A$1:$K$309,11,FALSE),"Not Enough data"))</f>
        <v>-0.23844608342418727</v>
      </c>
      <c r="F993">
        <f>IF(VLOOKUP(A993,'Delta Z Scores'!$A$1:$N$1541,14,FALSE)&gt;2,VLOOKUP(A993,'Delta Z Scores'!$A$1:$N$1541,13,FALSE)/VLOOKUP(A993,'Delta Z Scores'!$A$1:$N$1541,14,FALSE),"Not Enough Data")</f>
        <v>0.44325812212818999</v>
      </c>
      <c r="G993">
        <f>IF(VLOOKUP(A993,'Forecast Z Scores'!$A$1:$N$1541,14,FALSE)&gt;2,VLOOKUP(A993,'Forecast Z Scores'!$A$1:$N$1541,13,FALSE)/VLOOKUP(A993,'Forecast Z Scores'!$A$1:$N$1541,14,FALSE),"Not Enough Data")</f>
        <v>5.3588293911566769E-2</v>
      </c>
      <c r="H993">
        <v>0.17541461368593986</v>
      </c>
    </row>
    <row r="994" spans="1:8" x14ac:dyDescent="0.35">
      <c r="A994" t="str">
        <f t="shared" si="15"/>
        <v>18097370306_2026</v>
      </c>
      <c r="B994">
        <v>18097370306</v>
      </c>
      <c r="C994">
        <v>2026</v>
      </c>
      <c r="E994">
        <f>-(IF(VLOOKUP(B994,'2023 Z Scores'!$A$1:$K$309,11,FALSE)&gt;2,VLOOKUP(B994,'2023 Z Scores'!$A$1:$K$309,10,FALSE)/VLOOKUP(B994,'2023 Z Scores'!$A$1:$K$309,11,FALSE),"Not Enough data"))</f>
        <v>-0.23844608342418727</v>
      </c>
      <c r="F994">
        <f>IF(VLOOKUP(A994,'Delta Z Scores'!$A$1:$N$1541,14,FALSE)&gt;2,VLOOKUP(A994,'Delta Z Scores'!$A$1:$N$1541,13,FALSE)/VLOOKUP(A994,'Delta Z Scores'!$A$1:$N$1541,14,FALSE),"Not Enough Data")</f>
        <v>-0.33093272151742653</v>
      </c>
      <c r="G994">
        <f>IF(VLOOKUP(A994,'Forecast Z Scores'!$A$1:$N$1541,14,FALSE)&gt;2,VLOOKUP(A994,'Forecast Z Scores'!$A$1:$N$1541,13,FALSE)/VLOOKUP(A994,'Forecast Z Scores'!$A$1:$N$1541,14,FALSE),"Not Enough Data")</f>
        <v>1.4234460055741657E-2</v>
      </c>
      <c r="H994">
        <v>-0.22151926660082466</v>
      </c>
    </row>
    <row r="995" spans="1:8" x14ac:dyDescent="0.35">
      <c r="A995" t="str">
        <f t="shared" si="15"/>
        <v>18097370306_2027</v>
      </c>
      <c r="B995">
        <v>18097370306</v>
      </c>
      <c r="C995">
        <v>2027</v>
      </c>
      <c r="E995">
        <f>-(IF(VLOOKUP(B995,'2023 Z Scores'!$A$1:$K$309,11,FALSE)&gt;2,VLOOKUP(B995,'2023 Z Scores'!$A$1:$K$309,10,FALSE)/VLOOKUP(B995,'2023 Z Scores'!$A$1:$K$309,11,FALSE),"Not Enough data"))</f>
        <v>-0.23844608342418727</v>
      </c>
      <c r="F995">
        <f>IF(VLOOKUP(A995,'Delta Z Scores'!$A$1:$N$1541,14,FALSE)&gt;2,VLOOKUP(A995,'Delta Z Scores'!$A$1:$N$1541,13,FALSE)/VLOOKUP(A995,'Delta Z Scores'!$A$1:$N$1541,14,FALSE),"Not Enough Data")</f>
        <v>0.24195106768379562</v>
      </c>
      <c r="G995">
        <f>IF(VLOOKUP(A995,'Forecast Z Scores'!$A$1:$N$1541,14,FALSE)&gt;2,VLOOKUP(A995,'Forecast Z Scores'!$A$1:$N$1541,13,FALSE)/VLOOKUP(A995,'Forecast Z Scores'!$A$1:$N$1541,14,FALSE),"Not Enough Data")</f>
        <v>6.8730024012102391E-3</v>
      </c>
      <c r="H995">
        <v>6.3082263586153556E-2</v>
      </c>
    </row>
    <row r="996" spans="1:8" x14ac:dyDescent="0.35">
      <c r="A996" t="str">
        <f t="shared" si="15"/>
        <v>18097370306_2028</v>
      </c>
      <c r="B996">
        <v>18097370306</v>
      </c>
      <c r="C996">
        <v>2028</v>
      </c>
      <c r="E996">
        <f>-(IF(VLOOKUP(B996,'2023 Z Scores'!$A$1:$K$309,11,FALSE)&gt;2,VLOOKUP(B996,'2023 Z Scores'!$A$1:$K$309,10,FALSE)/VLOOKUP(B996,'2023 Z Scores'!$A$1:$K$309,11,FALSE),"Not Enough data"))</f>
        <v>-0.23844608342418727</v>
      </c>
      <c r="F996">
        <f>IF(VLOOKUP(A996,'Delta Z Scores'!$A$1:$N$1541,14,FALSE)&gt;2,VLOOKUP(A996,'Delta Z Scores'!$A$1:$N$1541,13,FALSE)/VLOOKUP(A996,'Delta Z Scores'!$A$1:$N$1541,14,FALSE),"Not Enough Data")</f>
        <v>-0.24551676567326144</v>
      </c>
      <c r="G996">
        <f>IF(VLOOKUP(A996,'Forecast Z Scores'!$A$1:$N$1541,14,FALSE)&gt;2,VLOOKUP(A996,'Forecast Z Scores'!$A$1:$N$1541,13,FALSE)/VLOOKUP(A996,'Forecast Z Scores'!$A$1:$N$1541,14,FALSE),"Not Enough Data")</f>
        <v>-2.3303478017942535E-2</v>
      </c>
      <c r="H996">
        <v>-0.18819577319716319</v>
      </c>
    </row>
    <row r="997" spans="1:8" x14ac:dyDescent="0.35">
      <c r="A997" t="str">
        <f t="shared" si="15"/>
        <v>18097380101_2024</v>
      </c>
      <c r="B997">
        <v>18097380101</v>
      </c>
      <c r="C997">
        <v>2024</v>
      </c>
      <c r="E997">
        <f>-(IF(VLOOKUP(B997,'2023 Z Scores'!$A$1:$K$309,11,FALSE)&gt;2,VLOOKUP(B997,'2023 Z Scores'!$A$1:$K$309,10,FALSE)/VLOOKUP(B997,'2023 Z Scores'!$A$1:$K$309,11,FALSE),"Not Enough data"))</f>
        <v>-0.72235805326372338</v>
      </c>
      <c r="F997">
        <f>IF(VLOOKUP(A997,'Delta Z Scores'!$A$1:$N$1541,14,FALSE)&gt;2,VLOOKUP(A997,'Delta Z Scores'!$A$1:$N$1541,13,FALSE)/VLOOKUP(A997,'Delta Z Scores'!$A$1:$N$1541,14,FALSE),"Not Enough Data")</f>
        <v>-0.4505966479023194</v>
      </c>
      <c r="G997">
        <f>IF(VLOOKUP(A997,'Forecast Z Scores'!$A$1:$N$1541,14,FALSE)&gt;2,VLOOKUP(A997,'Forecast Z Scores'!$A$1:$N$1541,13,FALSE)/VLOOKUP(A997,'Forecast Z Scores'!$A$1:$N$1541,14,FALSE),"Not Enough Data")</f>
        <v>0.44615261504925091</v>
      </c>
      <c r="H997">
        <v>-0.2943496835047778</v>
      </c>
    </row>
    <row r="998" spans="1:8" x14ac:dyDescent="0.35">
      <c r="A998" t="str">
        <f t="shared" si="15"/>
        <v>18097380101_2025</v>
      </c>
      <c r="B998">
        <v>18097380101</v>
      </c>
      <c r="C998">
        <v>2025</v>
      </c>
      <c r="E998">
        <f>-(IF(VLOOKUP(B998,'2023 Z Scores'!$A$1:$K$309,11,FALSE)&gt;2,VLOOKUP(B998,'2023 Z Scores'!$A$1:$K$309,10,FALSE)/VLOOKUP(B998,'2023 Z Scores'!$A$1:$K$309,11,FALSE),"Not Enough data"))</f>
        <v>-0.72235805326372338</v>
      </c>
      <c r="F998">
        <f>IF(VLOOKUP(A998,'Delta Z Scores'!$A$1:$N$1541,14,FALSE)&gt;2,VLOOKUP(A998,'Delta Z Scores'!$A$1:$N$1541,13,FALSE)/VLOOKUP(A998,'Delta Z Scores'!$A$1:$N$1541,14,FALSE),"Not Enough Data")</f>
        <v>-0.54838803965899074</v>
      </c>
      <c r="G998">
        <f>IF(VLOOKUP(A998,'Forecast Z Scores'!$A$1:$N$1541,14,FALSE)&gt;2,VLOOKUP(A998,'Forecast Z Scores'!$A$1:$N$1541,13,FALSE)/VLOOKUP(A998,'Forecast Z Scores'!$A$1:$N$1541,14,FALSE),"Not Enough Data")</f>
        <v>0.43561055188910047</v>
      </c>
      <c r="H998">
        <v>-0.34588089517315113</v>
      </c>
    </row>
    <row r="999" spans="1:8" x14ac:dyDescent="0.35">
      <c r="A999" t="str">
        <f t="shared" si="15"/>
        <v>18097380101_2026</v>
      </c>
      <c r="B999">
        <v>18097380101</v>
      </c>
      <c r="C999">
        <v>2026</v>
      </c>
      <c r="E999">
        <f>-(IF(VLOOKUP(B999,'2023 Z Scores'!$A$1:$K$309,11,FALSE)&gt;2,VLOOKUP(B999,'2023 Z Scores'!$A$1:$K$309,10,FALSE)/VLOOKUP(B999,'2023 Z Scores'!$A$1:$K$309,11,FALSE),"Not Enough data"))</f>
        <v>-0.72235805326372338</v>
      </c>
      <c r="F999">
        <f>IF(VLOOKUP(A999,'Delta Z Scores'!$A$1:$N$1541,14,FALSE)&gt;2,VLOOKUP(A999,'Delta Z Scores'!$A$1:$N$1541,13,FALSE)/VLOOKUP(A999,'Delta Z Scores'!$A$1:$N$1541,14,FALSE),"Not Enough Data")</f>
        <v>0.10259495968602543</v>
      </c>
      <c r="G999">
        <f>IF(VLOOKUP(A999,'Forecast Z Scores'!$A$1:$N$1541,14,FALSE)&gt;2,VLOOKUP(A999,'Forecast Z Scores'!$A$1:$N$1541,13,FALSE)/VLOOKUP(A999,'Forecast Z Scores'!$A$1:$N$1541,14,FALSE),"Not Enough Data")</f>
        <v>0.42112937885844515</v>
      </c>
      <c r="H999">
        <v>-2.4009688758306835E-2</v>
      </c>
    </row>
    <row r="1000" spans="1:8" x14ac:dyDescent="0.35">
      <c r="A1000" t="str">
        <f t="shared" si="15"/>
        <v>18097380101_2027</v>
      </c>
      <c r="B1000">
        <v>18097380101</v>
      </c>
      <c r="C1000">
        <v>2027</v>
      </c>
      <c r="E1000">
        <f>-(IF(VLOOKUP(B1000,'2023 Z Scores'!$A$1:$K$309,11,FALSE)&gt;2,VLOOKUP(B1000,'2023 Z Scores'!$A$1:$K$309,10,FALSE)/VLOOKUP(B1000,'2023 Z Scores'!$A$1:$K$309,11,FALSE),"Not Enough data"))</f>
        <v>-0.72235805326372338</v>
      </c>
      <c r="F1000">
        <f>IF(VLOOKUP(A1000,'Delta Z Scores'!$A$1:$N$1541,14,FALSE)&gt;2,VLOOKUP(A1000,'Delta Z Scores'!$A$1:$N$1541,13,FALSE)/VLOOKUP(A1000,'Delta Z Scores'!$A$1:$N$1541,14,FALSE),"Not Enough Data")</f>
        <v>-0.54736581904611936</v>
      </c>
      <c r="G1000">
        <f>IF(VLOOKUP(A1000,'Forecast Z Scores'!$A$1:$N$1541,14,FALSE)&gt;2,VLOOKUP(A1000,'Forecast Z Scores'!$A$1:$N$1541,13,FALSE)/VLOOKUP(A1000,'Forecast Z Scores'!$A$1:$N$1541,14,FALSE),"Not Enough Data")</f>
        <v>0.40337568147781155</v>
      </c>
      <c r="H1000">
        <v>-0.35342850246953761</v>
      </c>
    </row>
    <row r="1001" spans="1:8" x14ac:dyDescent="0.35">
      <c r="A1001" t="str">
        <f t="shared" si="15"/>
        <v>18097380101_2028</v>
      </c>
      <c r="B1001">
        <v>18097380101</v>
      </c>
      <c r="C1001">
        <v>2028</v>
      </c>
      <c r="E1001">
        <f>-(IF(VLOOKUP(B1001,'2023 Z Scores'!$A$1:$K$309,11,FALSE)&gt;2,VLOOKUP(B1001,'2023 Z Scores'!$A$1:$K$309,10,FALSE)/VLOOKUP(B1001,'2023 Z Scores'!$A$1:$K$309,11,FALSE),"Not Enough data"))</f>
        <v>-0.72235805326372338</v>
      </c>
      <c r="F1001">
        <f>IF(VLOOKUP(A1001,'Delta Z Scores'!$A$1:$N$1541,14,FALSE)&gt;2,VLOOKUP(A1001,'Delta Z Scores'!$A$1:$N$1541,13,FALSE)/VLOOKUP(A1001,'Delta Z Scores'!$A$1:$N$1541,14,FALSE),"Not Enough Data")</f>
        <v>0.14865748451091929</v>
      </c>
      <c r="G1001">
        <f>IF(VLOOKUP(A1001,'Forecast Z Scores'!$A$1:$N$1541,14,FALSE)&gt;2,VLOOKUP(A1001,'Forecast Z Scores'!$A$1:$N$1541,13,FALSE)/VLOOKUP(A1001,'Forecast Z Scores'!$A$1:$N$1541,14,FALSE),"Not Enough Data")</f>
        <v>0.37913041979247381</v>
      </c>
      <c r="H1001">
        <v>-1.147816611235275E-2</v>
      </c>
    </row>
    <row r="1002" spans="1:8" x14ac:dyDescent="0.35">
      <c r="A1002" t="str">
        <f t="shared" si="15"/>
        <v>18097380102_2024</v>
      </c>
      <c r="B1002">
        <v>18097380102</v>
      </c>
      <c r="C1002">
        <v>2024</v>
      </c>
      <c r="E1002">
        <f>-(IF(VLOOKUP(B1002,'2023 Z Scores'!$A$1:$K$309,11,FALSE)&gt;2,VLOOKUP(B1002,'2023 Z Scores'!$A$1:$K$309,10,FALSE)/VLOOKUP(B1002,'2023 Z Scores'!$A$1:$K$309,11,FALSE),"Not Enough data"))</f>
        <v>-6.734720486252721E-2</v>
      </c>
      <c r="F1002">
        <f>IF(VLOOKUP(A1002,'Delta Z Scores'!$A$1:$N$1541,14,FALSE)&gt;2,VLOOKUP(A1002,'Delta Z Scores'!$A$1:$N$1541,13,FALSE)/VLOOKUP(A1002,'Delta Z Scores'!$A$1:$N$1541,14,FALSE),"Not Enough Data")</f>
        <v>-0.73799394316063971</v>
      </c>
      <c r="G1002">
        <f>IF(VLOOKUP(A1002,'Forecast Z Scores'!$A$1:$N$1541,14,FALSE)&gt;2,VLOOKUP(A1002,'Forecast Z Scores'!$A$1:$N$1541,13,FALSE)/VLOOKUP(A1002,'Forecast Z Scores'!$A$1:$N$1541,14,FALSE),"Not Enough Data")</f>
        <v>-0.58135512098004249</v>
      </c>
      <c r="H1002">
        <v>-0.53117255304096223</v>
      </c>
    </row>
    <row r="1003" spans="1:8" x14ac:dyDescent="0.35">
      <c r="A1003" t="str">
        <f t="shared" si="15"/>
        <v>18097380102_2025</v>
      </c>
      <c r="B1003">
        <v>18097380102</v>
      </c>
      <c r="C1003">
        <v>2025</v>
      </c>
      <c r="E1003">
        <f>-(IF(VLOOKUP(B1003,'2023 Z Scores'!$A$1:$K$309,11,FALSE)&gt;2,VLOOKUP(B1003,'2023 Z Scores'!$A$1:$K$309,10,FALSE)/VLOOKUP(B1003,'2023 Z Scores'!$A$1:$K$309,11,FALSE),"Not Enough data"))</f>
        <v>-6.734720486252721E-2</v>
      </c>
      <c r="F1003">
        <f>IF(VLOOKUP(A1003,'Delta Z Scores'!$A$1:$N$1541,14,FALSE)&gt;2,VLOOKUP(A1003,'Delta Z Scores'!$A$1:$N$1541,13,FALSE)/VLOOKUP(A1003,'Delta Z Scores'!$A$1:$N$1541,14,FALSE),"Not Enough Data")</f>
        <v>-0.10862885803934536</v>
      </c>
      <c r="G1003">
        <f>IF(VLOOKUP(A1003,'Forecast Z Scores'!$A$1:$N$1541,14,FALSE)&gt;2,VLOOKUP(A1003,'Forecast Z Scores'!$A$1:$N$1541,13,FALSE)/VLOOKUP(A1003,'Forecast Z Scores'!$A$1:$N$1541,14,FALSE),"Not Enough Data")</f>
        <v>-0.56052693101441131</v>
      </c>
      <c r="H1003">
        <v>-0.21128296298890731</v>
      </c>
    </row>
    <row r="1004" spans="1:8" x14ac:dyDescent="0.35">
      <c r="A1004" t="str">
        <f t="shared" si="15"/>
        <v>18097380102_2026</v>
      </c>
      <c r="B1004">
        <v>18097380102</v>
      </c>
      <c r="C1004">
        <v>2026</v>
      </c>
      <c r="E1004">
        <f>-(IF(VLOOKUP(B1004,'2023 Z Scores'!$A$1:$K$309,11,FALSE)&gt;2,VLOOKUP(B1004,'2023 Z Scores'!$A$1:$K$309,10,FALSE)/VLOOKUP(B1004,'2023 Z Scores'!$A$1:$K$309,11,FALSE),"Not Enough data"))</f>
        <v>-6.734720486252721E-2</v>
      </c>
      <c r="F1004">
        <f>IF(VLOOKUP(A1004,'Delta Z Scores'!$A$1:$N$1541,14,FALSE)&gt;2,VLOOKUP(A1004,'Delta Z Scores'!$A$1:$N$1541,13,FALSE)/VLOOKUP(A1004,'Delta Z Scores'!$A$1:$N$1541,14,FALSE),"Not Enough Data")</f>
        <v>-0.78668676823433814</v>
      </c>
      <c r="G1004">
        <f>IF(VLOOKUP(A1004,'Forecast Z Scores'!$A$1:$N$1541,14,FALSE)&gt;2,VLOOKUP(A1004,'Forecast Z Scores'!$A$1:$N$1541,13,FALSE)/VLOOKUP(A1004,'Forecast Z Scores'!$A$1:$N$1541,14,FALSE),"Not Enough Data")</f>
        <v>-0.59585114786894267</v>
      </c>
      <c r="H1004">
        <v>-0.55914297230003651</v>
      </c>
    </row>
    <row r="1005" spans="1:8" x14ac:dyDescent="0.35">
      <c r="A1005" t="str">
        <f t="shared" si="15"/>
        <v>18097380102_2027</v>
      </c>
      <c r="B1005">
        <v>18097380102</v>
      </c>
      <c r="C1005">
        <v>2027</v>
      </c>
      <c r="E1005">
        <f>-(IF(VLOOKUP(B1005,'2023 Z Scores'!$A$1:$K$309,11,FALSE)&gt;2,VLOOKUP(B1005,'2023 Z Scores'!$A$1:$K$309,10,FALSE)/VLOOKUP(B1005,'2023 Z Scores'!$A$1:$K$309,11,FALSE),"Not Enough data"))</f>
        <v>-6.734720486252721E-2</v>
      </c>
      <c r="F1005">
        <f>IF(VLOOKUP(A1005,'Delta Z Scores'!$A$1:$N$1541,14,FALSE)&gt;2,VLOOKUP(A1005,'Delta Z Scores'!$A$1:$N$1541,13,FALSE)/VLOOKUP(A1005,'Delta Z Scores'!$A$1:$N$1541,14,FALSE),"Not Enough Data")</f>
        <v>-0.18215775818728752</v>
      </c>
      <c r="G1005">
        <f>IF(VLOOKUP(A1005,'Forecast Z Scores'!$A$1:$N$1541,14,FALSE)&gt;2,VLOOKUP(A1005,'Forecast Z Scores'!$A$1:$N$1541,13,FALSE)/VLOOKUP(A1005,'Forecast Z Scores'!$A$1:$N$1541,14,FALSE),"Not Enough Data")</f>
        <v>-0.57024249087360912</v>
      </c>
      <c r="H1005">
        <v>-0.25047630302767787</v>
      </c>
    </row>
    <row r="1006" spans="1:8" x14ac:dyDescent="0.35">
      <c r="A1006" t="str">
        <f t="shared" si="15"/>
        <v>18097380102_2028</v>
      </c>
      <c r="B1006">
        <v>18097380102</v>
      </c>
      <c r="C1006">
        <v>2028</v>
      </c>
      <c r="E1006">
        <f>-(IF(VLOOKUP(B1006,'2023 Z Scores'!$A$1:$K$309,11,FALSE)&gt;2,VLOOKUP(B1006,'2023 Z Scores'!$A$1:$K$309,10,FALSE)/VLOOKUP(B1006,'2023 Z Scores'!$A$1:$K$309,11,FALSE),"Not Enough data"))</f>
        <v>-6.734720486252721E-2</v>
      </c>
      <c r="F1006">
        <f>IF(VLOOKUP(A1006,'Delta Z Scores'!$A$1:$N$1541,14,FALSE)&gt;2,VLOOKUP(A1006,'Delta Z Scores'!$A$1:$N$1541,13,FALSE)/VLOOKUP(A1006,'Delta Z Scores'!$A$1:$N$1541,14,FALSE),"Not Enough Data")</f>
        <v>-0.56178383848018687</v>
      </c>
      <c r="G1006">
        <f>IF(VLOOKUP(A1006,'Forecast Z Scores'!$A$1:$N$1541,14,FALSE)&gt;2,VLOOKUP(A1006,'Forecast Z Scores'!$A$1:$N$1541,13,FALSE)/VLOOKUP(A1006,'Forecast Z Scores'!$A$1:$N$1541,14,FALSE),"Not Enough Data")</f>
        <v>-0.59866650809070798</v>
      </c>
      <c r="H1006">
        <v>-0.44739534747840226</v>
      </c>
    </row>
    <row r="1007" spans="1:8" x14ac:dyDescent="0.35">
      <c r="A1007" t="str">
        <f t="shared" si="15"/>
        <v>18097380103_2024</v>
      </c>
      <c r="B1007">
        <v>18097380103</v>
      </c>
      <c r="C1007">
        <v>2024</v>
      </c>
      <c r="E1007">
        <f>-(IF(VLOOKUP(B1007,'2023 Z Scores'!$A$1:$K$309,11,FALSE)&gt;2,VLOOKUP(B1007,'2023 Z Scores'!$A$1:$K$309,10,FALSE)/VLOOKUP(B1007,'2023 Z Scores'!$A$1:$K$309,11,FALSE),"Not Enough data"))</f>
        <v>-0.51101955979293601</v>
      </c>
      <c r="F1007">
        <f>IF(VLOOKUP(A1007,'Delta Z Scores'!$A$1:$N$1541,14,FALSE)&gt;2,VLOOKUP(A1007,'Delta Z Scores'!$A$1:$N$1541,13,FALSE)/VLOOKUP(A1007,'Delta Z Scores'!$A$1:$N$1541,14,FALSE),"Not Enough Data")</f>
        <v>-9.0468337534701945E-2</v>
      </c>
      <c r="G1007">
        <f>IF(VLOOKUP(A1007,'Forecast Z Scores'!$A$1:$N$1541,14,FALSE)&gt;2,VLOOKUP(A1007,'Forecast Z Scores'!$A$1:$N$1541,13,FALSE)/VLOOKUP(A1007,'Forecast Z Scores'!$A$1:$N$1541,14,FALSE),"Not Enough Data")</f>
        <v>0.42911334273525359</v>
      </c>
      <c r="H1007">
        <v>-6.5710723031771584E-2</v>
      </c>
    </row>
    <row r="1008" spans="1:8" x14ac:dyDescent="0.35">
      <c r="A1008" t="str">
        <f t="shared" si="15"/>
        <v>18097380103_2025</v>
      </c>
      <c r="B1008">
        <v>18097380103</v>
      </c>
      <c r="C1008">
        <v>2025</v>
      </c>
      <c r="E1008">
        <f>-(IF(VLOOKUP(B1008,'2023 Z Scores'!$A$1:$K$309,11,FALSE)&gt;2,VLOOKUP(B1008,'2023 Z Scores'!$A$1:$K$309,10,FALSE)/VLOOKUP(B1008,'2023 Z Scores'!$A$1:$K$309,11,FALSE),"Not Enough data"))</f>
        <v>-0.51101955979293601</v>
      </c>
      <c r="F1008">
        <f>IF(VLOOKUP(A1008,'Delta Z Scores'!$A$1:$N$1541,14,FALSE)&gt;2,VLOOKUP(A1008,'Delta Z Scores'!$A$1:$N$1541,13,FALSE)/VLOOKUP(A1008,'Delta Z Scores'!$A$1:$N$1541,14,FALSE),"Not Enough Data")</f>
        <v>-4.892994996554767E-2</v>
      </c>
      <c r="G1008">
        <f>IF(VLOOKUP(A1008,'Forecast Z Scores'!$A$1:$N$1541,14,FALSE)&gt;2,VLOOKUP(A1008,'Forecast Z Scores'!$A$1:$N$1541,13,FALSE)/VLOOKUP(A1008,'Forecast Z Scores'!$A$1:$N$1541,14,FALSE),"Not Enough Data")</f>
        <v>0.42144921687293097</v>
      </c>
      <c r="H1008">
        <v>-4.6857560712775095E-2</v>
      </c>
    </row>
    <row r="1009" spans="1:8" x14ac:dyDescent="0.35">
      <c r="A1009" t="str">
        <f t="shared" si="15"/>
        <v>18097380103_2026</v>
      </c>
      <c r="B1009">
        <v>18097380103</v>
      </c>
      <c r="C1009">
        <v>2026</v>
      </c>
      <c r="E1009">
        <f>-(IF(VLOOKUP(B1009,'2023 Z Scores'!$A$1:$K$309,11,FALSE)&gt;2,VLOOKUP(B1009,'2023 Z Scores'!$A$1:$K$309,10,FALSE)/VLOOKUP(B1009,'2023 Z Scores'!$A$1:$K$309,11,FALSE),"Not Enough data"))</f>
        <v>-0.51101955979293601</v>
      </c>
      <c r="F1009">
        <f>IF(VLOOKUP(A1009,'Delta Z Scores'!$A$1:$N$1541,14,FALSE)&gt;2,VLOOKUP(A1009,'Delta Z Scores'!$A$1:$N$1541,13,FALSE)/VLOOKUP(A1009,'Delta Z Scores'!$A$1:$N$1541,14,FALSE),"Not Enough Data")</f>
        <v>-0.21170461774308469</v>
      </c>
      <c r="G1009">
        <f>IF(VLOOKUP(A1009,'Forecast Z Scores'!$A$1:$N$1541,14,FALSE)&gt;2,VLOOKUP(A1009,'Forecast Z Scores'!$A$1:$N$1541,13,FALSE)/VLOOKUP(A1009,'Forecast Z Scores'!$A$1:$N$1541,14,FALSE),"Not Enough Data")</f>
        <v>0.39702252767362783</v>
      </c>
      <c r="H1009">
        <v>-0.1343515669013694</v>
      </c>
    </row>
    <row r="1010" spans="1:8" x14ac:dyDescent="0.35">
      <c r="A1010" t="str">
        <f t="shared" si="15"/>
        <v>18097380103_2027</v>
      </c>
      <c r="B1010">
        <v>18097380103</v>
      </c>
      <c r="C1010">
        <v>2027</v>
      </c>
      <c r="E1010">
        <f>-(IF(VLOOKUP(B1010,'2023 Z Scores'!$A$1:$K$309,11,FALSE)&gt;2,VLOOKUP(B1010,'2023 Z Scores'!$A$1:$K$309,10,FALSE)/VLOOKUP(B1010,'2023 Z Scores'!$A$1:$K$309,11,FALSE),"Not Enough data"))</f>
        <v>-0.51101955979293601</v>
      </c>
      <c r="F1010">
        <f>IF(VLOOKUP(A1010,'Delta Z Scores'!$A$1:$N$1541,14,FALSE)&gt;2,VLOOKUP(A1010,'Delta Z Scores'!$A$1:$N$1541,13,FALSE)/VLOOKUP(A1010,'Delta Z Scores'!$A$1:$N$1541,14,FALSE),"Not Enough Data")</f>
        <v>5.7156881238107339E-2</v>
      </c>
      <c r="G1010">
        <f>IF(VLOOKUP(A1010,'Forecast Z Scores'!$A$1:$N$1541,14,FALSE)&gt;2,VLOOKUP(A1010,'Forecast Z Scores'!$A$1:$N$1541,13,FALSE)/VLOOKUP(A1010,'Forecast Z Scores'!$A$1:$N$1541,14,FALSE),"Not Enough Data")</f>
        <v>0.37143548803976006</v>
      </c>
      <c r="H1010">
        <v>-6.3175773192403195E-3</v>
      </c>
    </row>
    <row r="1011" spans="1:8" x14ac:dyDescent="0.35">
      <c r="A1011" t="str">
        <f t="shared" si="15"/>
        <v>18097380103_2028</v>
      </c>
      <c r="B1011">
        <v>18097380103</v>
      </c>
      <c r="C1011">
        <v>2028</v>
      </c>
      <c r="E1011">
        <f>-(IF(VLOOKUP(B1011,'2023 Z Scores'!$A$1:$K$309,11,FALSE)&gt;2,VLOOKUP(B1011,'2023 Z Scores'!$A$1:$K$309,10,FALSE)/VLOOKUP(B1011,'2023 Z Scores'!$A$1:$K$309,11,FALSE),"Not Enough data"))</f>
        <v>-0.51101955979293601</v>
      </c>
      <c r="F1011">
        <f>IF(VLOOKUP(A1011,'Delta Z Scores'!$A$1:$N$1541,14,FALSE)&gt;2,VLOOKUP(A1011,'Delta Z Scores'!$A$1:$N$1541,13,FALSE)/VLOOKUP(A1011,'Delta Z Scores'!$A$1:$N$1541,14,FALSE),"Not Enough Data")</f>
        <v>-0.23455076470229019</v>
      </c>
      <c r="G1011">
        <f>IF(VLOOKUP(A1011,'Forecast Z Scores'!$A$1:$N$1541,14,FALSE)&gt;2,VLOOKUP(A1011,'Forecast Z Scores'!$A$1:$N$1541,13,FALSE)/VLOOKUP(A1011,'Forecast Z Scores'!$A$1:$N$1541,14,FALSE),"Not Enough Data")</f>
        <v>0.34609999660536017</v>
      </c>
      <c r="H1011">
        <v>-0.15850527314803906</v>
      </c>
    </row>
    <row r="1012" spans="1:8" x14ac:dyDescent="0.35">
      <c r="A1012" t="str">
        <f t="shared" si="15"/>
        <v>18097380200_2024</v>
      </c>
      <c r="B1012">
        <v>18097380200</v>
      </c>
      <c r="C1012">
        <v>2024</v>
      </c>
      <c r="E1012">
        <f>-(IF(VLOOKUP(B1012,'2023 Z Scores'!$A$1:$K$309,11,FALSE)&gt;2,VLOOKUP(B1012,'2023 Z Scores'!$A$1:$K$309,10,FALSE)/VLOOKUP(B1012,'2023 Z Scores'!$A$1:$K$309,11,FALSE),"Not Enough data"))</f>
        <v>9.2274516862666814E-2</v>
      </c>
      <c r="F1012">
        <f>IF(VLOOKUP(A1012,'Delta Z Scores'!$A$1:$N$1541,14,FALSE)&gt;2,VLOOKUP(A1012,'Delta Z Scores'!$A$1:$N$1541,13,FALSE)/VLOOKUP(A1012,'Delta Z Scores'!$A$1:$N$1541,14,FALSE),"Not Enough Data")</f>
        <v>0.22448465221241248</v>
      </c>
      <c r="G1012">
        <f>IF(VLOOKUP(A1012,'Forecast Z Scores'!$A$1:$N$1541,14,FALSE)&gt;2,VLOOKUP(A1012,'Forecast Z Scores'!$A$1:$N$1541,13,FALSE)/VLOOKUP(A1012,'Forecast Z Scores'!$A$1:$N$1541,14,FALSE),"Not Enough Data")</f>
        <v>7.7325142767268096E-2</v>
      </c>
      <c r="H1012">
        <v>0.15464224101368998</v>
      </c>
    </row>
    <row r="1013" spans="1:8" x14ac:dyDescent="0.35">
      <c r="A1013" t="str">
        <f t="shared" si="15"/>
        <v>18097380200_2025</v>
      </c>
      <c r="B1013">
        <v>18097380200</v>
      </c>
      <c r="C1013">
        <v>2025</v>
      </c>
      <c r="E1013">
        <f>-(IF(VLOOKUP(B1013,'2023 Z Scores'!$A$1:$K$309,11,FALSE)&gt;2,VLOOKUP(B1013,'2023 Z Scores'!$A$1:$K$309,10,FALSE)/VLOOKUP(B1013,'2023 Z Scores'!$A$1:$K$309,11,FALSE),"Not Enough data"))</f>
        <v>9.2274516862666814E-2</v>
      </c>
      <c r="F1013">
        <f>IF(VLOOKUP(A1013,'Delta Z Scores'!$A$1:$N$1541,14,FALSE)&gt;2,VLOOKUP(A1013,'Delta Z Scores'!$A$1:$N$1541,13,FALSE)/VLOOKUP(A1013,'Delta Z Scores'!$A$1:$N$1541,14,FALSE),"Not Enough Data")</f>
        <v>3.0481049949687939E-2</v>
      </c>
      <c r="G1013">
        <f>IF(VLOOKUP(A1013,'Forecast Z Scores'!$A$1:$N$1541,14,FALSE)&gt;2,VLOOKUP(A1013,'Forecast Z Scores'!$A$1:$N$1541,13,FALSE)/VLOOKUP(A1013,'Forecast Z Scores'!$A$1:$N$1541,14,FALSE),"Not Enough Data")</f>
        <v>7.3221294885760263E-2</v>
      </c>
      <c r="H1013">
        <v>5.6614477911950734E-2</v>
      </c>
    </row>
    <row r="1014" spans="1:8" x14ac:dyDescent="0.35">
      <c r="A1014" t="str">
        <f t="shared" si="15"/>
        <v>18097380200_2026</v>
      </c>
      <c r="B1014">
        <v>18097380200</v>
      </c>
      <c r="C1014">
        <v>2026</v>
      </c>
      <c r="E1014">
        <f>-(IF(VLOOKUP(B1014,'2023 Z Scores'!$A$1:$K$309,11,FALSE)&gt;2,VLOOKUP(B1014,'2023 Z Scores'!$A$1:$K$309,10,FALSE)/VLOOKUP(B1014,'2023 Z Scores'!$A$1:$K$309,11,FALSE),"Not Enough data"))</f>
        <v>9.2274516862666814E-2</v>
      </c>
      <c r="F1014">
        <f>IF(VLOOKUP(A1014,'Delta Z Scores'!$A$1:$N$1541,14,FALSE)&gt;2,VLOOKUP(A1014,'Delta Z Scores'!$A$1:$N$1541,13,FALSE)/VLOOKUP(A1014,'Delta Z Scores'!$A$1:$N$1541,14,FALSE),"Not Enough Data")</f>
        <v>0.2886091848164386</v>
      </c>
      <c r="G1014">
        <f>IF(VLOOKUP(A1014,'Forecast Z Scores'!$A$1:$N$1541,14,FALSE)&gt;2,VLOOKUP(A1014,'Forecast Z Scores'!$A$1:$N$1541,13,FALSE)/VLOOKUP(A1014,'Forecast Z Scores'!$A$1:$N$1541,14,FALSE),"Not Enough Data")</f>
        <v>9.0133221407996622E-2</v>
      </c>
      <c r="H1014">
        <v>0.18990652697588517</v>
      </c>
    </row>
    <row r="1015" spans="1:8" x14ac:dyDescent="0.35">
      <c r="A1015" t="str">
        <f t="shared" si="15"/>
        <v>18097380200_2027</v>
      </c>
      <c r="B1015">
        <v>18097380200</v>
      </c>
      <c r="C1015">
        <v>2027</v>
      </c>
      <c r="E1015">
        <f>-(IF(VLOOKUP(B1015,'2023 Z Scores'!$A$1:$K$309,11,FALSE)&gt;2,VLOOKUP(B1015,'2023 Z Scores'!$A$1:$K$309,10,FALSE)/VLOOKUP(B1015,'2023 Z Scores'!$A$1:$K$309,11,FALSE),"Not Enough data"))</f>
        <v>9.2274516862666814E-2</v>
      </c>
      <c r="F1015">
        <f>IF(VLOOKUP(A1015,'Delta Z Scores'!$A$1:$N$1541,14,FALSE)&gt;2,VLOOKUP(A1015,'Delta Z Scores'!$A$1:$N$1541,13,FALSE)/VLOOKUP(A1015,'Delta Z Scores'!$A$1:$N$1541,14,FALSE),"Not Enough Data")</f>
        <v>0.15584985658584435</v>
      </c>
      <c r="G1015">
        <f>IF(VLOOKUP(A1015,'Forecast Z Scores'!$A$1:$N$1541,14,FALSE)&gt;2,VLOOKUP(A1015,'Forecast Z Scores'!$A$1:$N$1541,13,FALSE)/VLOOKUP(A1015,'Forecast Z Scores'!$A$1:$N$1541,14,FALSE),"Not Enough Data")</f>
        <v>9.1162426612861822E-2</v>
      </c>
      <c r="H1015">
        <v>0.12378416416180434</v>
      </c>
    </row>
    <row r="1016" spans="1:8" x14ac:dyDescent="0.35">
      <c r="A1016" t="str">
        <f t="shared" si="15"/>
        <v>18097380200_2028</v>
      </c>
      <c r="B1016">
        <v>18097380200</v>
      </c>
      <c r="C1016">
        <v>2028</v>
      </c>
      <c r="E1016">
        <f>-(IF(VLOOKUP(B1016,'2023 Z Scores'!$A$1:$K$309,11,FALSE)&gt;2,VLOOKUP(B1016,'2023 Z Scores'!$A$1:$K$309,10,FALSE)/VLOOKUP(B1016,'2023 Z Scores'!$A$1:$K$309,11,FALSE),"Not Enough data"))</f>
        <v>9.2274516862666814E-2</v>
      </c>
      <c r="F1016">
        <f>IF(VLOOKUP(A1016,'Delta Z Scores'!$A$1:$N$1541,14,FALSE)&gt;2,VLOOKUP(A1016,'Delta Z Scores'!$A$1:$N$1541,13,FALSE)/VLOOKUP(A1016,'Delta Z Scores'!$A$1:$N$1541,14,FALSE),"Not Enough Data")</f>
        <v>0.21656328172217892</v>
      </c>
      <c r="G1016">
        <f>IF(VLOOKUP(A1016,'Forecast Z Scores'!$A$1:$N$1541,14,FALSE)&gt;2,VLOOKUP(A1016,'Forecast Z Scores'!$A$1:$N$1541,13,FALSE)/VLOOKUP(A1016,'Forecast Z Scores'!$A$1:$N$1541,14,FALSE),"Not Enough Data")</f>
        <v>9.9869922275339307E-2</v>
      </c>
      <c r="H1016">
        <v>0.156317750645591</v>
      </c>
    </row>
    <row r="1017" spans="1:8" x14ac:dyDescent="0.35">
      <c r="A1017" t="str">
        <f t="shared" si="15"/>
        <v>18097380301_2024</v>
      </c>
      <c r="B1017">
        <v>18097380301</v>
      </c>
      <c r="C1017">
        <v>2024</v>
      </c>
      <c r="E1017">
        <f>-(IF(VLOOKUP(B1017,'2023 Z Scores'!$A$1:$K$309,11,FALSE)&gt;2,VLOOKUP(B1017,'2023 Z Scores'!$A$1:$K$309,10,FALSE)/VLOOKUP(B1017,'2023 Z Scores'!$A$1:$K$309,11,FALSE),"Not Enough data"))</f>
        <v>-0.48813193762063484</v>
      </c>
      <c r="F1017">
        <f>IF(VLOOKUP(A1017,'Delta Z Scores'!$A$1:$N$1541,14,FALSE)&gt;2,VLOOKUP(A1017,'Delta Z Scores'!$A$1:$N$1541,13,FALSE)/VLOOKUP(A1017,'Delta Z Scores'!$A$1:$N$1541,14,FALSE),"Not Enough Data")</f>
        <v>0.47626559708364197</v>
      </c>
      <c r="G1017">
        <f>IF(VLOOKUP(A1017,'Forecast Z Scores'!$A$1:$N$1541,14,FALSE)&gt;2,VLOOKUP(A1017,'Forecast Z Scores'!$A$1:$N$1541,13,FALSE)/VLOOKUP(A1017,'Forecast Z Scores'!$A$1:$N$1541,14,FALSE),"Not Enough Data")</f>
        <v>1.4286889880644115E-2</v>
      </c>
      <c r="H1017">
        <v>0.11967153660682329</v>
      </c>
    </row>
    <row r="1018" spans="1:8" x14ac:dyDescent="0.35">
      <c r="A1018" t="str">
        <f t="shared" si="15"/>
        <v>18097380301_2025</v>
      </c>
      <c r="B1018">
        <v>18097380301</v>
      </c>
      <c r="C1018">
        <v>2025</v>
      </c>
      <c r="E1018">
        <f>-(IF(VLOOKUP(B1018,'2023 Z Scores'!$A$1:$K$309,11,FALSE)&gt;2,VLOOKUP(B1018,'2023 Z Scores'!$A$1:$K$309,10,FALSE)/VLOOKUP(B1018,'2023 Z Scores'!$A$1:$K$309,11,FALSE),"Not Enough data"))</f>
        <v>-0.48813193762063484</v>
      </c>
      <c r="F1018">
        <f>IF(VLOOKUP(A1018,'Delta Z Scores'!$A$1:$N$1541,14,FALSE)&gt;2,VLOOKUP(A1018,'Delta Z Scores'!$A$1:$N$1541,13,FALSE)/VLOOKUP(A1018,'Delta Z Scores'!$A$1:$N$1541,14,FALSE),"Not Enough Data")</f>
        <v>-0.2347325887165021</v>
      </c>
      <c r="G1018">
        <f>IF(VLOOKUP(A1018,'Forecast Z Scores'!$A$1:$N$1541,14,FALSE)&gt;2,VLOOKUP(A1018,'Forecast Z Scores'!$A$1:$N$1541,13,FALSE)/VLOOKUP(A1018,'Forecast Z Scores'!$A$1:$N$1541,14,FALSE),"Not Enough Data")</f>
        <v>-1.0470256897131347E-2</v>
      </c>
      <c r="H1018">
        <v>-0.2420168429876926</v>
      </c>
    </row>
    <row r="1019" spans="1:8" x14ac:dyDescent="0.35">
      <c r="A1019" t="str">
        <f t="shared" si="15"/>
        <v>18097380301_2026</v>
      </c>
      <c r="B1019">
        <v>18097380301</v>
      </c>
      <c r="C1019">
        <v>2026</v>
      </c>
      <c r="E1019">
        <f>-(IF(VLOOKUP(B1019,'2023 Z Scores'!$A$1:$K$309,11,FALSE)&gt;2,VLOOKUP(B1019,'2023 Z Scores'!$A$1:$K$309,10,FALSE)/VLOOKUP(B1019,'2023 Z Scores'!$A$1:$K$309,11,FALSE),"Not Enough data"))</f>
        <v>-0.48813193762063484</v>
      </c>
      <c r="F1019">
        <f>IF(VLOOKUP(A1019,'Delta Z Scores'!$A$1:$N$1541,14,FALSE)&gt;2,VLOOKUP(A1019,'Delta Z Scores'!$A$1:$N$1541,13,FALSE)/VLOOKUP(A1019,'Delta Z Scores'!$A$1:$N$1541,14,FALSE),"Not Enough Data")</f>
        <v>0.71256766947695438</v>
      </c>
      <c r="G1019">
        <f>IF(VLOOKUP(A1019,'Forecast Z Scores'!$A$1:$N$1541,14,FALSE)&gt;2,VLOOKUP(A1019,'Forecast Z Scores'!$A$1:$N$1541,13,FALSE)/VLOOKUP(A1019,'Forecast Z Scores'!$A$1:$N$1541,14,FALSE),"Not Enough Data")</f>
        <v>3.723196267385688E-2</v>
      </c>
      <c r="H1019">
        <v>0.24355884100178271</v>
      </c>
    </row>
    <row r="1020" spans="1:8" x14ac:dyDescent="0.35">
      <c r="A1020" t="str">
        <f t="shared" si="15"/>
        <v>18097380301_2027</v>
      </c>
      <c r="B1020">
        <v>18097380301</v>
      </c>
      <c r="C1020">
        <v>2027</v>
      </c>
      <c r="E1020">
        <f>-(IF(VLOOKUP(B1020,'2023 Z Scores'!$A$1:$K$309,11,FALSE)&gt;2,VLOOKUP(B1020,'2023 Z Scores'!$A$1:$K$309,10,FALSE)/VLOOKUP(B1020,'2023 Z Scores'!$A$1:$K$309,11,FALSE),"Not Enough data"))</f>
        <v>-0.48813193762063484</v>
      </c>
      <c r="F1020">
        <f>IF(VLOOKUP(A1020,'Delta Z Scores'!$A$1:$N$1541,14,FALSE)&gt;2,VLOOKUP(A1020,'Delta Z Scores'!$A$1:$N$1541,13,FALSE)/VLOOKUP(A1020,'Delta Z Scores'!$A$1:$N$1541,14,FALSE),"Not Enough Data")</f>
        <v>-5.5733541861249904E-3</v>
      </c>
      <c r="G1020">
        <f>IF(VLOOKUP(A1020,'Forecast Z Scores'!$A$1:$N$1541,14,FALSE)&gt;2,VLOOKUP(A1020,'Forecast Z Scores'!$A$1:$N$1541,13,FALSE)/VLOOKUP(A1020,'Forecast Z Scores'!$A$1:$N$1541,14,FALSE),"Not Enough Data")</f>
        <v>3.829836902123529E-2</v>
      </c>
      <c r="H1020">
        <v>-0.11524506924291238</v>
      </c>
    </row>
    <row r="1021" spans="1:8" x14ac:dyDescent="0.35">
      <c r="A1021" t="str">
        <f t="shared" si="15"/>
        <v>18097380301_2028</v>
      </c>
      <c r="B1021">
        <v>18097380301</v>
      </c>
      <c r="C1021">
        <v>2028</v>
      </c>
      <c r="E1021">
        <f>-(IF(VLOOKUP(B1021,'2023 Z Scores'!$A$1:$K$309,11,FALSE)&gt;2,VLOOKUP(B1021,'2023 Z Scores'!$A$1:$K$309,10,FALSE)/VLOOKUP(B1021,'2023 Z Scores'!$A$1:$K$309,11,FALSE),"Not Enough data"))</f>
        <v>-0.48813193762063484</v>
      </c>
      <c r="F1021">
        <f>IF(VLOOKUP(A1021,'Delta Z Scores'!$A$1:$N$1541,14,FALSE)&gt;2,VLOOKUP(A1021,'Delta Z Scores'!$A$1:$N$1541,13,FALSE)/VLOOKUP(A1021,'Delta Z Scores'!$A$1:$N$1541,14,FALSE),"Not Enough Data")</f>
        <v>0.46752850617122216</v>
      </c>
      <c r="G1021">
        <f>IF(VLOOKUP(A1021,'Forecast Z Scores'!$A$1:$N$1541,14,FALSE)&gt;2,VLOOKUP(A1021,'Forecast Z Scores'!$A$1:$N$1541,13,FALSE)/VLOOKUP(A1021,'Forecast Z Scores'!$A$1:$N$1541,14,FALSE),"Not Enough Data")</f>
        <v>7.1688059552510591E-2</v>
      </c>
      <c r="H1021">
        <v>0.12965328356858002</v>
      </c>
    </row>
    <row r="1022" spans="1:8" x14ac:dyDescent="0.35">
      <c r="A1022" t="str">
        <f t="shared" si="15"/>
        <v>18097380302_2024</v>
      </c>
      <c r="B1022">
        <v>18097380302</v>
      </c>
      <c r="C1022">
        <v>2024</v>
      </c>
      <c r="E1022">
        <f>-(IF(VLOOKUP(B1022,'2023 Z Scores'!$A$1:$K$309,11,FALSE)&gt;2,VLOOKUP(B1022,'2023 Z Scores'!$A$1:$K$309,10,FALSE)/VLOOKUP(B1022,'2023 Z Scores'!$A$1:$K$309,11,FALSE),"Not Enough data"))</f>
        <v>0.40436096225358514</v>
      </c>
      <c r="F1022">
        <f>IF(VLOOKUP(A1022,'Delta Z Scores'!$A$1:$N$1541,14,FALSE)&gt;2,VLOOKUP(A1022,'Delta Z Scores'!$A$1:$N$1541,13,FALSE)/VLOOKUP(A1022,'Delta Z Scores'!$A$1:$N$1541,14,FALSE),"Not Enough Data")</f>
        <v>0.51547748509826452</v>
      </c>
      <c r="G1022">
        <f>IF(VLOOKUP(A1022,'Forecast Z Scores'!$A$1:$N$1541,14,FALSE)&gt;2,VLOOKUP(A1022,'Forecast Z Scores'!$A$1:$N$1541,13,FALSE)/VLOOKUP(A1022,'Forecast Z Scores'!$A$1:$N$1541,14,FALSE),"Not Enough Data")</f>
        <v>-0.21252940548468724</v>
      </c>
      <c r="H1022">
        <v>0.30569663174135675</v>
      </c>
    </row>
    <row r="1023" spans="1:8" x14ac:dyDescent="0.35">
      <c r="A1023" t="str">
        <f t="shared" si="15"/>
        <v>18097380302_2025</v>
      </c>
      <c r="B1023">
        <v>18097380302</v>
      </c>
      <c r="C1023">
        <v>2025</v>
      </c>
      <c r="E1023">
        <f>-(IF(VLOOKUP(B1023,'2023 Z Scores'!$A$1:$K$309,11,FALSE)&gt;2,VLOOKUP(B1023,'2023 Z Scores'!$A$1:$K$309,10,FALSE)/VLOOKUP(B1023,'2023 Z Scores'!$A$1:$K$309,11,FALSE),"Not Enough data"))</f>
        <v>0.40436096225358514</v>
      </c>
      <c r="F1023">
        <f>IF(VLOOKUP(A1023,'Delta Z Scores'!$A$1:$N$1541,14,FALSE)&gt;2,VLOOKUP(A1023,'Delta Z Scores'!$A$1:$N$1541,13,FALSE)/VLOOKUP(A1023,'Delta Z Scores'!$A$1:$N$1541,14,FALSE),"Not Enough Data")</f>
        <v>0.10065979420874911</v>
      </c>
      <c r="G1023">
        <f>IF(VLOOKUP(A1023,'Forecast Z Scores'!$A$1:$N$1541,14,FALSE)&gt;2,VLOOKUP(A1023,'Forecast Z Scores'!$A$1:$N$1541,13,FALSE)/VLOOKUP(A1023,'Forecast Z Scores'!$A$1:$N$1541,14,FALSE),"Not Enough Data")</f>
        <v>-0.20000295707689927</v>
      </c>
      <c r="H1023">
        <v>0.10141939839854602</v>
      </c>
    </row>
    <row r="1024" spans="1:8" x14ac:dyDescent="0.35">
      <c r="A1024" t="str">
        <f t="shared" si="15"/>
        <v>18097380302_2026</v>
      </c>
      <c r="B1024">
        <v>18097380302</v>
      </c>
      <c r="C1024">
        <v>2026</v>
      </c>
      <c r="E1024">
        <f>-(IF(VLOOKUP(B1024,'2023 Z Scores'!$A$1:$K$309,11,FALSE)&gt;2,VLOOKUP(B1024,'2023 Z Scores'!$A$1:$K$309,10,FALSE)/VLOOKUP(B1024,'2023 Z Scores'!$A$1:$K$309,11,FALSE),"Not Enough data"))</f>
        <v>0.40436096225358514</v>
      </c>
      <c r="F1024">
        <f>IF(VLOOKUP(A1024,'Delta Z Scores'!$A$1:$N$1541,14,FALSE)&gt;2,VLOOKUP(A1024,'Delta Z Scores'!$A$1:$N$1541,13,FALSE)/VLOOKUP(A1024,'Delta Z Scores'!$A$1:$N$1541,14,FALSE),"Not Enough Data")</f>
        <v>0.79646042229640435</v>
      </c>
      <c r="G1024">
        <f>IF(VLOOKUP(A1024,'Forecast Z Scores'!$A$1:$N$1541,14,FALSE)&gt;2,VLOOKUP(A1024,'Forecast Z Scores'!$A$1:$N$1541,13,FALSE)/VLOOKUP(A1024,'Forecast Z Scores'!$A$1:$N$1541,14,FALSE),"Not Enough Data")</f>
        <v>-8.254833259850991E-2</v>
      </c>
      <c r="H1024">
        <v>0.47868336856197097</v>
      </c>
    </row>
    <row r="1025" spans="1:8" x14ac:dyDescent="0.35">
      <c r="A1025" t="str">
        <f t="shared" si="15"/>
        <v>18097380302_2027</v>
      </c>
      <c r="B1025">
        <v>18097380302</v>
      </c>
      <c r="C1025">
        <v>2027</v>
      </c>
      <c r="E1025">
        <f>-(IF(VLOOKUP(B1025,'2023 Z Scores'!$A$1:$K$309,11,FALSE)&gt;2,VLOOKUP(B1025,'2023 Z Scores'!$A$1:$K$309,10,FALSE)/VLOOKUP(B1025,'2023 Z Scores'!$A$1:$K$309,11,FALSE),"Not Enough data"))</f>
        <v>0.40436096225358514</v>
      </c>
      <c r="F1025">
        <f>IF(VLOOKUP(A1025,'Delta Z Scores'!$A$1:$N$1541,14,FALSE)&gt;2,VLOOKUP(A1025,'Delta Z Scores'!$A$1:$N$1541,13,FALSE)/VLOOKUP(A1025,'Delta Z Scores'!$A$1:$N$1541,14,FALSE),"Not Enough Data")</f>
        <v>0.17206878552936547</v>
      </c>
      <c r="G1025">
        <f>IF(VLOOKUP(A1025,'Forecast Z Scores'!$A$1:$N$1541,14,FALSE)&gt;2,VLOOKUP(A1025,'Forecast Z Scores'!$A$1:$N$1541,13,FALSE)/VLOOKUP(A1025,'Forecast Z Scores'!$A$1:$N$1541,14,FALSE),"Not Enough Data")</f>
        <v>-7.0131398239550835E-2</v>
      </c>
      <c r="H1025">
        <v>0.16959178376819131</v>
      </c>
    </row>
    <row r="1026" spans="1:8" x14ac:dyDescent="0.35">
      <c r="A1026" t="str">
        <f t="shared" si="15"/>
        <v>18097380302_2028</v>
      </c>
      <c r="B1026">
        <v>18097380302</v>
      </c>
      <c r="C1026">
        <v>2028</v>
      </c>
      <c r="E1026">
        <f>-(IF(VLOOKUP(B1026,'2023 Z Scores'!$A$1:$K$309,11,FALSE)&gt;2,VLOOKUP(B1026,'2023 Z Scores'!$A$1:$K$309,10,FALSE)/VLOOKUP(B1026,'2023 Z Scores'!$A$1:$K$309,11,FALSE),"Not Enough data"))</f>
        <v>0.40436096225358514</v>
      </c>
      <c r="F1026">
        <f>IF(VLOOKUP(A1026,'Delta Z Scores'!$A$1:$N$1541,14,FALSE)&gt;2,VLOOKUP(A1026,'Delta Z Scores'!$A$1:$N$1541,13,FALSE)/VLOOKUP(A1026,'Delta Z Scores'!$A$1:$N$1541,14,FALSE),"Not Enough Data")</f>
        <v>0.76027596507758632</v>
      </c>
      <c r="G1026">
        <f>IF(VLOOKUP(A1026,'Forecast Z Scores'!$A$1:$N$1541,14,FALSE)&gt;2,VLOOKUP(A1026,'Forecast Z Scores'!$A$1:$N$1541,13,FALSE)/VLOOKUP(A1026,'Forecast Z Scores'!$A$1:$N$1541,14,FALSE),"Not Enough Data")</f>
        <v>3.3050460105181902E-2</v>
      </c>
      <c r="H1026">
        <v>0.48949083812848493</v>
      </c>
    </row>
    <row r="1027" spans="1:8" x14ac:dyDescent="0.35">
      <c r="A1027" t="str">
        <f t="shared" ref="A1027:A1090" si="16">TEXT(B1027,0)&amp;"_"&amp;TEXT(C1027,0)</f>
        <v>18097380402_2024</v>
      </c>
      <c r="B1027">
        <v>18097380402</v>
      </c>
      <c r="C1027">
        <v>2024</v>
      </c>
      <c r="E1027">
        <f>-(IF(VLOOKUP(B1027,'2023 Z Scores'!$A$1:$K$309,11,FALSE)&gt;2,VLOOKUP(B1027,'2023 Z Scores'!$A$1:$K$309,10,FALSE)/VLOOKUP(B1027,'2023 Z Scores'!$A$1:$K$309,11,FALSE),"Not Enough data"))</f>
        <v>-0.21914861515356868</v>
      </c>
      <c r="F1027">
        <f>IF(VLOOKUP(A1027,'Delta Z Scores'!$A$1:$N$1541,14,FALSE)&gt;2,VLOOKUP(A1027,'Delta Z Scores'!$A$1:$N$1541,13,FALSE)/VLOOKUP(A1027,'Delta Z Scores'!$A$1:$N$1541,14,FALSE),"Not Enough Data")</f>
        <v>0.415882857767568</v>
      </c>
      <c r="G1027">
        <f>IF(VLOOKUP(A1027,'Forecast Z Scores'!$A$1:$N$1541,14,FALSE)&gt;2,VLOOKUP(A1027,'Forecast Z Scores'!$A$1:$N$1541,13,FALSE)/VLOOKUP(A1027,'Forecast Z Scores'!$A$1:$N$1541,14,FALSE),"Not Enough Data")</f>
        <v>4.8169688550880954E-2</v>
      </c>
      <c r="H1027">
        <v>0.16519669723311209</v>
      </c>
    </row>
    <row r="1028" spans="1:8" x14ac:dyDescent="0.35">
      <c r="A1028" t="str">
        <f t="shared" si="16"/>
        <v>18097380402_2025</v>
      </c>
      <c r="B1028">
        <v>18097380402</v>
      </c>
      <c r="C1028">
        <v>2025</v>
      </c>
      <c r="E1028">
        <f>-(IF(VLOOKUP(B1028,'2023 Z Scores'!$A$1:$K$309,11,FALSE)&gt;2,VLOOKUP(B1028,'2023 Z Scores'!$A$1:$K$309,10,FALSE)/VLOOKUP(B1028,'2023 Z Scores'!$A$1:$K$309,11,FALSE),"Not Enough data"))</f>
        <v>-0.21914861515356868</v>
      </c>
      <c r="F1028">
        <f>IF(VLOOKUP(A1028,'Delta Z Scores'!$A$1:$N$1541,14,FALSE)&gt;2,VLOOKUP(A1028,'Delta Z Scores'!$A$1:$N$1541,13,FALSE)/VLOOKUP(A1028,'Delta Z Scores'!$A$1:$N$1541,14,FALSE),"Not Enough Data")</f>
        <v>-0.25540349635299592</v>
      </c>
      <c r="G1028">
        <f>IF(VLOOKUP(A1028,'Forecast Z Scores'!$A$1:$N$1541,14,FALSE)&gt;2,VLOOKUP(A1028,'Forecast Z Scores'!$A$1:$N$1541,13,FALSE)/VLOOKUP(A1028,'Forecast Z Scores'!$A$1:$N$1541,14,FALSE),"Not Enough Data")</f>
        <v>2.5638320807924091E-2</v>
      </c>
      <c r="H1028">
        <v>-0.17607932176290911</v>
      </c>
    </row>
    <row r="1029" spans="1:8" x14ac:dyDescent="0.35">
      <c r="A1029" t="str">
        <f t="shared" si="16"/>
        <v>18097380402_2026</v>
      </c>
      <c r="B1029">
        <v>18097380402</v>
      </c>
      <c r="C1029">
        <v>2026</v>
      </c>
      <c r="E1029">
        <f>-(IF(VLOOKUP(B1029,'2023 Z Scores'!$A$1:$K$309,11,FALSE)&gt;2,VLOOKUP(B1029,'2023 Z Scores'!$A$1:$K$309,10,FALSE)/VLOOKUP(B1029,'2023 Z Scores'!$A$1:$K$309,11,FALSE),"Not Enough data"))</f>
        <v>-0.21914861515356868</v>
      </c>
      <c r="F1029">
        <f>IF(VLOOKUP(A1029,'Delta Z Scores'!$A$1:$N$1541,14,FALSE)&gt;2,VLOOKUP(A1029,'Delta Z Scores'!$A$1:$N$1541,13,FALSE)/VLOOKUP(A1029,'Delta Z Scores'!$A$1:$N$1541,14,FALSE),"Not Enough Data")</f>
        <v>0.42449349997796482</v>
      </c>
      <c r="G1029">
        <f>IF(VLOOKUP(A1029,'Forecast Z Scores'!$A$1:$N$1541,14,FALSE)&gt;2,VLOOKUP(A1029,'Forecast Z Scores'!$A$1:$N$1541,13,FALSE)/VLOOKUP(A1029,'Forecast Z Scores'!$A$1:$N$1541,14,FALSE),"Not Enough Data")</f>
        <v>3.8278536409526352E-2</v>
      </c>
      <c r="H1029">
        <v>0.16702923030297184</v>
      </c>
    </row>
    <row r="1030" spans="1:8" x14ac:dyDescent="0.35">
      <c r="A1030" t="str">
        <f t="shared" si="16"/>
        <v>18097380402_2027</v>
      </c>
      <c r="B1030">
        <v>18097380402</v>
      </c>
      <c r="C1030">
        <v>2027</v>
      </c>
      <c r="E1030">
        <f>-(IF(VLOOKUP(B1030,'2023 Z Scores'!$A$1:$K$309,11,FALSE)&gt;2,VLOOKUP(B1030,'2023 Z Scores'!$A$1:$K$309,10,FALSE)/VLOOKUP(B1030,'2023 Z Scores'!$A$1:$K$309,11,FALSE),"Not Enough data"))</f>
        <v>-0.21914861515356868</v>
      </c>
      <c r="F1030">
        <f>IF(VLOOKUP(A1030,'Delta Z Scores'!$A$1:$N$1541,14,FALSE)&gt;2,VLOOKUP(A1030,'Delta Z Scores'!$A$1:$N$1541,13,FALSE)/VLOOKUP(A1030,'Delta Z Scores'!$A$1:$N$1541,14,FALSE),"Not Enough Data")</f>
        <v>-0.10302263953634602</v>
      </c>
      <c r="G1030">
        <f>IF(VLOOKUP(A1030,'Forecast Z Scores'!$A$1:$N$1541,14,FALSE)&gt;2,VLOOKUP(A1030,'Forecast Z Scores'!$A$1:$N$1541,13,FALSE)/VLOOKUP(A1030,'Forecast Z Scores'!$A$1:$N$1541,14,FALSE),"Not Enough Data")</f>
        <v>2.5600777919133066E-2</v>
      </c>
      <c r="H1030">
        <v>-9.9898279076781921E-2</v>
      </c>
    </row>
    <row r="1031" spans="1:8" x14ac:dyDescent="0.35">
      <c r="A1031" t="str">
        <f t="shared" si="16"/>
        <v>18097380402_2028</v>
      </c>
      <c r="B1031">
        <v>18097380402</v>
      </c>
      <c r="C1031">
        <v>2028</v>
      </c>
      <c r="E1031">
        <f>-(IF(VLOOKUP(B1031,'2023 Z Scores'!$A$1:$K$309,11,FALSE)&gt;2,VLOOKUP(B1031,'2023 Z Scores'!$A$1:$K$309,10,FALSE)/VLOOKUP(B1031,'2023 Z Scores'!$A$1:$K$309,11,FALSE),"Not Enough data"))</f>
        <v>-0.21914861515356868</v>
      </c>
      <c r="F1031">
        <f>IF(VLOOKUP(A1031,'Delta Z Scores'!$A$1:$N$1541,14,FALSE)&gt;2,VLOOKUP(A1031,'Delta Z Scores'!$A$1:$N$1541,13,FALSE)/VLOOKUP(A1031,'Delta Z Scores'!$A$1:$N$1541,14,FALSE),"Not Enough Data")</f>
        <v>0.29600888250236934</v>
      </c>
      <c r="G1031">
        <f>IF(VLOOKUP(A1031,'Forecast Z Scores'!$A$1:$N$1541,14,FALSE)&gt;2,VLOOKUP(A1031,'Forecast Z Scores'!$A$1:$N$1541,13,FALSE)/VLOOKUP(A1031,'Forecast Z Scores'!$A$1:$N$1541,14,FALSE),"Not Enough Data")</f>
        <v>3.6481585300259918E-2</v>
      </c>
      <c r="H1031">
        <v>0.10233768378785749</v>
      </c>
    </row>
    <row r="1032" spans="1:8" x14ac:dyDescent="0.35">
      <c r="A1032" t="str">
        <f t="shared" si="16"/>
        <v>18097380403_2024</v>
      </c>
      <c r="B1032">
        <v>18097380403</v>
      </c>
      <c r="C1032">
        <v>2024</v>
      </c>
      <c r="E1032">
        <f>-(IF(VLOOKUP(B1032,'2023 Z Scores'!$A$1:$K$309,11,FALSE)&gt;2,VLOOKUP(B1032,'2023 Z Scores'!$A$1:$K$309,10,FALSE)/VLOOKUP(B1032,'2023 Z Scores'!$A$1:$K$309,11,FALSE),"Not Enough data"))</f>
        <v>1.2927201275084855E-2</v>
      </c>
      <c r="F1032">
        <f>IF(VLOOKUP(A1032,'Delta Z Scores'!$A$1:$N$1541,14,FALSE)&gt;2,VLOOKUP(A1032,'Delta Z Scores'!$A$1:$N$1541,13,FALSE)/VLOOKUP(A1032,'Delta Z Scores'!$A$1:$N$1541,14,FALSE),"Not Enough Data")</f>
        <v>-9.1021184183480847E-2</v>
      </c>
      <c r="G1032">
        <f>IF(VLOOKUP(A1032,'Forecast Z Scores'!$A$1:$N$1541,14,FALSE)&gt;2,VLOOKUP(A1032,'Forecast Z Scores'!$A$1:$N$1541,13,FALSE)/VLOOKUP(A1032,'Forecast Z Scores'!$A$1:$N$1541,14,FALSE),"Not Enough Data")</f>
        <v>-0.27127702323646224</v>
      </c>
      <c r="H1032">
        <v>-0.11009804758208477</v>
      </c>
    </row>
    <row r="1033" spans="1:8" x14ac:dyDescent="0.35">
      <c r="A1033" t="str">
        <f t="shared" si="16"/>
        <v>18097380403_2025</v>
      </c>
      <c r="B1033">
        <v>18097380403</v>
      </c>
      <c r="C1033">
        <v>2025</v>
      </c>
      <c r="E1033">
        <f>-(IF(VLOOKUP(B1033,'2023 Z Scores'!$A$1:$K$309,11,FALSE)&gt;2,VLOOKUP(B1033,'2023 Z Scores'!$A$1:$K$309,10,FALSE)/VLOOKUP(B1033,'2023 Z Scores'!$A$1:$K$309,11,FALSE),"Not Enough data"))</f>
        <v>1.2927201275084855E-2</v>
      </c>
      <c r="F1033">
        <f>IF(VLOOKUP(A1033,'Delta Z Scores'!$A$1:$N$1541,14,FALSE)&gt;2,VLOOKUP(A1033,'Delta Z Scores'!$A$1:$N$1541,13,FALSE)/VLOOKUP(A1033,'Delta Z Scores'!$A$1:$N$1541,14,FALSE),"Not Enough Data")</f>
        <v>-0.14503954569519778</v>
      </c>
      <c r="G1033">
        <f>IF(VLOOKUP(A1033,'Forecast Z Scores'!$A$1:$N$1541,14,FALSE)&gt;2,VLOOKUP(A1033,'Forecast Z Scores'!$A$1:$N$1541,13,FALSE)/VLOOKUP(A1033,'Forecast Z Scores'!$A$1:$N$1541,14,FALSE),"Not Enough Data")</f>
        <v>-0.28110306098217874</v>
      </c>
      <c r="H1033">
        <v>-0.13956373777437237</v>
      </c>
    </row>
    <row r="1034" spans="1:8" x14ac:dyDescent="0.35">
      <c r="A1034" t="str">
        <f t="shared" si="16"/>
        <v>18097380403_2026</v>
      </c>
      <c r="B1034">
        <v>18097380403</v>
      </c>
      <c r="C1034">
        <v>2026</v>
      </c>
      <c r="E1034">
        <f>-(IF(VLOOKUP(B1034,'2023 Z Scores'!$A$1:$K$309,11,FALSE)&gt;2,VLOOKUP(B1034,'2023 Z Scores'!$A$1:$K$309,10,FALSE)/VLOOKUP(B1034,'2023 Z Scores'!$A$1:$K$309,11,FALSE),"Not Enough data"))</f>
        <v>1.2927201275084855E-2</v>
      </c>
      <c r="F1034">
        <f>IF(VLOOKUP(A1034,'Delta Z Scores'!$A$1:$N$1541,14,FALSE)&gt;2,VLOOKUP(A1034,'Delta Z Scores'!$A$1:$N$1541,13,FALSE)/VLOOKUP(A1034,'Delta Z Scores'!$A$1:$N$1541,14,FALSE),"Not Enough Data")</f>
        <v>8.6021835223392892E-2</v>
      </c>
      <c r="G1034">
        <f>IF(VLOOKUP(A1034,'Forecast Z Scores'!$A$1:$N$1541,14,FALSE)&gt;2,VLOOKUP(A1034,'Forecast Z Scores'!$A$1:$N$1541,13,FALSE)/VLOOKUP(A1034,'Forecast Z Scores'!$A$1:$N$1541,14,FALSE),"Not Enough Data")</f>
        <v>-0.28813195128833424</v>
      </c>
      <c r="H1034">
        <v>-2.57902698916159E-2</v>
      </c>
    </row>
    <row r="1035" spans="1:8" x14ac:dyDescent="0.35">
      <c r="A1035" t="str">
        <f t="shared" si="16"/>
        <v>18097380403_2027</v>
      </c>
      <c r="B1035">
        <v>18097380403</v>
      </c>
      <c r="C1035">
        <v>2027</v>
      </c>
      <c r="E1035">
        <f>-(IF(VLOOKUP(B1035,'2023 Z Scores'!$A$1:$K$309,11,FALSE)&gt;2,VLOOKUP(B1035,'2023 Z Scores'!$A$1:$K$309,10,FALSE)/VLOOKUP(B1035,'2023 Z Scores'!$A$1:$K$309,11,FALSE),"Not Enough data"))</f>
        <v>1.2927201275084855E-2</v>
      </c>
      <c r="F1035">
        <f>IF(VLOOKUP(A1035,'Delta Z Scores'!$A$1:$N$1541,14,FALSE)&gt;2,VLOOKUP(A1035,'Delta Z Scores'!$A$1:$N$1541,13,FALSE)/VLOOKUP(A1035,'Delta Z Scores'!$A$1:$N$1541,14,FALSE),"Not Enough Data")</f>
        <v>-0.14695035747445623</v>
      </c>
      <c r="G1035">
        <f>IF(VLOOKUP(A1035,'Forecast Z Scores'!$A$1:$N$1541,14,FALSE)&gt;2,VLOOKUP(A1035,'Forecast Z Scores'!$A$1:$N$1541,13,FALSE)/VLOOKUP(A1035,'Forecast Z Scores'!$A$1:$N$1541,14,FALSE),"Not Enough Data")</f>
        <v>-0.28800902927498817</v>
      </c>
      <c r="H1035">
        <v>-0.14224563573720395</v>
      </c>
    </row>
    <row r="1036" spans="1:8" x14ac:dyDescent="0.35">
      <c r="A1036" t="str">
        <f t="shared" si="16"/>
        <v>18097380403_2028</v>
      </c>
      <c r="B1036">
        <v>18097380403</v>
      </c>
      <c r="C1036">
        <v>2028</v>
      </c>
      <c r="E1036">
        <f>-(IF(VLOOKUP(B1036,'2023 Z Scores'!$A$1:$K$309,11,FALSE)&gt;2,VLOOKUP(B1036,'2023 Z Scores'!$A$1:$K$309,10,FALSE)/VLOOKUP(B1036,'2023 Z Scores'!$A$1:$K$309,11,FALSE),"Not Enough data"))</f>
        <v>1.2927201275084855E-2</v>
      </c>
      <c r="F1036">
        <f>IF(VLOOKUP(A1036,'Delta Z Scores'!$A$1:$N$1541,14,FALSE)&gt;2,VLOOKUP(A1036,'Delta Z Scores'!$A$1:$N$1541,13,FALSE)/VLOOKUP(A1036,'Delta Z Scores'!$A$1:$N$1541,14,FALSE),"Not Enough Data")</f>
        <v>4.1504381723159803E-2</v>
      </c>
      <c r="G1036">
        <f>IF(VLOOKUP(A1036,'Forecast Z Scores'!$A$1:$N$1541,14,FALSE)&gt;2,VLOOKUP(A1036,'Forecast Z Scores'!$A$1:$N$1541,13,FALSE)/VLOOKUP(A1036,'Forecast Z Scores'!$A$1:$N$1541,14,FALSE),"Not Enough Data")</f>
        <v>-0.28578720355031267</v>
      </c>
      <c r="H1036">
        <v>-4.7462809707227056E-2</v>
      </c>
    </row>
    <row r="1037" spans="1:8" x14ac:dyDescent="0.35">
      <c r="A1037" t="str">
        <f t="shared" si="16"/>
        <v>18097380404_2024</v>
      </c>
      <c r="B1037">
        <v>18097380404</v>
      </c>
      <c r="C1037">
        <v>2024</v>
      </c>
      <c r="E1037">
        <f>-(IF(VLOOKUP(B1037,'2023 Z Scores'!$A$1:$K$309,11,FALSE)&gt;2,VLOOKUP(B1037,'2023 Z Scores'!$A$1:$K$309,10,FALSE)/VLOOKUP(B1037,'2023 Z Scores'!$A$1:$K$309,11,FALSE),"Not Enough data"))</f>
        <v>-0.45558126406226462</v>
      </c>
      <c r="F1037">
        <f>IF(VLOOKUP(A1037,'Delta Z Scores'!$A$1:$N$1541,14,FALSE)&gt;2,VLOOKUP(A1037,'Delta Z Scores'!$A$1:$N$1541,13,FALSE)/VLOOKUP(A1037,'Delta Z Scores'!$A$1:$N$1541,14,FALSE),"Not Enough Data")</f>
        <v>8.4674954413955089E-2</v>
      </c>
      <c r="G1037">
        <f>IF(VLOOKUP(A1037,'Forecast Z Scores'!$A$1:$N$1541,14,FALSE)&gt;2,VLOOKUP(A1037,'Forecast Z Scores'!$A$1:$N$1541,13,FALSE)/VLOOKUP(A1037,'Forecast Z Scores'!$A$1:$N$1541,14,FALSE),"Not Enough Data")</f>
        <v>-5.8682306179525599E-2</v>
      </c>
      <c r="H1037">
        <v>-8.6228415353470006E-2</v>
      </c>
    </row>
    <row r="1038" spans="1:8" x14ac:dyDescent="0.35">
      <c r="A1038" t="str">
        <f t="shared" si="16"/>
        <v>18097380404_2025</v>
      </c>
      <c r="B1038">
        <v>18097380404</v>
      </c>
      <c r="C1038">
        <v>2025</v>
      </c>
      <c r="E1038">
        <f>-(IF(VLOOKUP(B1038,'2023 Z Scores'!$A$1:$K$309,11,FALSE)&gt;2,VLOOKUP(B1038,'2023 Z Scores'!$A$1:$K$309,10,FALSE)/VLOOKUP(B1038,'2023 Z Scores'!$A$1:$K$309,11,FALSE),"Not Enough data"))</f>
        <v>-0.45558126406226462</v>
      </c>
      <c r="F1038">
        <f>IF(VLOOKUP(A1038,'Delta Z Scores'!$A$1:$N$1541,14,FALSE)&gt;2,VLOOKUP(A1038,'Delta Z Scores'!$A$1:$N$1541,13,FALSE)/VLOOKUP(A1038,'Delta Z Scores'!$A$1:$N$1541,14,FALSE),"Not Enough Data")</f>
        <v>-0.34862176545448625</v>
      </c>
      <c r="G1038">
        <f>IF(VLOOKUP(A1038,'Forecast Z Scores'!$A$1:$N$1541,14,FALSE)&gt;2,VLOOKUP(A1038,'Forecast Z Scores'!$A$1:$N$1541,13,FALSE)/VLOOKUP(A1038,'Forecast Z Scores'!$A$1:$N$1541,14,FALSE),"Not Enough Data")</f>
        <v>-7.8715900866052319E-2</v>
      </c>
      <c r="H1038">
        <v>-0.30788517395932236</v>
      </c>
    </row>
    <row r="1039" spans="1:8" x14ac:dyDescent="0.35">
      <c r="A1039" t="str">
        <f t="shared" si="16"/>
        <v>18097380404_2026</v>
      </c>
      <c r="B1039">
        <v>18097380404</v>
      </c>
      <c r="C1039">
        <v>2026</v>
      </c>
      <c r="E1039">
        <f>-(IF(VLOOKUP(B1039,'2023 Z Scores'!$A$1:$K$309,11,FALSE)&gt;2,VLOOKUP(B1039,'2023 Z Scores'!$A$1:$K$309,10,FALSE)/VLOOKUP(B1039,'2023 Z Scores'!$A$1:$K$309,11,FALSE),"Not Enough data"))</f>
        <v>-0.45558126406226462</v>
      </c>
      <c r="F1039">
        <f>IF(VLOOKUP(A1039,'Delta Z Scores'!$A$1:$N$1541,14,FALSE)&gt;2,VLOOKUP(A1039,'Delta Z Scores'!$A$1:$N$1541,13,FALSE)/VLOOKUP(A1039,'Delta Z Scores'!$A$1:$N$1541,14,FALSE),"Not Enough Data")</f>
        <v>0.10131932774780804</v>
      </c>
      <c r="G1039">
        <f>IF(VLOOKUP(A1039,'Forecast Z Scores'!$A$1:$N$1541,14,FALSE)&gt;2,VLOOKUP(A1039,'Forecast Z Scores'!$A$1:$N$1541,13,FALSE)/VLOOKUP(A1039,'Forecast Z Scores'!$A$1:$N$1541,14,FALSE),"Not Enough Data")</f>
        <v>-8.9028121345901434E-2</v>
      </c>
      <c r="H1039">
        <v>-8.5492682478137488E-2</v>
      </c>
    </row>
    <row r="1040" spans="1:8" x14ac:dyDescent="0.35">
      <c r="A1040" t="str">
        <f t="shared" si="16"/>
        <v>18097380404_2027</v>
      </c>
      <c r="B1040">
        <v>18097380404</v>
      </c>
      <c r="C1040">
        <v>2027</v>
      </c>
      <c r="E1040">
        <f>-(IF(VLOOKUP(B1040,'2023 Z Scores'!$A$1:$K$309,11,FALSE)&gt;2,VLOOKUP(B1040,'2023 Z Scores'!$A$1:$K$309,10,FALSE)/VLOOKUP(B1040,'2023 Z Scores'!$A$1:$K$309,11,FALSE),"Not Enough data"))</f>
        <v>-0.45558126406226462</v>
      </c>
      <c r="F1040">
        <f>IF(VLOOKUP(A1040,'Delta Z Scores'!$A$1:$N$1541,14,FALSE)&gt;2,VLOOKUP(A1040,'Delta Z Scores'!$A$1:$N$1541,13,FALSE)/VLOOKUP(A1040,'Delta Z Scores'!$A$1:$N$1541,14,FALSE),"Not Enough Data")</f>
        <v>-0.24590207301059072</v>
      </c>
      <c r="G1040">
        <f>IF(VLOOKUP(A1040,'Forecast Z Scores'!$A$1:$N$1541,14,FALSE)&gt;2,VLOOKUP(A1040,'Forecast Z Scores'!$A$1:$N$1541,13,FALSE)/VLOOKUP(A1040,'Forecast Z Scores'!$A$1:$N$1541,14,FALSE),"Not Enough Data")</f>
        <v>-0.10399344452590076</v>
      </c>
      <c r="H1040">
        <v>-0.26284471365233675</v>
      </c>
    </row>
    <row r="1041" spans="1:8" x14ac:dyDescent="0.35">
      <c r="A1041" t="str">
        <f t="shared" si="16"/>
        <v>18097380404_2028</v>
      </c>
      <c r="B1041">
        <v>18097380404</v>
      </c>
      <c r="C1041">
        <v>2028</v>
      </c>
      <c r="E1041">
        <f>-(IF(VLOOKUP(B1041,'2023 Z Scores'!$A$1:$K$309,11,FALSE)&gt;2,VLOOKUP(B1041,'2023 Z Scores'!$A$1:$K$309,10,FALSE)/VLOOKUP(B1041,'2023 Z Scores'!$A$1:$K$309,11,FALSE),"Not Enough data"))</f>
        <v>-0.45558126406226462</v>
      </c>
      <c r="F1041">
        <f>IF(VLOOKUP(A1041,'Delta Z Scores'!$A$1:$N$1541,14,FALSE)&gt;2,VLOOKUP(A1041,'Delta Z Scores'!$A$1:$N$1541,13,FALSE)/VLOOKUP(A1041,'Delta Z Scores'!$A$1:$N$1541,14,FALSE),"Not Enough Data")</f>
        <v>7.7704970508496131E-3</v>
      </c>
      <c r="G1041">
        <f>IF(VLOOKUP(A1041,'Forecast Z Scores'!$A$1:$N$1541,14,FALSE)&gt;2,VLOOKUP(A1041,'Forecast Z Scores'!$A$1:$N$1541,13,FALSE)/VLOOKUP(A1041,'Forecast Z Scores'!$A$1:$N$1541,14,FALSE),"Not Enough Data")</f>
        <v>-0.11099410894244642</v>
      </c>
      <c r="H1041">
        <v>-0.13775859472575297</v>
      </c>
    </row>
    <row r="1042" spans="1:8" x14ac:dyDescent="0.35">
      <c r="A1042" t="str">
        <f t="shared" si="16"/>
        <v>18097380501_2024</v>
      </c>
      <c r="B1042">
        <v>18097380501</v>
      </c>
      <c r="C1042">
        <v>2024</v>
      </c>
      <c r="E1042">
        <f>-(IF(VLOOKUP(B1042,'2023 Z Scores'!$A$1:$K$309,11,FALSE)&gt;2,VLOOKUP(B1042,'2023 Z Scores'!$A$1:$K$309,10,FALSE)/VLOOKUP(B1042,'2023 Z Scores'!$A$1:$K$309,11,FALSE),"Not Enough data"))</f>
        <v>2.2496193340358295E-2</v>
      </c>
      <c r="F1042">
        <f>IF(VLOOKUP(A1042,'Delta Z Scores'!$A$1:$N$1541,14,FALSE)&gt;2,VLOOKUP(A1042,'Delta Z Scores'!$A$1:$N$1541,13,FALSE)/VLOOKUP(A1042,'Delta Z Scores'!$A$1:$N$1541,14,FALSE),"Not Enough Data")</f>
        <v>8.9980823436354475E-3</v>
      </c>
      <c r="G1042">
        <f>IF(VLOOKUP(A1042,'Forecast Z Scores'!$A$1:$N$1541,14,FALSE)&gt;2,VLOOKUP(A1042,'Forecast Z Scores'!$A$1:$N$1541,13,FALSE)/VLOOKUP(A1042,'Forecast Z Scores'!$A$1:$N$1541,14,FALSE),"Not Enough Data")</f>
        <v>-0.20989484467544497</v>
      </c>
      <c r="H1042">
        <v>-4.2350621661953948E-2</v>
      </c>
    </row>
    <row r="1043" spans="1:8" x14ac:dyDescent="0.35">
      <c r="A1043" t="str">
        <f t="shared" si="16"/>
        <v>18097380501_2025</v>
      </c>
      <c r="B1043">
        <v>18097380501</v>
      </c>
      <c r="C1043">
        <v>2025</v>
      </c>
      <c r="E1043">
        <f>-(IF(VLOOKUP(B1043,'2023 Z Scores'!$A$1:$K$309,11,FALSE)&gt;2,VLOOKUP(B1043,'2023 Z Scores'!$A$1:$K$309,10,FALSE)/VLOOKUP(B1043,'2023 Z Scores'!$A$1:$K$309,11,FALSE),"Not Enough data"))</f>
        <v>2.2496193340358295E-2</v>
      </c>
      <c r="F1043">
        <f>IF(VLOOKUP(A1043,'Delta Z Scores'!$A$1:$N$1541,14,FALSE)&gt;2,VLOOKUP(A1043,'Delta Z Scores'!$A$1:$N$1541,13,FALSE)/VLOOKUP(A1043,'Delta Z Scores'!$A$1:$N$1541,14,FALSE),"Not Enough Data")</f>
        <v>-0.25329187872471948</v>
      </c>
      <c r="G1043">
        <f>IF(VLOOKUP(A1043,'Forecast Z Scores'!$A$1:$N$1541,14,FALSE)&gt;2,VLOOKUP(A1043,'Forecast Z Scores'!$A$1:$N$1541,13,FALSE)/VLOOKUP(A1043,'Forecast Z Scores'!$A$1:$N$1541,14,FALSE),"Not Enough Data")</f>
        <v>-0.23428120068246774</v>
      </c>
      <c r="H1043">
        <v>-0.17959219119788711</v>
      </c>
    </row>
    <row r="1044" spans="1:8" x14ac:dyDescent="0.35">
      <c r="A1044" t="str">
        <f t="shared" si="16"/>
        <v>18097380501_2026</v>
      </c>
      <c r="B1044">
        <v>18097380501</v>
      </c>
      <c r="C1044">
        <v>2026</v>
      </c>
      <c r="E1044">
        <f>-(IF(VLOOKUP(B1044,'2023 Z Scores'!$A$1:$K$309,11,FALSE)&gt;2,VLOOKUP(B1044,'2023 Z Scores'!$A$1:$K$309,10,FALSE)/VLOOKUP(B1044,'2023 Z Scores'!$A$1:$K$309,11,FALSE),"Not Enough data"))</f>
        <v>2.2496193340358295E-2</v>
      </c>
      <c r="F1044">
        <f>IF(VLOOKUP(A1044,'Delta Z Scores'!$A$1:$N$1541,14,FALSE)&gt;2,VLOOKUP(A1044,'Delta Z Scores'!$A$1:$N$1541,13,FALSE)/VLOOKUP(A1044,'Delta Z Scores'!$A$1:$N$1541,14,FALSE),"Not Enough Data")</f>
        <v>-0.18272432823823984</v>
      </c>
      <c r="G1044">
        <f>IF(VLOOKUP(A1044,'Forecast Z Scores'!$A$1:$N$1541,14,FALSE)&gt;2,VLOOKUP(A1044,'Forecast Z Scores'!$A$1:$N$1541,13,FALSE)/VLOOKUP(A1044,'Forecast Z Scores'!$A$1:$N$1541,14,FALSE),"Not Enough Data")</f>
        <v>-0.24876538882705493</v>
      </c>
      <c r="H1044">
        <v>-0.14792946299079407</v>
      </c>
    </row>
    <row r="1045" spans="1:8" x14ac:dyDescent="0.35">
      <c r="A1045" t="str">
        <f t="shared" si="16"/>
        <v>18097380501_2027</v>
      </c>
      <c r="B1045">
        <v>18097380501</v>
      </c>
      <c r="C1045">
        <v>2027</v>
      </c>
      <c r="E1045">
        <f>-(IF(VLOOKUP(B1045,'2023 Z Scores'!$A$1:$K$309,11,FALSE)&gt;2,VLOOKUP(B1045,'2023 Z Scores'!$A$1:$K$309,10,FALSE)/VLOOKUP(B1045,'2023 Z Scores'!$A$1:$K$309,11,FALSE),"Not Enough data"))</f>
        <v>2.2496193340358295E-2</v>
      </c>
      <c r="F1045">
        <f>IF(VLOOKUP(A1045,'Delta Z Scores'!$A$1:$N$1541,14,FALSE)&gt;2,VLOOKUP(A1045,'Delta Z Scores'!$A$1:$N$1541,13,FALSE)/VLOOKUP(A1045,'Delta Z Scores'!$A$1:$N$1541,14,FALSE),"Not Enough Data")</f>
        <v>-0.19725612559134928</v>
      </c>
      <c r="G1045">
        <f>IF(VLOOKUP(A1045,'Forecast Z Scores'!$A$1:$N$1541,14,FALSE)&gt;2,VLOOKUP(A1045,'Forecast Z Scores'!$A$1:$N$1541,13,FALSE)/VLOOKUP(A1045,'Forecast Z Scores'!$A$1:$N$1541,14,FALSE),"Not Enough Data")</f>
        <v>-0.26810481795599855</v>
      </c>
      <c r="H1045">
        <v>-0.16003021894958469</v>
      </c>
    </row>
    <row r="1046" spans="1:8" x14ac:dyDescent="0.35">
      <c r="A1046" t="str">
        <f t="shared" si="16"/>
        <v>18097380501_2028</v>
      </c>
      <c r="B1046">
        <v>18097380501</v>
      </c>
      <c r="C1046">
        <v>2028</v>
      </c>
      <c r="E1046">
        <f>-(IF(VLOOKUP(B1046,'2023 Z Scores'!$A$1:$K$309,11,FALSE)&gt;2,VLOOKUP(B1046,'2023 Z Scores'!$A$1:$K$309,10,FALSE)/VLOOKUP(B1046,'2023 Z Scores'!$A$1:$K$309,11,FALSE),"Not Enough data"))</f>
        <v>2.2496193340358295E-2</v>
      </c>
      <c r="F1046">
        <f>IF(VLOOKUP(A1046,'Delta Z Scores'!$A$1:$N$1541,14,FALSE)&gt;2,VLOOKUP(A1046,'Delta Z Scores'!$A$1:$N$1541,13,FALSE)/VLOOKUP(A1046,'Delta Z Scores'!$A$1:$N$1541,14,FALSE),"Not Enough Data")</f>
        <v>-0.14760152160360893</v>
      </c>
      <c r="G1046">
        <f>IF(VLOOKUP(A1046,'Forecast Z Scores'!$A$1:$N$1541,14,FALSE)&gt;2,VLOOKUP(A1046,'Forecast Z Scores'!$A$1:$N$1541,13,FALSE)/VLOOKUP(A1046,'Forecast Z Scores'!$A$1:$N$1541,14,FALSE),"Not Enough Data")</f>
        <v>-0.27980004618087484</v>
      </c>
      <c r="H1046">
        <v>-0.1381267240119336</v>
      </c>
    </row>
    <row r="1047" spans="1:8" x14ac:dyDescent="0.35">
      <c r="A1047" t="str">
        <f t="shared" si="16"/>
        <v>18097380502_2024</v>
      </c>
      <c r="B1047">
        <v>18097380502</v>
      </c>
      <c r="C1047">
        <v>2024</v>
      </c>
      <c r="E1047">
        <f>-(IF(VLOOKUP(B1047,'2023 Z Scores'!$A$1:$K$309,11,FALSE)&gt;2,VLOOKUP(B1047,'2023 Z Scores'!$A$1:$K$309,10,FALSE)/VLOOKUP(B1047,'2023 Z Scores'!$A$1:$K$309,11,FALSE),"Not Enough data"))</f>
        <v>0.25430973281117375</v>
      </c>
      <c r="F1047">
        <f>IF(VLOOKUP(A1047,'Delta Z Scores'!$A$1:$N$1541,14,FALSE)&gt;2,VLOOKUP(A1047,'Delta Z Scores'!$A$1:$N$1541,13,FALSE)/VLOOKUP(A1047,'Delta Z Scores'!$A$1:$N$1541,14,FALSE),"Not Enough Data")</f>
        <v>0.32789766242999818</v>
      </c>
      <c r="G1047">
        <f>IF(VLOOKUP(A1047,'Forecast Z Scores'!$A$1:$N$1541,14,FALSE)&gt;2,VLOOKUP(A1047,'Forecast Z Scores'!$A$1:$N$1541,13,FALSE)/VLOOKUP(A1047,'Forecast Z Scores'!$A$1:$N$1541,14,FALSE),"Not Enough Data")</f>
        <v>-0.16501834016011643</v>
      </c>
      <c r="H1047">
        <v>0.18627167937776343</v>
      </c>
    </row>
    <row r="1048" spans="1:8" x14ac:dyDescent="0.35">
      <c r="A1048" t="str">
        <f t="shared" si="16"/>
        <v>18097380502_2025</v>
      </c>
      <c r="B1048">
        <v>18097380502</v>
      </c>
      <c r="C1048">
        <v>2025</v>
      </c>
      <c r="E1048">
        <f>-(IF(VLOOKUP(B1048,'2023 Z Scores'!$A$1:$K$309,11,FALSE)&gt;2,VLOOKUP(B1048,'2023 Z Scores'!$A$1:$K$309,10,FALSE)/VLOOKUP(B1048,'2023 Z Scores'!$A$1:$K$309,11,FALSE),"Not Enough data"))</f>
        <v>0.25430973281117375</v>
      </c>
      <c r="F1048">
        <f>IF(VLOOKUP(A1048,'Delta Z Scores'!$A$1:$N$1541,14,FALSE)&gt;2,VLOOKUP(A1048,'Delta Z Scores'!$A$1:$N$1541,13,FALSE)/VLOOKUP(A1048,'Delta Z Scores'!$A$1:$N$1541,14,FALSE),"Not Enough Data")</f>
        <v>-0.41026027892624323</v>
      </c>
      <c r="G1048">
        <f>IF(VLOOKUP(A1048,'Forecast Z Scores'!$A$1:$N$1541,14,FALSE)&gt;2,VLOOKUP(A1048,'Forecast Z Scores'!$A$1:$N$1541,13,FALSE)/VLOOKUP(A1048,'Forecast Z Scores'!$A$1:$N$1541,14,FALSE),"Not Enough Data")</f>
        <v>-0.21088749565022266</v>
      </c>
      <c r="H1048">
        <v>-0.19427458017288382</v>
      </c>
    </row>
    <row r="1049" spans="1:8" x14ac:dyDescent="0.35">
      <c r="A1049" t="str">
        <f t="shared" si="16"/>
        <v>18097380502_2026</v>
      </c>
      <c r="B1049">
        <v>18097380502</v>
      </c>
      <c r="C1049">
        <v>2026</v>
      </c>
      <c r="E1049">
        <f>-(IF(VLOOKUP(B1049,'2023 Z Scores'!$A$1:$K$309,11,FALSE)&gt;2,VLOOKUP(B1049,'2023 Z Scores'!$A$1:$K$309,10,FALSE)/VLOOKUP(B1049,'2023 Z Scores'!$A$1:$K$309,11,FALSE),"Not Enough data"))</f>
        <v>0.25430973281117375</v>
      </c>
      <c r="F1049">
        <f>IF(VLOOKUP(A1049,'Delta Z Scores'!$A$1:$N$1541,14,FALSE)&gt;2,VLOOKUP(A1049,'Delta Z Scores'!$A$1:$N$1541,13,FALSE)/VLOOKUP(A1049,'Delta Z Scores'!$A$1:$N$1541,14,FALSE),"Not Enough Data")</f>
        <v>-6.303663044911827E-3</v>
      </c>
      <c r="G1049">
        <f>IF(VLOOKUP(A1049,'Forecast Z Scores'!$A$1:$N$1541,14,FALSE)&gt;2,VLOOKUP(A1049,'Forecast Z Scores'!$A$1:$N$1541,13,FALSE)/VLOOKUP(A1049,'Forecast Z Scores'!$A$1:$N$1541,14,FALSE),"Not Enough Data")</f>
        <v>-0.2205359368150189</v>
      </c>
      <c r="H1049">
        <v>5.2916174765827995E-3</v>
      </c>
    </row>
    <row r="1050" spans="1:8" x14ac:dyDescent="0.35">
      <c r="A1050" t="str">
        <f t="shared" si="16"/>
        <v>18097380502_2027</v>
      </c>
      <c r="B1050">
        <v>18097380502</v>
      </c>
      <c r="C1050">
        <v>2027</v>
      </c>
      <c r="E1050">
        <f>-(IF(VLOOKUP(B1050,'2023 Z Scores'!$A$1:$K$309,11,FALSE)&gt;2,VLOOKUP(B1050,'2023 Z Scores'!$A$1:$K$309,10,FALSE)/VLOOKUP(B1050,'2023 Z Scores'!$A$1:$K$309,11,FALSE),"Not Enough data"))</f>
        <v>0.25430973281117375</v>
      </c>
      <c r="F1050">
        <f>IF(VLOOKUP(A1050,'Delta Z Scores'!$A$1:$N$1541,14,FALSE)&gt;2,VLOOKUP(A1050,'Delta Z Scores'!$A$1:$N$1541,13,FALSE)/VLOOKUP(A1050,'Delta Z Scores'!$A$1:$N$1541,14,FALSE),"Not Enough Data")</f>
        <v>-0.21704852261644153</v>
      </c>
      <c r="G1050">
        <f>IF(VLOOKUP(A1050,'Forecast Z Scores'!$A$1:$N$1541,14,FALSE)&gt;2,VLOOKUP(A1050,'Forecast Z Scores'!$A$1:$N$1541,13,FALSE)/VLOOKUP(A1050,'Forecast Z Scores'!$A$1:$N$1541,14,FALSE),"Not Enough Data")</f>
        <v>-0.25145353405815946</v>
      </c>
      <c r="H1050">
        <v>-0.10781021161996721</v>
      </c>
    </row>
    <row r="1051" spans="1:8" x14ac:dyDescent="0.35">
      <c r="A1051" t="str">
        <f t="shared" si="16"/>
        <v>18097380502_2028</v>
      </c>
      <c r="B1051">
        <v>18097380502</v>
      </c>
      <c r="C1051">
        <v>2028</v>
      </c>
      <c r="E1051">
        <f>-(IF(VLOOKUP(B1051,'2023 Z Scores'!$A$1:$K$309,11,FALSE)&gt;2,VLOOKUP(B1051,'2023 Z Scores'!$A$1:$K$309,10,FALSE)/VLOOKUP(B1051,'2023 Z Scores'!$A$1:$K$309,11,FALSE),"Not Enough data"))</f>
        <v>0.25430973281117375</v>
      </c>
      <c r="F1051">
        <f>IF(VLOOKUP(A1051,'Delta Z Scores'!$A$1:$N$1541,14,FALSE)&gt;2,VLOOKUP(A1051,'Delta Z Scores'!$A$1:$N$1541,13,FALSE)/VLOOKUP(A1051,'Delta Z Scores'!$A$1:$N$1541,14,FALSE),"Not Enough Data")</f>
        <v>-7.8335511507148139E-2</v>
      </c>
      <c r="G1051">
        <f>IF(VLOOKUP(A1051,'Forecast Z Scores'!$A$1:$N$1541,14,FALSE)&gt;2,VLOOKUP(A1051,'Forecast Z Scores'!$A$1:$N$1541,13,FALSE)/VLOOKUP(A1051,'Forecast Z Scores'!$A$1:$N$1541,14,FALSE),"Not Enough Data")</f>
        <v>-0.26568078785375232</v>
      </c>
      <c r="H1051">
        <v>-4.2010519514218719E-2</v>
      </c>
    </row>
    <row r="1052" spans="1:8" x14ac:dyDescent="0.35">
      <c r="A1052" t="str">
        <f t="shared" si="16"/>
        <v>18097380600_2024</v>
      </c>
      <c r="B1052">
        <v>18097380600</v>
      </c>
      <c r="C1052">
        <v>2024</v>
      </c>
      <c r="E1052">
        <f>-(IF(VLOOKUP(B1052,'2023 Z Scores'!$A$1:$K$309,11,FALSE)&gt;2,VLOOKUP(B1052,'2023 Z Scores'!$A$1:$K$309,10,FALSE)/VLOOKUP(B1052,'2023 Z Scores'!$A$1:$K$309,11,FALSE),"Not Enough data"))</f>
        <v>5.8776435916041793E-2</v>
      </c>
      <c r="F1052">
        <f>IF(VLOOKUP(A1052,'Delta Z Scores'!$A$1:$N$1541,14,FALSE)&gt;2,VLOOKUP(A1052,'Delta Z Scores'!$A$1:$N$1541,13,FALSE)/VLOOKUP(A1052,'Delta Z Scores'!$A$1:$N$1541,14,FALSE),"Not Enough Data")</f>
        <v>8.0767399662558526E-2</v>
      </c>
      <c r="G1052">
        <f>IF(VLOOKUP(A1052,'Forecast Z Scores'!$A$1:$N$1541,14,FALSE)&gt;2,VLOOKUP(A1052,'Forecast Z Scores'!$A$1:$N$1541,13,FALSE)/VLOOKUP(A1052,'Forecast Z Scores'!$A$1:$N$1541,14,FALSE),"Not Enough Data")</f>
        <v>-7.3208145092179891E-2</v>
      </c>
      <c r="H1052">
        <v>3.677577253724474E-2</v>
      </c>
    </row>
    <row r="1053" spans="1:8" x14ac:dyDescent="0.35">
      <c r="A1053" t="str">
        <f t="shared" si="16"/>
        <v>18097380600_2025</v>
      </c>
      <c r="B1053">
        <v>18097380600</v>
      </c>
      <c r="C1053">
        <v>2025</v>
      </c>
      <c r="E1053">
        <f>-(IF(VLOOKUP(B1053,'2023 Z Scores'!$A$1:$K$309,11,FALSE)&gt;2,VLOOKUP(B1053,'2023 Z Scores'!$A$1:$K$309,10,FALSE)/VLOOKUP(B1053,'2023 Z Scores'!$A$1:$K$309,11,FALSE),"Not Enough data"))</f>
        <v>5.8776435916041793E-2</v>
      </c>
      <c r="F1053">
        <f>IF(VLOOKUP(A1053,'Delta Z Scores'!$A$1:$N$1541,14,FALSE)&gt;2,VLOOKUP(A1053,'Delta Z Scores'!$A$1:$N$1541,13,FALSE)/VLOOKUP(A1053,'Delta Z Scores'!$A$1:$N$1541,14,FALSE),"Not Enough Data")</f>
        <v>-0.20717346678771012</v>
      </c>
      <c r="G1053">
        <f>IF(VLOOKUP(A1053,'Forecast Z Scores'!$A$1:$N$1541,14,FALSE)&gt;2,VLOOKUP(A1053,'Forecast Z Scores'!$A$1:$N$1541,13,FALSE)/VLOOKUP(A1053,'Forecast Z Scores'!$A$1:$N$1541,14,FALSE),"Not Enough Data")</f>
        <v>-0.10199355793991086</v>
      </c>
      <c r="H1053">
        <v>-0.11439101389982233</v>
      </c>
    </row>
    <row r="1054" spans="1:8" x14ac:dyDescent="0.35">
      <c r="A1054" t="str">
        <f t="shared" si="16"/>
        <v>18097380600_2026</v>
      </c>
      <c r="B1054">
        <v>18097380600</v>
      </c>
      <c r="C1054">
        <v>2026</v>
      </c>
      <c r="E1054">
        <f>-(IF(VLOOKUP(B1054,'2023 Z Scores'!$A$1:$K$309,11,FALSE)&gt;2,VLOOKUP(B1054,'2023 Z Scores'!$A$1:$K$309,10,FALSE)/VLOOKUP(B1054,'2023 Z Scores'!$A$1:$K$309,11,FALSE),"Not Enough data"))</f>
        <v>5.8776435916041793E-2</v>
      </c>
      <c r="F1054">
        <f>IF(VLOOKUP(A1054,'Delta Z Scores'!$A$1:$N$1541,14,FALSE)&gt;2,VLOOKUP(A1054,'Delta Z Scores'!$A$1:$N$1541,13,FALSE)/VLOOKUP(A1054,'Delta Z Scores'!$A$1:$N$1541,14,FALSE),"Not Enough Data")</f>
        <v>-5.2579862925670143E-2</v>
      </c>
      <c r="G1054">
        <f>IF(VLOOKUP(A1054,'Forecast Z Scores'!$A$1:$N$1541,14,FALSE)&gt;2,VLOOKUP(A1054,'Forecast Z Scores'!$A$1:$N$1541,13,FALSE)/VLOOKUP(A1054,'Forecast Z Scores'!$A$1:$N$1541,14,FALSE),"Not Enough Data")</f>
        <v>-0.11845514255278131</v>
      </c>
      <c r="H1054">
        <v>-4.1209608122019951E-2</v>
      </c>
    </row>
    <row r="1055" spans="1:8" x14ac:dyDescent="0.35">
      <c r="A1055" t="str">
        <f t="shared" si="16"/>
        <v>18097380600_2027</v>
      </c>
      <c r="B1055">
        <v>18097380600</v>
      </c>
      <c r="C1055">
        <v>2027</v>
      </c>
      <c r="E1055">
        <f>-(IF(VLOOKUP(B1055,'2023 Z Scores'!$A$1:$K$309,11,FALSE)&gt;2,VLOOKUP(B1055,'2023 Z Scores'!$A$1:$K$309,10,FALSE)/VLOOKUP(B1055,'2023 Z Scores'!$A$1:$K$309,11,FALSE),"Not Enough data"))</f>
        <v>5.8776435916041793E-2</v>
      </c>
      <c r="F1055">
        <f>IF(VLOOKUP(A1055,'Delta Z Scores'!$A$1:$N$1541,14,FALSE)&gt;2,VLOOKUP(A1055,'Delta Z Scores'!$A$1:$N$1541,13,FALSE)/VLOOKUP(A1055,'Delta Z Scores'!$A$1:$N$1541,14,FALSE),"Not Enough Data")</f>
        <v>-9.5624766597367766E-2</v>
      </c>
      <c r="G1055">
        <f>IF(VLOOKUP(A1055,'Forecast Z Scores'!$A$1:$N$1541,14,FALSE)&gt;2,VLOOKUP(A1055,'Forecast Z Scores'!$A$1:$N$1541,13,FALSE)/VLOOKUP(A1055,'Forecast Z Scores'!$A$1:$N$1541,14,FALSE),"Not Enough Data")</f>
        <v>-0.13934853396791186</v>
      </c>
      <c r="H1055">
        <v>-6.7955407811651394E-2</v>
      </c>
    </row>
    <row r="1056" spans="1:8" x14ac:dyDescent="0.35">
      <c r="A1056" t="str">
        <f t="shared" si="16"/>
        <v>18097380600_2028</v>
      </c>
      <c r="B1056">
        <v>18097380600</v>
      </c>
      <c r="C1056">
        <v>2028</v>
      </c>
      <c r="E1056">
        <f>-(IF(VLOOKUP(B1056,'2023 Z Scores'!$A$1:$K$309,11,FALSE)&gt;2,VLOOKUP(B1056,'2023 Z Scores'!$A$1:$K$309,10,FALSE)/VLOOKUP(B1056,'2023 Z Scores'!$A$1:$K$309,11,FALSE),"Not Enough data"))</f>
        <v>5.8776435916041793E-2</v>
      </c>
      <c r="F1056">
        <f>IF(VLOOKUP(A1056,'Delta Z Scores'!$A$1:$N$1541,14,FALSE)&gt;2,VLOOKUP(A1056,'Delta Z Scores'!$A$1:$N$1541,13,FALSE)/VLOOKUP(A1056,'Delta Z Scores'!$A$1:$N$1541,14,FALSE),"Not Enough Data")</f>
        <v>-4.2019186454071607E-2</v>
      </c>
      <c r="G1056">
        <f>IF(VLOOKUP(A1056,'Forecast Z Scores'!$A$1:$N$1541,14,FALSE)&gt;2,VLOOKUP(A1056,'Forecast Z Scores'!$A$1:$N$1541,13,FALSE)/VLOOKUP(A1056,'Forecast Z Scores'!$A$1:$N$1541,14,FALSE),"Not Enough Data")</f>
        <v>-0.15769489998594244</v>
      </c>
      <c r="H1056">
        <v>-4.5739209244510963E-2</v>
      </c>
    </row>
    <row r="1057" spans="1:8" x14ac:dyDescent="0.35">
      <c r="A1057" t="str">
        <f t="shared" si="16"/>
        <v>18097380700_2024</v>
      </c>
      <c r="B1057">
        <v>18097380700</v>
      </c>
      <c r="C1057">
        <v>2024</v>
      </c>
      <c r="E1057">
        <f>-(IF(VLOOKUP(B1057,'2023 Z Scores'!$A$1:$K$309,11,FALSE)&gt;2,VLOOKUP(B1057,'2023 Z Scores'!$A$1:$K$309,10,FALSE)/VLOOKUP(B1057,'2023 Z Scores'!$A$1:$K$309,11,FALSE),"Not Enough data"))</f>
        <v>-0.39167094593434076</v>
      </c>
      <c r="F1057">
        <f>IF(VLOOKUP(A1057,'Delta Z Scores'!$A$1:$N$1541,14,FALSE)&gt;2,VLOOKUP(A1057,'Delta Z Scores'!$A$1:$N$1541,13,FALSE)/VLOOKUP(A1057,'Delta Z Scores'!$A$1:$N$1541,14,FALSE),"Not Enough Data")</f>
        <v>0.32839521196994031</v>
      </c>
      <c r="G1057">
        <f>IF(VLOOKUP(A1057,'Forecast Z Scores'!$A$1:$N$1541,14,FALSE)&gt;2,VLOOKUP(A1057,'Forecast Z Scores'!$A$1:$N$1541,13,FALSE)/VLOOKUP(A1057,'Forecast Z Scores'!$A$1:$N$1541,14,FALSE),"Not Enough Data")</f>
        <v>0.10463300188365408</v>
      </c>
      <c r="H1057">
        <v>9.2438119972298491E-2</v>
      </c>
    </row>
    <row r="1058" spans="1:8" x14ac:dyDescent="0.35">
      <c r="A1058" t="str">
        <f t="shared" si="16"/>
        <v>18097380700_2025</v>
      </c>
      <c r="B1058">
        <v>18097380700</v>
      </c>
      <c r="C1058">
        <v>2025</v>
      </c>
      <c r="E1058">
        <f>-(IF(VLOOKUP(B1058,'2023 Z Scores'!$A$1:$K$309,11,FALSE)&gt;2,VLOOKUP(B1058,'2023 Z Scores'!$A$1:$K$309,10,FALSE)/VLOOKUP(B1058,'2023 Z Scores'!$A$1:$K$309,11,FALSE),"Not Enough data"))</f>
        <v>-0.39167094593434076</v>
      </c>
      <c r="F1058">
        <f>IF(VLOOKUP(A1058,'Delta Z Scores'!$A$1:$N$1541,14,FALSE)&gt;2,VLOOKUP(A1058,'Delta Z Scores'!$A$1:$N$1541,13,FALSE)/VLOOKUP(A1058,'Delta Z Scores'!$A$1:$N$1541,14,FALSE),"Not Enough Data")</f>
        <v>-0.2066417644011426</v>
      </c>
      <c r="G1058">
        <f>IF(VLOOKUP(A1058,'Forecast Z Scores'!$A$1:$N$1541,14,FALSE)&gt;2,VLOOKUP(A1058,'Forecast Z Scores'!$A$1:$N$1541,13,FALSE)/VLOOKUP(A1058,'Forecast Z Scores'!$A$1:$N$1541,14,FALSE),"Not Enough Data")</f>
        <v>7.4610321953325329E-2</v>
      </c>
      <c r="H1058">
        <v>-0.18258603819582514</v>
      </c>
    </row>
    <row r="1059" spans="1:8" x14ac:dyDescent="0.35">
      <c r="A1059" t="str">
        <f t="shared" si="16"/>
        <v>18097380700_2026</v>
      </c>
      <c r="B1059">
        <v>18097380700</v>
      </c>
      <c r="C1059">
        <v>2026</v>
      </c>
      <c r="E1059">
        <f>-(IF(VLOOKUP(B1059,'2023 Z Scores'!$A$1:$K$309,11,FALSE)&gt;2,VLOOKUP(B1059,'2023 Z Scores'!$A$1:$K$309,10,FALSE)/VLOOKUP(B1059,'2023 Z Scores'!$A$1:$K$309,11,FALSE),"Not Enough data"))</f>
        <v>-0.39167094593434076</v>
      </c>
      <c r="F1059">
        <f>IF(VLOOKUP(A1059,'Delta Z Scores'!$A$1:$N$1541,14,FALSE)&gt;2,VLOOKUP(A1059,'Delta Z Scores'!$A$1:$N$1541,13,FALSE)/VLOOKUP(A1059,'Delta Z Scores'!$A$1:$N$1541,14,FALSE),"Not Enough Data")</f>
        <v>0.30876418774863529</v>
      </c>
      <c r="G1059">
        <f>IF(VLOOKUP(A1059,'Forecast Z Scores'!$A$1:$N$1541,14,FALSE)&gt;2,VLOOKUP(A1059,'Forecast Z Scores'!$A$1:$N$1541,13,FALSE)/VLOOKUP(A1059,'Forecast Z Scores'!$A$1:$N$1541,14,FALSE),"Not Enough Data")</f>
        <v>8.1411672969386339E-2</v>
      </c>
      <c r="H1059">
        <v>7.6817275633079038E-2</v>
      </c>
    </row>
    <row r="1060" spans="1:8" x14ac:dyDescent="0.35">
      <c r="A1060" t="str">
        <f t="shared" si="16"/>
        <v>18097380700_2027</v>
      </c>
      <c r="B1060">
        <v>18097380700</v>
      </c>
      <c r="C1060">
        <v>2027</v>
      </c>
      <c r="E1060">
        <f>-(IF(VLOOKUP(B1060,'2023 Z Scores'!$A$1:$K$309,11,FALSE)&gt;2,VLOOKUP(B1060,'2023 Z Scores'!$A$1:$K$309,10,FALSE)/VLOOKUP(B1060,'2023 Z Scores'!$A$1:$K$309,11,FALSE),"Not Enough data"))</f>
        <v>-0.39167094593434076</v>
      </c>
      <c r="F1060">
        <f>IF(VLOOKUP(A1060,'Delta Z Scores'!$A$1:$N$1541,14,FALSE)&gt;2,VLOOKUP(A1060,'Delta Z Scores'!$A$1:$N$1541,13,FALSE)/VLOOKUP(A1060,'Delta Z Scores'!$A$1:$N$1541,14,FALSE),"Not Enough Data")</f>
        <v>5.8506299007563621E-2</v>
      </c>
      <c r="G1060">
        <f>IF(VLOOKUP(A1060,'Forecast Z Scores'!$A$1:$N$1541,14,FALSE)&gt;2,VLOOKUP(A1060,'Forecast Z Scores'!$A$1:$N$1541,13,FALSE)/VLOOKUP(A1060,'Forecast Z Scores'!$A$1:$N$1541,14,FALSE),"Not Enough Data")</f>
        <v>6.4804163788663341E-2</v>
      </c>
      <c r="H1060">
        <v>-5.2463546032637545E-2</v>
      </c>
    </row>
    <row r="1061" spans="1:8" x14ac:dyDescent="0.35">
      <c r="A1061" t="str">
        <f t="shared" si="16"/>
        <v>18097380700_2028</v>
      </c>
      <c r="B1061">
        <v>18097380700</v>
      </c>
      <c r="C1061">
        <v>2028</v>
      </c>
      <c r="E1061">
        <f>-(IF(VLOOKUP(B1061,'2023 Z Scores'!$A$1:$K$309,11,FALSE)&gt;2,VLOOKUP(B1061,'2023 Z Scores'!$A$1:$K$309,10,FALSE)/VLOOKUP(B1061,'2023 Z Scores'!$A$1:$K$309,11,FALSE),"Not Enough data"))</f>
        <v>-0.39167094593434076</v>
      </c>
      <c r="F1061">
        <f>IF(VLOOKUP(A1061,'Delta Z Scores'!$A$1:$N$1541,14,FALSE)&gt;2,VLOOKUP(A1061,'Delta Z Scores'!$A$1:$N$1541,13,FALSE)/VLOOKUP(A1061,'Delta Z Scores'!$A$1:$N$1541,14,FALSE),"Not Enough Data")</f>
        <v>0.21209877392580648</v>
      </c>
      <c r="G1061">
        <f>IF(VLOOKUP(A1061,'Forecast Z Scores'!$A$1:$N$1541,14,FALSE)&gt;2,VLOOKUP(A1061,'Forecast Z Scores'!$A$1:$N$1541,13,FALSE)/VLOOKUP(A1061,'Forecast Z Scores'!$A$1:$N$1541,14,FALSE),"Not Enough Data")</f>
        <v>5.7759525506478442E-2</v>
      </c>
      <c r="H1061">
        <v>2.257153185593766E-2</v>
      </c>
    </row>
    <row r="1062" spans="1:8" x14ac:dyDescent="0.35">
      <c r="A1062" t="str">
        <f t="shared" si="16"/>
        <v>18097380800_2024</v>
      </c>
      <c r="B1062">
        <v>18097380800</v>
      </c>
      <c r="C1062">
        <v>2024</v>
      </c>
      <c r="E1062">
        <f>-(IF(VLOOKUP(B1062,'2023 Z Scores'!$A$1:$K$309,11,FALSE)&gt;2,VLOOKUP(B1062,'2023 Z Scores'!$A$1:$K$309,10,FALSE)/VLOOKUP(B1062,'2023 Z Scores'!$A$1:$K$309,11,FALSE),"Not Enough data"))</f>
        <v>3.7973029099236033E-3</v>
      </c>
      <c r="F1062">
        <f>IF(VLOOKUP(A1062,'Delta Z Scores'!$A$1:$N$1541,14,FALSE)&gt;2,VLOOKUP(A1062,'Delta Z Scores'!$A$1:$N$1541,13,FALSE)/VLOOKUP(A1062,'Delta Z Scores'!$A$1:$N$1541,14,FALSE),"Not Enough Data")</f>
        <v>0.1316688401865643</v>
      </c>
      <c r="G1062">
        <f>IF(VLOOKUP(A1062,'Forecast Z Scores'!$A$1:$N$1541,14,FALSE)&gt;2,VLOOKUP(A1062,'Forecast Z Scores'!$A$1:$N$1541,13,FALSE)/VLOOKUP(A1062,'Forecast Z Scores'!$A$1:$N$1541,14,FALSE),"Not Enough Data")</f>
        <v>8.7704019740040731E-2</v>
      </c>
      <c r="H1062">
        <v>8.8709750755773226E-2</v>
      </c>
    </row>
    <row r="1063" spans="1:8" x14ac:dyDescent="0.35">
      <c r="A1063" t="str">
        <f t="shared" si="16"/>
        <v>18097380800_2025</v>
      </c>
      <c r="B1063">
        <v>18097380800</v>
      </c>
      <c r="C1063">
        <v>2025</v>
      </c>
      <c r="E1063">
        <f>-(IF(VLOOKUP(B1063,'2023 Z Scores'!$A$1:$K$309,11,FALSE)&gt;2,VLOOKUP(B1063,'2023 Z Scores'!$A$1:$K$309,10,FALSE)/VLOOKUP(B1063,'2023 Z Scores'!$A$1:$K$309,11,FALSE),"Not Enough data"))</f>
        <v>3.7973029099236033E-3</v>
      </c>
      <c r="F1063">
        <f>IF(VLOOKUP(A1063,'Delta Z Scores'!$A$1:$N$1541,14,FALSE)&gt;2,VLOOKUP(A1063,'Delta Z Scores'!$A$1:$N$1541,13,FALSE)/VLOOKUP(A1063,'Delta Z Scores'!$A$1:$N$1541,14,FALSE),"Not Enough Data")</f>
        <v>-5.000658794527537E-2</v>
      </c>
      <c r="G1063">
        <f>IF(VLOOKUP(A1063,'Forecast Z Scores'!$A$1:$N$1541,14,FALSE)&gt;2,VLOOKUP(A1063,'Forecast Z Scores'!$A$1:$N$1541,13,FALSE)/VLOOKUP(A1063,'Forecast Z Scores'!$A$1:$N$1541,14,FALSE),"Not Enough Data")</f>
        <v>7.2874166029286563E-2</v>
      </c>
      <c r="H1063">
        <v>-5.8354267378351431E-3</v>
      </c>
    </row>
    <row r="1064" spans="1:8" x14ac:dyDescent="0.35">
      <c r="A1064" t="str">
        <f t="shared" si="16"/>
        <v>18097380800_2026</v>
      </c>
      <c r="B1064">
        <v>18097380800</v>
      </c>
      <c r="C1064">
        <v>2026</v>
      </c>
      <c r="E1064">
        <f>-(IF(VLOOKUP(B1064,'2023 Z Scores'!$A$1:$K$309,11,FALSE)&gt;2,VLOOKUP(B1064,'2023 Z Scores'!$A$1:$K$309,10,FALSE)/VLOOKUP(B1064,'2023 Z Scores'!$A$1:$K$309,11,FALSE),"Not Enough data"))</f>
        <v>3.7973029099236033E-3</v>
      </c>
      <c r="F1064">
        <f>IF(VLOOKUP(A1064,'Delta Z Scores'!$A$1:$N$1541,14,FALSE)&gt;2,VLOOKUP(A1064,'Delta Z Scores'!$A$1:$N$1541,13,FALSE)/VLOOKUP(A1064,'Delta Z Scores'!$A$1:$N$1541,14,FALSE),"Not Enough Data")</f>
        <v>0.3374489626861823</v>
      </c>
      <c r="G1064">
        <f>IF(VLOOKUP(A1064,'Forecast Z Scores'!$A$1:$N$1541,14,FALSE)&gt;2,VLOOKUP(A1064,'Forecast Z Scores'!$A$1:$N$1541,13,FALSE)/VLOOKUP(A1064,'Forecast Z Scores'!$A$1:$N$1541,14,FALSE),"Not Enough Data")</f>
        <v>7.3277497584164727E-2</v>
      </c>
      <c r="H1064">
        <v>0.18799318146661323</v>
      </c>
    </row>
    <row r="1065" spans="1:8" x14ac:dyDescent="0.35">
      <c r="A1065" t="str">
        <f t="shared" si="16"/>
        <v>18097380800_2027</v>
      </c>
      <c r="B1065">
        <v>18097380800</v>
      </c>
      <c r="C1065">
        <v>2027</v>
      </c>
      <c r="E1065">
        <f>-(IF(VLOOKUP(B1065,'2023 Z Scores'!$A$1:$K$309,11,FALSE)&gt;2,VLOOKUP(B1065,'2023 Z Scores'!$A$1:$K$309,10,FALSE)/VLOOKUP(B1065,'2023 Z Scores'!$A$1:$K$309,11,FALSE),"Not Enough data"))</f>
        <v>3.7973029099236033E-3</v>
      </c>
      <c r="F1065">
        <f>IF(VLOOKUP(A1065,'Delta Z Scores'!$A$1:$N$1541,14,FALSE)&gt;2,VLOOKUP(A1065,'Delta Z Scores'!$A$1:$N$1541,13,FALSE)/VLOOKUP(A1065,'Delta Z Scores'!$A$1:$N$1541,14,FALSE),"Not Enough Data")</f>
        <v>0.20582020630926745</v>
      </c>
      <c r="G1065">
        <f>IF(VLOOKUP(A1065,'Forecast Z Scores'!$A$1:$N$1541,14,FALSE)&gt;2,VLOOKUP(A1065,'Forecast Z Scores'!$A$1:$N$1541,13,FALSE)/VLOOKUP(A1065,'Forecast Z Scores'!$A$1:$N$1541,14,FALSE),"Not Enough Data")</f>
        <v>6.5310913984716168E-2</v>
      </c>
      <c r="H1065">
        <v>0.12018715737829366</v>
      </c>
    </row>
    <row r="1066" spans="1:8" x14ac:dyDescent="0.35">
      <c r="A1066" t="str">
        <f t="shared" si="16"/>
        <v>18097380800_2028</v>
      </c>
      <c r="B1066">
        <v>18097380800</v>
      </c>
      <c r="C1066">
        <v>2028</v>
      </c>
      <c r="E1066">
        <f>-(IF(VLOOKUP(B1066,'2023 Z Scores'!$A$1:$K$309,11,FALSE)&gt;2,VLOOKUP(B1066,'2023 Z Scores'!$A$1:$K$309,10,FALSE)/VLOOKUP(B1066,'2023 Z Scores'!$A$1:$K$309,11,FALSE),"Not Enough data"))</f>
        <v>3.7973029099236033E-3</v>
      </c>
      <c r="F1066">
        <f>IF(VLOOKUP(A1066,'Delta Z Scores'!$A$1:$N$1541,14,FALSE)&gt;2,VLOOKUP(A1066,'Delta Z Scores'!$A$1:$N$1541,13,FALSE)/VLOOKUP(A1066,'Delta Z Scores'!$A$1:$N$1541,14,FALSE),"Not Enough Data")</f>
        <v>0.40346767984718473</v>
      </c>
      <c r="G1066">
        <f>IF(VLOOKUP(A1066,'Forecast Z Scores'!$A$1:$N$1541,14,FALSE)&gt;2,VLOOKUP(A1066,'Forecast Z Scores'!$A$1:$N$1541,13,FALSE)/VLOOKUP(A1066,'Forecast Z Scores'!$A$1:$N$1541,14,FALSE),"Not Enough Data")</f>
        <v>5.7862391479533003E-2</v>
      </c>
      <c r="H1066">
        <v>0.21714876352095652</v>
      </c>
    </row>
    <row r="1067" spans="1:8" x14ac:dyDescent="0.35">
      <c r="A1067" t="str">
        <f t="shared" si="16"/>
        <v>18097380901_2024</v>
      </c>
      <c r="B1067">
        <v>18097380901</v>
      </c>
      <c r="C1067">
        <v>2024</v>
      </c>
      <c r="E1067">
        <f>-(IF(VLOOKUP(B1067,'2023 Z Scores'!$A$1:$K$309,11,FALSE)&gt;2,VLOOKUP(B1067,'2023 Z Scores'!$A$1:$K$309,10,FALSE)/VLOOKUP(B1067,'2023 Z Scores'!$A$1:$K$309,11,FALSE),"Not Enough data"))</f>
        <v>-2.0038706497636647E-2</v>
      </c>
      <c r="F1067">
        <f>IF(VLOOKUP(A1067,'Delta Z Scores'!$A$1:$N$1541,14,FALSE)&gt;2,VLOOKUP(A1067,'Delta Z Scores'!$A$1:$N$1541,13,FALSE)/VLOOKUP(A1067,'Delta Z Scores'!$A$1:$N$1541,14,FALSE),"Not Enough Data")</f>
        <v>0.33589122136399391</v>
      </c>
      <c r="G1067">
        <f>IF(VLOOKUP(A1067,'Forecast Z Scores'!$A$1:$N$1541,14,FALSE)&gt;2,VLOOKUP(A1067,'Forecast Z Scores'!$A$1:$N$1541,13,FALSE)/VLOOKUP(A1067,'Forecast Z Scores'!$A$1:$N$1541,14,FALSE),"Not Enough Data")</f>
        <v>-1.4638681115799251E-2</v>
      </c>
      <c r="H1067">
        <v>0.15927626377863799</v>
      </c>
    </row>
    <row r="1068" spans="1:8" x14ac:dyDescent="0.35">
      <c r="A1068" t="str">
        <f t="shared" si="16"/>
        <v>18097380901_2025</v>
      </c>
      <c r="B1068">
        <v>18097380901</v>
      </c>
      <c r="C1068">
        <v>2025</v>
      </c>
      <c r="E1068">
        <f>-(IF(VLOOKUP(B1068,'2023 Z Scores'!$A$1:$K$309,11,FALSE)&gt;2,VLOOKUP(B1068,'2023 Z Scores'!$A$1:$K$309,10,FALSE)/VLOOKUP(B1068,'2023 Z Scores'!$A$1:$K$309,11,FALSE),"Not Enough data"))</f>
        <v>-2.0038706497636647E-2</v>
      </c>
      <c r="F1068">
        <f>IF(VLOOKUP(A1068,'Delta Z Scores'!$A$1:$N$1541,14,FALSE)&gt;2,VLOOKUP(A1068,'Delta Z Scores'!$A$1:$N$1541,13,FALSE)/VLOOKUP(A1068,'Delta Z Scores'!$A$1:$N$1541,14,FALSE),"Not Enough Data")</f>
        <v>-0.70380876405338599</v>
      </c>
      <c r="G1068">
        <f>IF(VLOOKUP(A1068,'Forecast Z Scores'!$A$1:$N$1541,14,FALSE)&gt;2,VLOOKUP(A1068,'Forecast Z Scores'!$A$1:$N$1541,13,FALSE)/VLOOKUP(A1068,'Forecast Z Scores'!$A$1:$N$1541,14,FALSE),"Not Enough Data")</f>
        <v>-4.0184184673676605E-2</v>
      </c>
      <c r="H1068">
        <v>-0.36696010481952129</v>
      </c>
    </row>
    <row r="1069" spans="1:8" x14ac:dyDescent="0.35">
      <c r="A1069" t="str">
        <f t="shared" si="16"/>
        <v>18097380901_2026</v>
      </c>
      <c r="B1069">
        <v>18097380901</v>
      </c>
      <c r="C1069">
        <v>2026</v>
      </c>
      <c r="E1069">
        <f>-(IF(VLOOKUP(B1069,'2023 Z Scores'!$A$1:$K$309,11,FALSE)&gt;2,VLOOKUP(B1069,'2023 Z Scores'!$A$1:$K$309,10,FALSE)/VLOOKUP(B1069,'2023 Z Scores'!$A$1:$K$309,11,FALSE),"Not Enough data"))</f>
        <v>-2.0038706497636647E-2</v>
      </c>
      <c r="F1069">
        <f>IF(VLOOKUP(A1069,'Delta Z Scores'!$A$1:$N$1541,14,FALSE)&gt;2,VLOOKUP(A1069,'Delta Z Scores'!$A$1:$N$1541,13,FALSE)/VLOOKUP(A1069,'Delta Z Scores'!$A$1:$N$1541,14,FALSE),"Not Enough Data")</f>
        <v>-0.33632578064880564</v>
      </c>
      <c r="G1069">
        <f>IF(VLOOKUP(A1069,'Forecast Z Scores'!$A$1:$N$1541,14,FALSE)&gt;2,VLOOKUP(A1069,'Forecast Z Scores'!$A$1:$N$1541,13,FALSE)/VLOOKUP(A1069,'Forecast Z Scores'!$A$1:$N$1541,14,FALSE),"Not Enough Data")</f>
        <v>-3.9092137243123125E-2</v>
      </c>
      <c r="H1069">
        <v>-0.18294560125959275</v>
      </c>
    </row>
    <row r="1070" spans="1:8" x14ac:dyDescent="0.35">
      <c r="A1070" t="str">
        <f t="shared" si="16"/>
        <v>18097380901_2027</v>
      </c>
      <c r="B1070">
        <v>18097380901</v>
      </c>
      <c r="C1070">
        <v>2027</v>
      </c>
      <c r="E1070">
        <f>-(IF(VLOOKUP(B1070,'2023 Z Scores'!$A$1:$K$309,11,FALSE)&gt;2,VLOOKUP(B1070,'2023 Z Scores'!$A$1:$K$309,10,FALSE)/VLOOKUP(B1070,'2023 Z Scores'!$A$1:$K$309,11,FALSE),"Not Enough data"))</f>
        <v>-2.0038706497636647E-2</v>
      </c>
      <c r="F1070">
        <f>IF(VLOOKUP(A1070,'Delta Z Scores'!$A$1:$N$1541,14,FALSE)&gt;2,VLOOKUP(A1070,'Delta Z Scores'!$A$1:$N$1541,13,FALSE)/VLOOKUP(A1070,'Delta Z Scores'!$A$1:$N$1541,14,FALSE),"Not Enough Data")</f>
        <v>-0.66457208177037486</v>
      </c>
      <c r="G1070">
        <f>IF(VLOOKUP(A1070,'Forecast Z Scores'!$A$1:$N$1541,14,FALSE)&gt;2,VLOOKUP(A1070,'Forecast Z Scores'!$A$1:$N$1541,13,FALSE)/VLOOKUP(A1070,'Forecast Z Scores'!$A$1:$N$1541,14,FALSE),"Not Enough Data")</f>
        <v>-5.4735646934275885E-2</v>
      </c>
      <c r="H1070">
        <v>-0.35097962924316556</v>
      </c>
    </row>
    <row r="1071" spans="1:8" x14ac:dyDescent="0.35">
      <c r="A1071" t="str">
        <f t="shared" si="16"/>
        <v>18097380901_2028</v>
      </c>
      <c r="B1071">
        <v>18097380901</v>
      </c>
      <c r="C1071">
        <v>2028</v>
      </c>
      <c r="E1071">
        <f>-(IF(VLOOKUP(B1071,'2023 Z Scores'!$A$1:$K$309,11,FALSE)&gt;2,VLOOKUP(B1071,'2023 Z Scores'!$A$1:$K$309,10,FALSE)/VLOOKUP(B1071,'2023 Z Scores'!$A$1:$K$309,11,FALSE),"Not Enough data"))</f>
        <v>-2.0038706497636647E-2</v>
      </c>
      <c r="F1071">
        <f>IF(VLOOKUP(A1071,'Delta Z Scores'!$A$1:$N$1541,14,FALSE)&gt;2,VLOOKUP(A1071,'Delta Z Scores'!$A$1:$N$1541,13,FALSE)/VLOOKUP(A1071,'Delta Z Scores'!$A$1:$N$1541,14,FALSE),"Not Enough Data")</f>
        <v>-0.52202141541852709</v>
      </c>
      <c r="G1071">
        <f>IF(VLOOKUP(A1071,'Forecast Z Scores'!$A$1:$N$1541,14,FALSE)&gt;2,VLOOKUP(A1071,'Forecast Z Scores'!$A$1:$N$1541,13,FALSE)/VLOOKUP(A1071,'Forecast Z Scores'!$A$1:$N$1541,14,FALSE),"Not Enough Data")</f>
        <v>-6.9863838072507983E-2</v>
      </c>
      <c r="H1071">
        <v>-0.28348634385179972</v>
      </c>
    </row>
    <row r="1072" spans="1:8" x14ac:dyDescent="0.35">
      <c r="A1072" t="str">
        <f t="shared" si="16"/>
        <v>18097380902_2024</v>
      </c>
      <c r="B1072">
        <v>18097380902</v>
      </c>
      <c r="C1072">
        <v>2024</v>
      </c>
      <c r="E1072">
        <f>-(IF(VLOOKUP(B1072,'2023 Z Scores'!$A$1:$K$309,11,FALSE)&gt;2,VLOOKUP(B1072,'2023 Z Scores'!$A$1:$K$309,10,FALSE)/VLOOKUP(B1072,'2023 Z Scores'!$A$1:$K$309,11,FALSE),"Not Enough data"))</f>
        <v>-0.5204874114535164</v>
      </c>
      <c r="F1072">
        <f>IF(VLOOKUP(A1072,'Delta Z Scores'!$A$1:$N$1541,14,FALSE)&gt;2,VLOOKUP(A1072,'Delta Z Scores'!$A$1:$N$1541,13,FALSE)/VLOOKUP(A1072,'Delta Z Scores'!$A$1:$N$1541,14,FALSE),"Not Enough Data")</f>
        <v>0.10108973163860792</v>
      </c>
      <c r="G1072">
        <f>IF(VLOOKUP(A1072,'Forecast Z Scores'!$A$1:$N$1541,14,FALSE)&gt;2,VLOOKUP(A1072,'Forecast Z Scores'!$A$1:$N$1541,13,FALSE)/VLOOKUP(A1072,'Forecast Z Scores'!$A$1:$N$1541,14,FALSE),"Not Enough Data")</f>
        <v>0.45325394784823364</v>
      </c>
      <c r="H1072">
        <v>3.3736499917983276E-2</v>
      </c>
    </row>
    <row r="1073" spans="1:8" x14ac:dyDescent="0.35">
      <c r="A1073" t="str">
        <f t="shared" si="16"/>
        <v>18097380902_2025</v>
      </c>
      <c r="B1073">
        <v>18097380902</v>
      </c>
      <c r="C1073">
        <v>2025</v>
      </c>
      <c r="E1073">
        <f>-(IF(VLOOKUP(B1073,'2023 Z Scores'!$A$1:$K$309,11,FALSE)&gt;2,VLOOKUP(B1073,'2023 Z Scores'!$A$1:$K$309,10,FALSE)/VLOOKUP(B1073,'2023 Z Scores'!$A$1:$K$309,11,FALSE),"Not Enough data"))</f>
        <v>-0.5204874114535164</v>
      </c>
      <c r="F1073">
        <f>IF(VLOOKUP(A1073,'Delta Z Scores'!$A$1:$N$1541,14,FALSE)&gt;2,VLOOKUP(A1073,'Delta Z Scores'!$A$1:$N$1541,13,FALSE)/VLOOKUP(A1073,'Delta Z Scores'!$A$1:$N$1541,14,FALSE),"Not Enough Data")</f>
        <v>-0.54677301559273095</v>
      </c>
      <c r="G1073">
        <f>IF(VLOOKUP(A1073,'Forecast Z Scores'!$A$1:$N$1541,14,FALSE)&gt;2,VLOOKUP(A1073,'Forecast Z Scores'!$A$1:$N$1541,13,FALSE)/VLOOKUP(A1073,'Forecast Z Scores'!$A$1:$N$1541,14,FALSE),"Not Enough Data")</f>
        <v>0.37856549630564085</v>
      </c>
      <c r="H1073">
        <v>-0.30886698658333434</v>
      </c>
    </row>
    <row r="1074" spans="1:8" x14ac:dyDescent="0.35">
      <c r="A1074" t="str">
        <f t="shared" si="16"/>
        <v>18097380902_2026</v>
      </c>
      <c r="B1074">
        <v>18097380902</v>
      </c>
      <c r="C1074">
        <v>2026</v>
      </c>
      <c r="E1074">
        <f>-(IF(VLOOKUP(B1074,'2023 Z Scores'!$A$1:$K$309,11,FALSE)&gt;2,VLOOKUP(B1074,'2023 Z Scores'!$A$1:$K$309,10,FALSE)/VLOOKUP(B1074,'2023 Z Scores'!$A$1:$K$309,11,FALSE),"Not Enough data"))</f>
        <v>-0.5204874114535164</v>
      </c>
      <c r="F1074">
        <f>IF(VLOOKUP(A1074,'Delta Z Scores'!$A$1:$N$1541,14,FALSE)&gt;2,VLOOKUP(A1074,'Delta Z Scores'!$A$1:$N$1541,13,FALSE)/VLOOKUP(A1074,'Delta Z Scores'!$A$1:$N$1541,14,FALSE),"Not Enough Data")</f>
        <v>0.20648690099101188</v>
      </c>
      <c r="G1074">
        <f>IF(VLOOKUP(A1074,'Forecast Z Scores'!$A$1:$N$1541,14,FALSE)&gt;2,VLOOKUP(A1074,'Forecast Z Scores'!$A$1:$N$1541,13,FALSE)/VLOOKUP(A1074,'Forecast Z Scores'!$A$1:$N$1541,14,FALSE),"Not Enough Data")</f>
        <v>0.40160060965879096</v>
      </c>
      <c r="H1074">
        <v>7.3521750046824569E-2</v>
      </c>
    </row>
    <row r="1075" spans="1:8" x14ac:dyDescent="0.35">
      <c r="A1075" t="str">
        <f t="shared" si="16"/>
        <v>18097380902_2027</v>
      </c>
      <c r="B1075">
        <v>18097380902</v>
      </c>
      <c r="C1075">
        <v>2027</v>
      </c>
      <c r="E1075">
        <f>-(IF(VLOOKUP(B1075,'2023 Z Scores'!$A$1:$K$309,11,FALSE)&gt;2,VLOOKUP(B1075,'2023 Z Scores'!$A$1:$K$309,10,FALSE)/VLOOKUP(B1075,'2023 Z Scores'!$A$1:$K$309,11,FALSE),"Not Enough data"))</f>
        <v>-0.5204874114535164</v>
      </c>
      <c r="F1075">
        <f>IF(VLOOKUP(A1075,'Delta Z Scores'!$A$1:$N$1541,14,FALSE)&gt;2,VLOOKUP(A1075,'Delta Z Scores'!$A$1:$N$1541,13,FALSE)/VLOOKUP(A1075,'Delta Z Scores'!$A$1:$N$1541,14,FALSE),"Not Enough Data")</f>
        <v>-0.27003563456220459</v>
      </c>
      <c r="G1075">
        <f>IF(VLOOKUP(A1075,'Forecast Z Scores'!$A$1:$N$1541,14,FALSE)&gt;2,VLOOKUP(A1075,'Forecast Z Scores'!$A$1:$N$1541,13,FALSE)/VLOOKUP(A1075,'Forecast Z Scores'!$A$1:$N$1541,14,FALSE),"Not Enough Data")</f>
        <v>0.36436186470231552</v>
      </c>
      <c r="H1075">
        <v>-0.1740492039689025</v>
      </c>
    </row>
    <row r="1076" spans="1:8" x14ac:dyDescent="0.35">
      <c r="A1076" t="str">
        <f t="shared" si="16"/>
        <v>18097380902_2028</v>
      </c>
      <c r="B1076">
        <v>18097380902</v>
      </c>
      <c r="C1076">
        <v>2028</v>
      </c>
      <c r="E1076">
        <f>-(IF(VLOOKUP(B1076,'2023 Z Scores'!$A$1:$K$309,11,FALSE)&gt;2,VLOOKUP(B1076,'2023 Z Scores'!$A$1:$K$309,10,FALSE)/VLOOKUP(B1076,'2023 Z Scores'!$A$1:$K$309,11,FALSE),"Not Enough data"))</f>
        <v>-0.5204874114535164</v>
      </c>
      <c r="F1076">
        <f>IF(VLOOKUP(A1076,'Delta Z Scores'!$A$1:$N$1541,14,FALSE)&gt;2,VLOOKUP(A1076,'Delta Z Scores'!$A$1:$N$1541,13,FALSE)/VLOOKUP(A1076,'Delta Z Scores'!$A$1:$N$1541,14,FALSE),"Not Enough Data")</f>
        <v>0.12632549533049206</v>
      </c>
      <c r="G1076">
        <f>IF(VLOOKUP(A1076,'Forecast Z Scores'!$A$1:$N$1541,14,FALSE)&gt;2,VLOOKUP(A1076,'Forecast Z Scores'!$A$1:$N$1541,13,FALSE)/VLOOKUP(A1076,'Forecast Z Scores'!$A$1:$N$1541,14,FALSE),"Not Enough Data")</f>
        <v>0.3597697396237744</v>
      </c>
      <c r="H1076">
        <v>2.2983329707810529E-2</v>
      </c>
    </row>
    <row r="1077" spans="1:8" x14ac:dyDescent="0.35">
      <c r="A1077" t="str">
        <f t="shared" si="16"/>
        <v>18097381002_2024</v>
      </c>
      <c r="B1077">
        <v>18097381002</v>
      </c>
      <c r="C1077">
        <v>2024</v>
      </c>
      <c r="E1077">
        <f>-(IF(VLOOKUP(B1077,'2023 Z Scores'!$A$1:$K$309,11,FALSE)&gt;2,VLOOKUP(B1077,'2023 Z Scores'!$A$1:$K$309,10,FALSE)/VLOOKUP(B1077,'2023 Z Scores'!$A$1:$K$309,11,FALSE),"Not Enough data"))</f>
        <v>-0.44031949846191198</v>
      </c>
      <c r="F1077">
        <f>IF(VLOOKUP(A1077,'Delta Z Scores'!$A$1:$N$1541,14,FALSE)&gt;2,VLOOKUP(A1077,'Delta Z Scores'!$A$1:$N$1541,13,FALSE)/VLOOKUP(A1077,'Delta Z Scores'!$A$1:$N$1541,14,FALSE),"Not Enough Data")</f>
        <v>-3.7799148335108924E-2</v>
      </c>
      <c r="G1077">
        <f>IF(VLOOKUP(A1077,'Forecast Z Scores'!$A$1:$N$1541,14,FALSE)&gt;2,VLOOKUP(A1077,'Forecast Z Scores'!$A$1:$N$1541,13,FALSE)/VLOOKUP(A1077,'Forecast Z Scores'!$A$1:$N$1541,14,FALSE),"Not Enough Data")</f>
        <v>0.33174547175792102</v>
      </c>
      <c r="H1077">
        <v>-4.60430808435522E-2</v>
      </c>
    </row>
    <row r="1078" spans="1:8" x14ac:dyDescent="0.35">
      <c r="A1078" t="str">
        <f t="shared" si="16"/>
        <v>18097381002_2025</v>
      </c>
      <c r="B1078">
        <v>18097381002</v>
      </c>
      <c r="C1078">
        <v>2025</v>
      </c>
      <c r="E1078">
        <f>-(IF(VLOOKUP(B1078,'2023 Z Scores'!$A$1:$K$309,11,FALSE)&gt;2,VLOOKUP(B1078,'2023 Z Scores'!$A$1:$K$309,10,FALSE)/VLOOKUP(B1078,'2023 Z Scores'!$A$1:$K$309,11,FALSE),"Not Enough data"))</f>
        <v>-0.44031949846191198</v>
      </c>
      <c r="F1078">
        <f>IF(VLOOKUP(A1078,'Delta Z Scores'!$A$1:$N$1541,14,FALSE)&gt;2,VLOOKUP(A1078,'Delta Z Scores'!$A$1:$N$1541,13,FALSE)/VLOOKUP(A1078,'Delta Z Scores'!$A$1:$N$1541,14,FALSE),"Not Enough Data")</f>
        <v>-0.24602313928169314</v>
      </c>
      <c r="G1078">
        <f>IF(VLOOKUP(A1078,'Forecast Z Scores'!$A$1:$N$1541,14,FALSE)&gt;2,VLOOKUP(A1078,'Forecast Z Scores'!$A$1:$N$1541,13,FALSE)/VLOOKUP(A1078,'Forecast Z Scores'!$A$1:$N$1541,14,FALSE),"Not Enough Data")</f>
        <v>0.32355273231961273</v>
      </c>
      <c r="H1078">
        <v>-0.15220326117642138</v>
      </c>
    </row>
    <row r="1079" spans="1:8" x14ac:dyDescent="0.35">
      <c r="A1079" t="str">
        <f t="shared" si="16"/>
        <v>18097381002_2026</v>
      </c>
      <c r="B1079">
        <v>18097381002</v>
      </c>
      <c r="C1079">
        <v>2026</v>
      </c>
      <c r="E1079">
        <f>-(IF(VLOOKUP(B1079,'2023 Z Scores'!$A$1:$K$309,11,FALSE)&gt;2,VLOOKUP(B1079,'2023 Z Scores'!$A$1:$K$309,10,FALSE)/VLOOKUP(B1079,'2023 Z Scores'!$A$1:$K$309,11,FALSE),"Not Enough data"))</f>
        <v>-0.44031949846191198</v>
      </c>
      <c r="F1079">
        <f>IF(VLOOKUP(A1079,'Delta Z Scores'!$A$1:$N$1541,14,FALSE)&gt;2,VLOOKUP(A1079,'Delta Z Scores'!$A$1:$N$1541,13,FALSE)/VLOOKUP(A1079,'Delta Z Scores'!$A$1:$N$1541,14,FALSE),"Not Enough Data")</f>
        <v>0.22106841719499357</v>
      </c>
      <c r="G1079">
        <f>IF(VLOOKUP(A1079,'Forecast Z Scores'!$A$1:$N$1541,14,FALSE)&gt;2,VLOOKUP(A1079,'Forecast Z Scores'!$A$1:$N$1541,13,FALSE)/VLOOKUP(A1079,'Forecast Z Scores'!$A$1:$N$1541,14,FALSE),"Not Enough Data")</f>
        <v>0.33259638565288363</v>
      </c>
      <c r="H1079">
        <v>8.3603430395239681E-2</v>
      </c>
    </row>
    <row r="1080" spans="1:8" x14ac:dyDescent="0.35">
      <c r="A1080" t="str">
        <f t="shared" si="16"/>
        <v>18097381002_2027</v>
      </c>
      <c r="B1080">
        <v>18097381002</v>
      </c>
      <c r="C1080">
        <v>2027</v>
      </c>
      <c r="E1080">
        <f>-(IF(VLOOKUP(B1080,'2023 Z Scores'!$A$1:$K$309,11,FALSE)&gt;2,VLOOKUP(B1080,'2023 Z Scores'!$A$1:$K$309,10,FALSE)/VLOOKUP(B1080,'2023 Z Scores'!$A$1:$K$309,11,FALSE),"Not Enough data"))</f>
        <v>-0.44031949846191198</v>
      </c>
      <c r="F1080">
        <f>IF(VLOOKUP(A1080,'Delta Z Scores'!$A$1:$N$1541,14,FALSE)&gt;2,VLOOKUP(A1080,'Delta Z Scores'!$A$1:$N$1541,13,FALSE)/VLOOKUP(A1080,'Delta Z Scores'!$A$1:$N$1541,14,FALSE),"Not Enough Data")</f>
        <v>-8.8683239170901276E-2</v>
      </c>
      <c r="G1080">
        <f>IF(VLOOKUP(A1080,'Forecast Z Scores'!$A$1:$N$1541,14,FALSE)&gt;2,VLOOKUP(A1080,'Forecast Z Scores'!$A$1:$N$1541,13,FALSE)/VLOOKUP(A1080,'Forecast Z Scores'!$A$1:$N$1541,14,FALSE),"Not Enough Data")</f>
        <v>0.33380244432909406</v>
      </c>
      <c r="H1080">
        <v>-7.0970883118655126E-2</v>
      </c>
    </row>
    <row r="1081" spans="1:8" x14ac:dyDescent="0.35">
      <c r="A1081" t="str">
        <f t="shared" si="16"/>
        <v>18097381002_2028</v>
      </c>
      <c r="B1081">
        <v>18097381002</v>
      </c>
      <c r="C1081">
        <v>2028</v>
      </c>
      <c r="E1081">
        <f>-(IF(VLOOKUP(B1081,'2023 Z Scores'!$A$1:$K$309,11,FALSE)&gt;2,VLOOKUP(B1081,'2023 Z Scores'!$A$1:$K$309,10,FALSE)/VLOOKUP(B1081,'2023 Z Scores'!$A$1:$K$309,11,FALSE),"Not Enough data"))</f>
        <v>-0.44031949846191198</v>
      </c>
      <c r="F1081">
        <f>IF(VLOOKUP(A1081,'Delta Z Scores'!$A$1:$N$1541,14,FALSE)&gt;2,VLOOKUP(A1081,'Delta Z Scores'!$A$1:$N$1541,13,FALSE)/VLOOKUP(A1081,'Delta Z Scores'!$A$1:$N$1541,14,FALSE),"Not Enough Data")</f>
        <v>6.5338782625342665E-2</v>
      </c>
      <c r="G1081">
        <f>IF(VLOOKUP(A1081,'Forecast Z Scores'!$A$1:$N$1541,14,FALSE)&gt;2,VLOOKUP(A1081,'Forecast Z Scores'!$A$1:$N$1541,13,FALSE)/VLOOKUP(A1081,'Forecast Z Scores'!$A$1:$N$1541,14,FALSE),"Not Enough Data")</f>
        <v>0.33137302907947269</v>
      </c>
      <c r="H1081">
        <v>5.4327739670615161E-3</v>
      </c>
    </row>
    <row r="1082" spans="1:8" x14ac:dyDescent="0.35">
      <c r="A1082" t="str">
        <f t="shared" si="16"/>
        <v>18097381003_2024</v>
      </c>
      <c r="B1082">
        <v>18097381003</v>
      </c>
      <c r="C1082">
        <v>2024</v>
      </c>
      <c r="E1082">
        <f>-(IF(VLOOKUP(B1082,'2023 Z Scores'!$A$1:$K$309,11,FALSE)&gt;2,VLOOKUP(B1082,'2023 Z Scores'!$A$1:$K$309,10,FALSE)/VLOOKUP(B1082,'2023 Z Scores'!$A$1:$K$309,11,FALSE),"Not Enough data"))</f>
        <v>8.6084206557285187E-2</v>
      </c>
      <c r="F1082">
        <f>IF(VLOOKUP(A1082,'Delta Z Scores'!$A$1:$N$1541,14,FALSE)&gt;2,VLOOKUP(A1082,'Delta Z Scores'!$A$1:$N$1541,13,FALSE)/VLOOKUP(A1082,'Delta Z Scores'!$A$1:$N$1541,14,FALSE),"Not Enough Data")</f>
        <v>5.5687958209593158E-2</v>
      </c>
      <c r="G1082">
        <f>IF(VLOOKUP(A1082,'Forecast Z Scores'!$A$1:$N$1541,14,FALSE)&gt;2,VLOOKUP(A1082,'Forecast Z Scores'!$A$1:$N$1541,13,FALSE)/VLOOKUP(A1082,'Forecast Z Scores'!$A$1:$N$1541,14,FALSE),"Not Enough Data")</f>
        <v>-0.10038425252634252</v>
      </c>
      <c r="H1082">
        <v>2.4268967612532246E-2</v>
      </c>
    </row>
    <row r="1083" spans="1:8" x14ac:dyDescent="0.35">
      <c r="A1083" t="str">
        <f t="shared" si="16"/>
        <v>18097381003_2025</v>
      </c>
      <c r="B1083">
        <v>18097381003</v>
      </c>
      <c r="C1083">
        <v>2025</v>
      </c>
      <c r="E1083">
        <f>-(IF(VLOOKUP(B1083,'2023 Z Scores'!$A$1:$K$309,11,FALSE)&gt;2,VLOOKUP(B1083,'2023 Z Scores'!$A$1:$K$309,10,FALSE)/VLOOKUP(B1083,'2023 Z Scores'!$A$1:$K$309,11,FALSE),"Not Enough data"))</f>
        <v>8.6084206557285187E-2</v>
      </c>
      <c r="F1083">
        <f>IF(VLOOKUP(A1083,'Delta Z Scores'!$A$1:$N$1541,14,FALSE)&gt;2,VLOOKUP(A1083,'Delta Z Scores'!$A$1:$N$1541,13,FALSE)/VLOOKUP(A1083,'Delta Z Scores'!$A$1:$N$1541,14,FALSE),"Not Enough Data")</f>
        <v>-0.35880470046060448</v>
      </c>
      <c r="G1083">
        <f>IF(VLOOKUP(A1083,'Forecast Z Scores'!$A$1:$N$1541,14,FALSE)&gt;2,VLOOKUP(A1083,'Forecast Z Scores'!$A$1:$N$1541,13,FALSE)/VLOOKUP(A1083,'Forecast Z Scores'!$A$1:$N$1541,14,FALSE),"Not Enough Data")</f>
        <v>-0.10062258128406595</v>
      </c>
      <c r="H1083">
        <v>-0.18303694391199743</v>
      </c>
    </row>
    <row r="1084" spans="1:8" x14ac:dyDescent="0.35">
      <c r="A1084" t="str">
        <f t="shared" si="16"/>
        <v>18097381003_2026</v>
      </c>
      <c r="B1084">
        <v>18097381003</v>
      </c>
      <c r="C1084">
        <v>2026</v>
      </c>
      <c r="E1084">
        <f>-(IF(VLOOKUP(B1084,'2023 Z Scores'!$A$1:$K$309,11,FALSE)&gt;2,VLOOKUP(B1084,'2023 Z Scores'!$A$1:$K$309,10,FALSE)/VLOOKUP(B1084,'2023 Z Scores'!$A$1:$K$309,11,FALSE),"Not Enough data"))</f>
        <v>8.6084206557285187E-2</v>
      </c>
      <c r="F1084">
        <f>IF(VLOOKUP(A1084,'Delta Z Scores'!$A$1:$N$1541,14,FALSE)&gt;2,VLOOKUP(A1084,'Delta Z Scores'!$A$1:$N$1541,13,FALSE)/VLOOKUP(A1084,'Delta Z Scores'!$A$1:$N$1541,14,FALSE),"Not Enough Data")</f>
        <v>-0.47349157246829304</v>
      </c>
      <c r="G1084">
        <f>IF(VLOOKUP(A1084,'Forecast Z Scores'!$A$1:$N$1541,14,FALSE)&gt;2,VLOOKUP(A1084,'Forecast Z Scores'!$A$1:$N$1541,13,FALSE)/VLOOKUP(A1084,'Forecast Z Scores'!$A$1:$N$1541,14,FALSE),"Not Enough Data")</f>
        <v>-0.11240427684472384</v>
      </c>
      <c r="H1084">
        <v>-0.24332580380600619</v>
      </c>
    </row>
    <row r="1085" spans="1:8" x14ac:dyDescent="0.35">
      <c r="A1085" t="str">
        <f t="shared" si="16"/>
        <v>18097381003_2027</v>
      </c>
      <c r="B1085">
        <v>18097381003</v>
      </c>
      <c r="C1085">
        <v>2027</v>
      </c>
      <c r="E1085">
        <f>-(IF(VLOOKUP(B1085,'2023 Z Scores'!$A$1:$K$309,11,FALSE)&gt;2,VLOOKUP(B1085,'2023 Z Scores'!$A$1:$K$309,10,FALSE)/VLOOKUP(B1085,'2023 Z Scores'!$A$1:$K$309,11,FALSE),"Not Enough data"))</f>
        <v>8.6084206557285187E-2</v>
      </c>
      <c r="F1085">
        <f>IF(VLOOKUP(A1085,'Delta Z Scores'!$A$1:$N$1541,14,FALSE)&gt;2,VLOOKUP(A1085,'Delta Z Scores'!$A$1:$N$1541,13,FALSE)/VLOOKUP(A1085,'Delta Z Scores'!$A$1:$N$1541,14,FALSE),"Not Enough Data")</f>
        <v>-0.35345193704757566</v>
      </c>
      <c r="G1085">
        <f>IF(VLOOKUP(A1085,'Forecast Z Scores'!$A$1:$N$1541,14,FALSE)&gt;2,VLOOKUP(A1085,'Forecast Z Scores'!$A$1:$N$1541,13,FALSE)/VLOOKUP(A1085,'Forecast Z Scores'!$A$1:$N$1541,14,FALSE),"Not Enough Data")</f>
        <v>-0.11476839285322495</v>
      </c>
      <c r="H1085">
        <v>-0.18389701509777276</v>
      </c>
    </row>
    <row r="1086" spans="1:8" x14ac:dyDescent="0.35">
      <c r="A1086" t="str">
        <f t="shared" si="16"/>
        <v>18097381003_2028</v>
      </c>
      <c r="B1086">
        <v>18097381003</v>
      </c>
      <c r="C1086">
        <v>2028</v>
      </c>
      <c r="E1086">
        <f>-(IF(VLOOKUP(B1086,'2023 Z Scores'!$A$1:$K$309,11,FALSE)&gt;2,VLOOKUP(B1086,'2023 Z Scores'!$A$1:$K$309,10,FALSE)/VLOOKUP(B1086,'2023 Z Scores'!$A$1:$K$309,11,FALSE),"Not Enough data"))</f>
        <v>8.6084206557285187E-2</v>
      </c>
      <c r="F1086">
        <f>IF(VLOOKUP(A1086,'Delta Z Scores'!$A$1:$N$1541,14,FALSE)&gt;2,VLOOKUP(A1086,'Delta Z Scores'!$A$1:$N$1541,13,FALSE)/VLOOKUP(A1086,'Delta Z Scores'!$A$1:$N$1541,14,FALSE),"Not Enough Data")</f>
        <v>-0.56296842385283052</v>
      </c>
      <c r="G1086">
        <f>IF(VLOOKUP(A1086,'Forecast Z Scores'!$A$1:$N$1541,14,FALSE)&gt;2,VLOOKUP(A1086,'Forecast Z Scores'!$A$1:$N$1541,13,FALSE)/VLOOKUP(A1086,'Forecast Z Scores'!$A$1:$N$1541,14,FALSE),"Not Enough Data")</f>
        <v>-0.12196896617920429</v>
      </c>
      <c r="H1086">
        <v>-0.29045540183189505</v>
      </c>
    </row>
    <row r="1087" spans="1:8" x14ac:dyDescent="0.35">
      <c r="A1087" t="str">
        <f t="shared" si="16"/>
        <v>18097381004_2024</v>
      </c>
      <c r="B1087">
        <v>18097381004</v>
      </c>
      <c r="C1087">
        <v>2024</v>
      </c>
      <c r="E1087">
        <f>-(IF(VLOOKUP(B1087,'2023 Z Scores'!$A$1:$K$309,11,FALSE)&gt;2,VLOOKUP(B1087,'2023 Z Scores'!$A$1:$K$309,10,FALSE)/VLOOKUP(B1087,'2023 Z Scores'!$A$1:$K$309,11,FALSE),"Not Enough data"))</f>
        <v>0.18163112423165195</v>
      </c>
      <c r="F1087">
        <f>IF(VLOOKUP(A1087,'Delta Z Scores'!$A$1:$N$1541,14,FALSE)&gt;2,VLOOKUP(A1087,'Delta Z Scores'!$A$1:$N$1541,13,FALSE)/VLOOKUP(A1087,'Delta Z Scores'!$A$1:$N$1541,14,FALSE),"Not Enough Data")</f>
        <v>6.1868585661758964E-2</v>
      </c>
      <c r="G1087">
        <f>IF(VLOOKUP(A1087,'Forecast Z Scores'!$A$1:$N$1541,14,FALSE)&gt;2,VLOOKUP(A1087,'Forecast Z Scores'!$A$1:$N$1541,13,FALSE)/VLOOKUP(A1087,'Forecast Z Scores'!$A$1:$N$1541,14,FALSE),"Not Enough Data")</f>
        <v>-0.24378159723308143</v>
      </c>
      <c r="H1087">
        <v>1.5396674580522112E-2</v>
      </c>
    </row>
    <row r="1088" spans="1:8" x14ac:dyDescent="0.35">
      <c r="A1088" t="str">
        <f t="shared" si="16"/>
        <v>18097381004_2025</v>
      </c>
      <c r="B1088">
        <v>18097381004</v>
      </c>
      <c r="C1088">
        <v>2025</v>
      </c>
      <c r="E1088">
        <f>-(IF(VLOOKUP(B1088,'2023 Z Scores'!$A$1:$K$309,11,FALSE)&gt;2,VLOOKUP(B1088,'2023 Z Scores'!$A$1:$K$309,10,FALSE)/VLOOKUP(B1088,'2023 Z Scores'!$A$1:$K$309,11,FALSE),"Not Enough data"))</f>
        <v>0.18163112423165195</v>
      </c>
      <c r="F1088">
        <f>IF(VLOOKUP(A1088,'Delta Z Scores'!$A$1:$N$1541,14,FALSE)&gt;2,VLOOKUP(A1088,'Delta Z Scores'!$A$1:$N$1541,13,FALSE)/VLOOKUP(A1088,'Delta Z Scores'!$A$1:$N$1541,14,FALSE),"Not Enough Data")</f>
        <v>0.32328477079984613</v>
      </c>
      <c r="G1088">
        <f>IF(VLOOKUP(A1088,'Forecast Z Scores'!$A$1:$N$1541,14,FALSE)&gt;2,VLOOKUP(A1088,'Forecast Z Scores'!$A$1:$N$1541,13,FALSE)/VLOOKUP(A1088,'Forecast Z Scores'!$A$1:$N$1541,14,FALSE),"Not Enough Data")</f>
        <v>-0.25200604102976393</v>
      </c>
      <c r="H1088">
        <v>0.14404865620039509</v>
      </c>
    </row>
    <row r="1089" spans="1:8" x14ac:dyDescent="0.35">
      <c r="A1089" t="str">
        <f t="shared" si="16"/>
        <v>18097381004_2026</v>
      </c>
      <c r="B1089">
        <v>18097381004</v>
      </c>
      <c r="C1089">
        <v>2026</v>
      </c>
      <c r="E1089">
        <f>-(IF(VLOOKUP(B1089,'2023 Z Scores'!$A$1:$K$309,11,FALSE)&gt;2,VLOOKUP(B1089,'2023 Z Scores'!$A$1:$K$309,10,FALSE)/VLOOKUP(B1089,'2023 Z Scores'!$A$1:$K$309,11,FALSE),"Not Enough data"))</f>
        <v>0.18163112423165195</v>
      </c>
      <c r="F1089">
        <f>IF(VLOOKUP(A1089,'Delta Z Scores'!$A$1:$N$1541,14,FALSE)&gt;2,VLOOKUP(A1089,'Delta Z Scores'!$A$1:$N$1541,13,FALSE)/VLOOKUP(A1089,'Delta Z Scores'!$A$1:$N$1541,14,FALSE),"Not Enough Data")</f>
        <v>-0.38548558686909201</v>
      </c>
      <c r="G1089">
        <f>IF(VLOOKUP(A1089,'Forecast Z Scores'!$A$1:$N$1541,14,FALSE)&gt;2,VLOOKUP(A1089,'Forecast Z Scores'!$A$1:$N$1541,13,FALSE)/VLOOKUP(A1089,'Forecast Z Scores'!$A$1:$N$1541,14,FALSE),"Not Enough Data")</f>
        <v>-0.31430376988476083</v>
      </c>
      <c r="H1089">
        <v>-0.2259109548478232</v>
      </c>
    </row>
    <row r="1090" spans="1:8" x14ac:dyDescent="0.35">
      <c r="A1090" t="str">
        <f t="shared" si="16"/>
        <v>18097381004_2027</v>
      </c>
      <c r="B1090">
        <v>18097381004</v>
      </c>
      <c r="C1090">
        <v>2027</v>
      </c>
      <c r="E1090">
        <f>-(IF(VLOOKUP(B1090,'2023 Z Scores'!$A$1:$K$309,11,FALSE)&gt;2,VLOOKUP(B1090,'2023 Z Scores'!$A$1:$K$309,10,FALSE)/VLOOKUP(B1090,'2023 Z Scores'!$A$1:$K$309,11,FALSE),"Not Enough data"))</f>
        <v>0.18163112423165195</v>
      </c>
      <c r="F1090">
        <f>IF(VLOOKUP(A1090,'Delta Z Scores'!$A$1:$N$1541,14,FALSE)&gt;2,VLOOKUP(A1090,'Delta Z Scores'!$A$1:$N$1541,13,FALSE)/VLOOKUP(A1090,'Delta Z Scores'!$A$1:$N$1541,14,FALSE),"Not Enough Data")</f>
        <v>0.33318471758706092</v>
      </c>
      <c r="G1090">
        <f>IF(VLOOKUP(A1090,'Forecast Z Scores'!$A$1:$N$1541,14,FALSE)&gt;2,VLOOKUP(A1090,'Forecast Z Scores'!$A$1:$N$1541,13,FALSE)/VLOOKUP(A1090,'Forecast Z Scores'!$A$1:$N$1541,14,FALSE),"Not Enough Data")</f>
        <v>-0.31938752606018211</v>
      </c>
      <c r="H1090">
        <v>0.13215325833639791</v>
      </c>
    </row>
    <row r="1091" spans="1:8" x14ac:dyDescent="0.35">
      <c r="A1091" t="str">
        <f t="shared" ref="A1091:A1154" si="17">TEXT(B1091,0)&amp;"_"&amp;TEXT(C1091,0)</f>
        <v>18097381004_2028</v>
      </c>
      <c r="B1091">
        <v>18097381004</v>
      </c>
      <c r="C1091">
        <v>2028</v>
      </c>
      <c r="E1091">
        <f>-(IF(VLOOKUP(B1091,'2023 Z Scores'!$A$1:$K$309,11,FALSE)&gt;2,VLOOKUP(B1091,'2023 Z Scores'!$A$1:$K$309,10,FALSE)/VLOOKUP(B1091,'2023 Z Scores'!$A$1:$K$309,11,FALSE),"Not Enough data"))</f>
        <v>0.18163112423165195</v>
      </c>
      <c r="F1091">
        <f>IF(VLOOKUP(A1091,'Delta Z Scores'!$A$1:$N$1541,14,FALSE)&gt;2,VLOOKUP(A1091,'Delta Z Scores'!$A$1:$N$1541,13,FALSE)/VLOOKUP(A1091,'Delta Z Scores'!$A$1:$N$1541,14,FALSE),"Not Enough Data")</f>
        <v>-0.30512523358417359</v>
      </c>
      <c r="G1091">
        <f>IF(VLOOKUP(A1091,'Forecast Z Scores'!$A$1:$N$1541,14,FALSE)&gt;2,VLOOKUP(A1091,'Forecast Z Scores'!$A$1:$N$1541,13,FALSE)/VLOOKUP(A1091,'Forecast Z Scores'!$A$1:$N$1541,14,FALSE),"Not Enough Data")</f>
        <v>-0.3702137320318693</v>
      </c>
      <c r="H1091">
        <v>-0.19970826874214115</v>
      </c>
    </row>
    <row r="1092" spans="1:8" x14ac:dyDescent="0.35">
      <c r="A1092" t="str">
        <f t="shared" si="17"/>
        <v>18097381101_2024</v>
      </c>
      <c r="B1092">
        <v>18097381101</v>
      </c>
      <c r="C1092">
        <v>2024</v>
      </c>
      <c r="E1092">
        <f>-(IF(VLOOKUP(B1092,'2023 Z Scores'!$A$1:$K$309,11,FALSE)&gt;2,VLOOKUP(B1092,'2023 Z Scores'!$A$1:$K$309,10,FALSE)/VLOOKUP(B1092,'2023 Z Scores'!$A$1:$K$309,11,FALSE),"Not Enough data"))</f>
        <v>-0.4440710742013626</v>
      </c>
      <c r="F1092">
        <f>IF(VLOOKUP(A1092,'Delta Z Scores'!$A$1:$N$1541,14,FALSE)&gt;2,VLOOKUP(A1092,'Delta Z Scores'!$A$1:$N$1541,13,FALSE)/VLOOKUP(A1092,'Delta Z Scores'!$A$1:$N$1541,14,FALSE),"Not Enough Data")</f>
        <v>-0.11919721788310891</v>
      </c>
      <c r="G1092">
        <f>IF(VLOOKUP(A1092,'Forecast Z Scores'!$A$1:$N$1541,14,FALSE)&gt;2,VLOOKUP(A1092,'Forecast Z Scores'!$A$1:$N$1541,13,FALSE)/VLOOKUP(A1092,'Forecast Z Scores'!$A$1:$N$1541,14,FALSE),"Not Enough Data")</f>
        <v>0.29637202571780169</v>
      </c>
      <c r="H1092">
        <v>-9.6523371062444685E-2</v>
      </c>
    </row>
    <row r="1093" spans="1:8" x14ac:dyDescent="0.35">
      <c r="A1093" t="str">
        <f t="shared" si="17"/>
        <v>18097381101_2025</v>
      </c>
      <c r="B1093">
        <v>18097381101</v>
      </c>
      <c r="C1093">
        <v>2025</v>
      </c>
      <c r="E1093">
        <f>-(IF(VLOOKUP(B1093,'2023 Z Scores'!$A$1:$K$309,11,FALSE)&gt;2,VLOOKUP(B1093,'2023 Z Scores'!$A$1:$K$309,10,FALSE)/VLOOKUP(B1093,'2023 Z Scores'!$A$1:$K$309,11,FALSE),"Not Enough data"))</f>
        <v>-0.4440710742013626</v>
      </c>
      <c r="F1093">
        <f>IF(VLOOKUP(A1093,'Delta Z Scores'!$A$1:$N$1541,14,FALSE)&gt;2,VLOOKUP(A1093,'Delta Z Scores'!$A$1:$N$1541,13,FALSE)/VLOOKUP(A1093,'Delta Z Scores'!$A$1:$N$1541,14,FALSE),"Not Enough Data")</f>
        <v>-0.40361504789718816</v>
      </c>
      <c r="G1093">
        <f>IF(VLOOKUP(A1093,'Forecast Z Scores'!$A$1:$N$1541,14,FALSE)&gt;2,VLOOKUP(A1093,'Forecast Z Scores'!$A$1:$N$1541,13,FALSE)/VLOOKUP(A1093,'Forecast Z Scores'!$A$1:$N$1541,14,FALSE),"Not Enough Data")</f>
        <v>0.2380697190037262</v>
      </c>
      <c r="H1093">
        <v>-0.25330786274800321</v>
      </c>
    </row>
    <row r="1094" spans="1:8" x14ac:dyDescent="0.35">
      <c r="A1094" t="str">
        <f t="shared" si="17"/>
        <v>18097381101_2026</v>
      </c>
      <c r="B1094">
        <v>18097381101</v>
      </c>
      <c r="C1094">
        <v>2026</v>
      </c>
      <c r="E1094">
        <f>-(IF(VLOOKUP(B1094,'2023 Z Scores'!$A$1:$K$309,11,FALSE)&gt;2,VLOOKUP(B1094,'2023 Z Scores'!$A$1:$K$309,10,FALSE)/VLOOKUP(B1094,'2023 Z Scores'!$A$1:$K$309,11,FALSE),"Not Enough data"))</f>
        <v>-0.4440710742013626</v>
      </c>
      <c r="F1094">
        <f>IF(VLOOKUP(A1094,'Delta Z Scores'!$A$1:$N$1541,14,FALSE)&gt;2,VLOOKUP(A1094,'Delta Z Scores'!$A$1:$N$1541,13,FALSE)/VLOOKUP(A1094,'Delta Z Scores'!$A$1:$N$1541,14,FALSE),"Not Enough Data")</f>
        <v>-0.22836839320448132</v>
      </c>
      <c r="G1094">
        <f>IF(VLOOKUP(A1094,'Forecast Z Scores'!$A$1:$N$1541,14,FALSE)&gt;2,VLOOKUP(A1094,'Forecast Z Scores'!$A$1:$N$1541,13,FALSE)/VLOOKUP(A1094,'Forecast Z Scores'!$A$1:$N$1541,14,FALSE),"Not Enough Data")</f>
        <v>0.2028761515033361</v>
      </c>
      <c r="H1094">
        <v>-0.1744829272767473</v>
      </c>
    </row>
    <row r="1095" spans="1:8" x14ac:dyDescent="0.35">
      <c r="A1095" t="str">
        <f t="shared" si="17"/>
        <v>18097381101_2027</v>
      </c>
      <c r="B1095">
        <v>18097381101</v>
      </c>
      <c r="C1095">
        <v>2027</v>
      </c>
      <c r="E1095">
        <f>-(IF(VLOOKUP(B1095,'2023 Z Scores'!$A$1:$K$309,11,FALSE)&gt;2,VLOOKUP(B1095,'2023 Z Scores'!$A$1:$K$309,10,FALSE)/VLOOKUP(B1095,'2023 Z Scores'!$A$1:$K$309,11,FALSE),"Not Enough data"))</f>
        <v>-0.4440710742013626</v>
      </c>
      <c r="F1095">
        <f>IF(VLOOKUP(A1095,'Delta Z Scores'!$A$1:$N$1541,14,FALSE)&gt;2,VLOOKUP(A1095,'Delta Z Scores'!$A$1:$N$1541,13,FALSE)/VLOOKUP(A1095,'Delta Z Scores'!$A$1:$N$1541,14,FALSE),"Not Enough Data")</f>
        <v>-0.27251145128887788</v>
      </c>
      <c r="G1095">
        <f>IF(VLOOKUP(A1095,'Forecast Z Scores'!$A$1:$N$1541,14,FALSE)&gt;2,VLOOKUP(A1095,'Forecast Z Scores'!$A$1:$N$1541,13,FALSE)/VLOOKUP(A1095,'Forecast Z Scores'!$A$1:$N$1541,14,FALSE),"Not Enough Data")</f>
        <v>0.15218189932174311</v>
      </c>
      <c r="H1095">
        <v>-0.20922801936434382</v>
      </c>
    </row>
    <row r="1096" spans="1:8" x14ac:dyDescent="0.35">
      <c r="A1096" t="str">
        <f t="shared" si="17"/>
        <v>18097381101_2028</v>
      </c>
      <c r="B1096">
        <v>18097381101</v>
      </c>
      <c r="C1096">
        <v>2028</v>
      </c>
      <c r="E1096">
        <f>-(IF(VLOOKUP(B1096,'2023 Z Scores'!$A$1:$K$309,11,FALSE)&gt;2,VLOOKUP(B1096,'2023 Z Scores'!$A$1:$K$309,10,FALSE)/VLOOKUP(B1096,'2023 Z Scores'!$A$1:$K$309,11,FALSE),"Not Enough data"))</f>
        <v>-0.4440710742013626</v>
      </c>
      <c r="F1096">
        <f>IF(VLOOKUP(A1096,'Delta Z Scores'!$A$1:$N$1541,14,FALSE)&gt;2,VLOOKUP(A1096,'Delta Z Scores'!$A$1:$N$1541,13,FALSE)/VLOOKUP(A1096,'Delta Z Scores'!$A$1:$N$1541,14,FALSE),"Not Enough Data")</f>
        <v>-0.17533406533858395</v>
      </c>
      <c r="G1096">
        <f>IF(VLOOKUP(A1096,'Forecast Z Scores'!$A$1:$N$1541,14,FALSE)&gt;2,VLOOKUP(A1096,'Forecast Z Scores'!$A$1:$N$1541,13,FALSE)/VLOOKUP(A1096,'Forecast Z Scores'!$A$1:$N$1541,14,FALSE),"Not Enough Data")</f>
        <v>0.11627459950924797</v>
      </c>
      <c r="H1096">
        <v>-0.16961615134232064</v>
      </c>
    </row>
    <row r="1097" spans="1:8" x14ac:dyDescent="0.35">
      <c r="A1097" t="str">
        <f t="shared" si="17"/>
        <v>18097381102_2024</v>
      </c>
      <c r="B1097">
        <v>18097381102</v>
      </c>
      <c r="C1097">
        <v>2024</v>
      </c>
      <c r="E1097">
        <f>-(IF(VLOOKUP(B1097,'2023 Z Scores'!$A$1:$K$309,11,FALSE)&gt;2,VLOOKUP(B1097,'2023 Z Scores'!$A$1:$K$309,10,FALSE)/VLOOKUP(B1097,'2023 Z Scores'!$A$1:$K$309,11,FALSE),"Not Enough data"))</f>
        <v>-0.23678899145285812</v>
      </c>
      <c r="F1097">
        <f>IF(VLOOKUP(A1097,'Delta Z Scores'!$A$1:$N$1541,14,FALSE)&gt;2,VLOOKUP(A1097,'Delta Z Scores'!$A$1:$N$1541,13,FALSE)/VLOOKUP(A1097,'Delta Z Scores'!$A$1:$N$1541,14,FALSE),"Not Enough Data")</f>
        <v>-0.41480730589642073</v>
      </c>
      <c r="G1097">
        <f>IF(VLOOKUP(A1097,'Forecast Z Scores'!$A$1:$N$1541,14,FALSE)&gt;2,VLOOKUP(A1097,'Forecast Z Scores'!$A$1:$N$1541,13,FALSE)/VLOOKUP(A1097,'Forecast Z Scores'!$A$1:$N$1541,14,FALSE),"Not Enough Data")</f>
        <v>-0.16249205933770569</v>
      </c>
      <c r="H1097">
        <v>-0.30722391564585133</v>
      </c>
    </row>
    <row r="1098" spans="1:8" x14ac:dyDescent="0.35">
      <c r="A1098" t="str">
        <f t="shared" si="17"/>
        <v>18097381102_2025</v>
      </c>
      <c r="B1098">
        <v>18097381102</v>
      </c>
      <c r="C1098">
        <v>2025</v>
      </c>
      <c r="E1098">
        <f>-(IF(VLOOKUP(B1098,'2023 Z Scores'!$A$1:$K$309,11,FALSE)&gt;2,VLOOKUP(B1098,'2023 Z Scores'!$A$1:$K$309,10,FALSE)/VLOOKUP(B1098,'2023 Z Scores'!$A$1:$K$309,11,FALSE),"Not Enough data"))</f>
        <v>-0.23678899145285812</v>
      </c>
      <c r="F1098">
        <f>IF(VLOOKUP(A1098,'Delta Z Scores'!$A$1:$N$1541,14,FALSE)&gt;2,VLOOKUP(A1098,'Delta Z Scores'!$A$1:$N$1541,13,FALSE)/VLOOKUP(A1098,'Delta Z Scores'!$A$1:$N$1541,14,FALSE),"Not Enough Data")</f>
        <v>-0.36136399967807981</v>
      </c>
      <c r="G1098">
        <f>IF(VLOOKUP(A1098,'Forecast Z Scores'!$A$1:$N$1541,14,FALSE)&gt;2,VLOOKUP(A1098,'Forecast Z Scores'!$A$1:$N$1541,13,FALSE)/VLOOKUP(A1098,'Forecast Z Scores'!$A$1:$N$1541,14,FALSE),"Not Enough Data")</f>
        <v>-0.17466638335118803</v>
      </c>
      <c r="H1098">
        <v>-0.28354584354005141</v>
      </c>
    </row>
    <row r="1099" spans="1:8" x14ac:dyDescent="0.35">
      <c r="A1099" t="str">
        <f t="shared" si="17"/>
        <v>18097381102_2026</v>
      </c>
      <c r="B1099">
        <v>18097381102</v>
      </c>
      <c r="C1099">
        <v>2026</v>
      </c>
      <c r="E1099">
        <f>-(IF(VLOOKUP(B1099,'2023 Z Scores'!$A$1:$K$309,11,FALSE)&gt;2,VLOOKUP(B1099,'2023 Z Scores'!$A$1:$K$309,10,FALSE)/VLOOKUP(B1099,'2023 Z Scores'!$A$1:$K$309,11,FALSE),"Not Enough data"))</f>
        <v>-0.23678899145285812</v>
      </c>
      <c r="F1099">
        <f>IF(VLOOKUP(A1099,'Delta Z Scores'!$A$1:$N$1541,14,FALSE)&gt;2,VLOOKUP(A1099,'Delta Z Scores'!$A$1:$N$1541,13,FALSE)/VLOOKUP(A1099,'Delta Z Scores'!$A$1:$N$1541,14,FALSE),"Not Enough Data")</f>
        <v>-0.43756071081169018</v>
      </c>
      <c r="G1099">
        <f>IF(VLOOKUP(A1099,'Forecast Z Scores'!$A$1:$N$1541,14,FALSE)&gt;2,VLOOKUP(A1099,'Forecast Z Scores'!$A$1:$N$1541,13,FALSE)/VLOOKUP(A1099,'Forecast Z Scores'!$A$1:$N$1541,14,FALSE),"Not Enough Data")</f>
        <v>-0.19967690839488197</v>
      </c>
      <c r="H1099">
        <v>-0.32789683036778011</v>
      </c>
    </row>
    <row r="1100" spans="1:8" x14ac:dyDescent="0.35">
      <c r="A1100" t="str">
        <f t="shared" si="17"/>
        <v>18097381102_2027</v>
      </c>
      <c r="B1100">
        <v>18097381102</v>
      </c>
      <c r="C1100">
        <v>2027</v>
      </c>
      <c r="E1100">
        <f>-(IF(VLOOKUP(B1100,'2023 Z Scores'!$A$1:$K$309,11,FALSE)&gt;2,VLOOKUP(B1100,'2023 Z Scores'!$A$1:$K$309,10,FALSE)/VLOOKUP(B1100,'2023 Z Scores'!$A$1:$K$309,11,FALSE),"Not Enough data"))</f>
        <v>-0.23678899145285812</v>
      </c>
      <c r="F1100">
        <f>IF(VLOOKUP(A1100,'Delta Z Scores'!$A$1:$N$1541,14,FALSE)&gt;2,VLOOKUP(A1100,'Delta Z Scores'!$A$1:$N$1541,13,FALSE)/VLOOKUP(A1100,'Delta Z Scores'!$A$1:$N$1541,14,FALSE),"Not Enough Data")</f>
        <v>-0.36667174579488204</v>
      </c>
      <c r="G1100">
        <f>IF(VLOOKUP(A1100,'Forecast Z Scores'!$A$1:$N$1541,14,FALSE)&gt;2,VLOOKUP(A1100,'Forecast Z Scores'!$A$1:$N$1541,13,FALSE)/VLOOKUP(A1100,'Forecast Z Scores'!$A$1:$N$1541,14,FALSE),"Not Enough Data")</f>
        <v>-0.21093947174658809</v>
      </c>
      <c r="H1100">
        <v>-0.29526798869730259</v>
      </c>
    </row>
    <row r="1101" spans="1:8" x14ac:dyDescent="0.35">
      <c r="A1101" t="str">
        <f t="shared" si="17"/>
        <v>18097381102_2028</v>
      </c>
      <c r="B1101">
        <v>18097381102</v>
      </c>
      <c r="C1101">
        <v>2028</v>
      </c>
      <c r="E1101">
        <f>-(IF(VLOOKUP(B1101,'2023 Z Scores'!$A$1:$K$309,11,FALSE)&gt;2,VLOOKUP(B1101,'2023 Z Scores'!$A$1:$K$309,10,FALSE)/VLOOKUP(B1101,'2023 Z Scores'!$A$1:$K$309,11,FALSE),"Not Enough data"))</f>
        <v>-0.23678899145285812</v>
      </c>
      <c r="F1101">
        <f>IF(VLOOKUP(A1101,'Delta Z Scores'!$A$1:$N$1541,14,FALSE)&gt;2,VLOOKUP(A1101,'Delta Z Scores'!$A$1:$N$1541,13,FALSE)/VLOOKUP(A1101,'Delta Z Scores'!$A$1:$N$1541,14,FALSE),"Not Enough Data")</f>
        <v>-0.37142492365374508</v>
      </c>
      <c r="G1101">
        <f>IF(VLOOKUP(A1101,'Forecast Z Scores'!$A$1:$N$1541,14,FALSE)&gt;2,VLOOKUP(A1101,'Forecast Z Scores'!$A$1:$N$1541,13,FALSE)/VLOOKUP(A1101,'Forecast Z Scores'!$A$1:$N$1541,14,FALSE),"Not Enough Data")</f>
        <v>-0.2347174030377922</v>
      </c>
      <c r="H1101">
        <v>-0.3035890604495351</v>
      </c>
    </row>
    <row r="1102" spans="1:8" x14ac:dyDescent="0.35">
      <c r="A1102" t="str">
        <f t="shared" si="17"/>
        <v>18097381203_2024</v>
      </c>
      <c r="B1102">
        <v>18097381203</v>
      </c>
      <c r="C1102">
        <v>2024</v>
      </c>
      <c r="E1102">
        <f>-(IF(VLOOKUP(B1102,'2023 Z Scores'!$A$1:$K$309,11,FALSE)&gt;2,VLOOKUP(B1102,'2023 Z Scores'!$A$1:$K$309,10,FALSE)/VLOOKUP(B1102,'2023 Z Scores'!$A$1:$K$309,11,FALSE),"Not Enough data"))</f>
        <v>0.26218610249244556</v>
      </c>
      <c r="F1102">
        <f>IF(VLOOKUP(A1102,'Delta Z Scores'!$A$1:$N$1541,14,FALSE)&gt;2,VLOOKUP(A1102,'Delta Z Scores'!$A$1:$N$1541,13,FALSE)/VLOOKUP(A1102,'Delta Z Scores'!$A$1:$N$1541,14,FALSE),"Not Enough Data")</f>
        <v>8.9154043393210855E-2</v>
      </c>
      <c r="G1102">
        <f>IF(VLOOKUP(A1102,'Forecast Z Scores'!$A$1:$N$1541,14,FALSE)&gt;2,VLOOKUP(A1102,'Forecast Z Scores'!$A$1:$N$1541,13,FALSE)/VLOOKUP(A1102,'Forecast Z Scores'!$A$1:$N$1541,14,FALSE),"Not Enough Data")</f>
        <v>-0.3138445702108103</v>
      </c>
      <c r="H1102">
        <v>3.1662404767014242E-2</v>
      </c>
    </row>
    <row r="1103" spans="1:8" x14ac:dyDescent="0.35">
      <c r="A1103" t="str">
        <f t="shared" si="17"/>
        <v>18097381203_2025</v>
      </c>
      <c r="B1103">
        <v>18097381203</v>
      </c>
      <c r="C1103">
        <v>2025</v>
      </c>
      <c r="E1103">
        <f>-(IF(VLOOKUP(B1103,'2023 Z Scores'!$A$1:$K$309,11,FALSE)&gt;2,VLOOKUP(B1103,'2023 Z Scores'!$A$1:$K$309,10,FALSE)/VLOOKUP(B1103,'2023 Z Scores'!$A$1:$K$309,11,FALSE),"Not Enough data"))</f>
        <v>0.26218610249244556</v>
      </c>
      <c r="F1103">
        <f>IF(VLOOKUP(A1103,'Delta Z Scores'!$A$1:$N$1541,14,FALSE)&gt;2,VLOOKUP(A1103,'Delta Z Scores'!$A$1:$N$1541,13,FALSE)/VLOOKUP(A1103,'Delta Z Scores'!$A$1:$N$1541,14,FALSE),"Not Enough Data")</f>
        <v>-0.58666964990172576</v>
      </c>
      <c r="G1103">
        <f>IF(VLOOKUP(A1103,'Forecast Z Scores'!$A$1:$N$1541,14,FALSE)&gt;2,VLOOKUP(A1103,'Forecast Z Scores'!$A$1:$N$1541,13,FALSE)/VLOOKUP(A1103,'Forecast Z Scores'!$A$1:$N$1541,14,FALSE),"Not Enough Data")</f>
        <v>-0.37786252913398671</v>
      </c>
      <c r="H1103">
        <v>-0.32225393161124816</v>
      </c>
    </row>
    <row r="1104" spans="1:8" x14ac:dyDescent="0.35">
      <c r="A1104" t="str">
        <f t="shared" si="17"/>
        <v>18097381203_2026</v>
      </c>
      <c r="B1104">
        <v>18097381203</v>
      </c>
      <c r="C1104">
        <v>2026</v>
      </c>
      <c r="E1104">
        <f>-(IF(VLOOKUP(B1104,'2023 Z Scores'!$A$1:$K$309,11,FALSE)&gt;2,VLOOKUP(B1104,'2023 Z Scores'!$A$1:$K$309,10,FALSE)/VLOOKUP(B1104,'2023 Z Scores'!$A$1:$K$309,11,FALSE),"Not Enough data"))</f>
        <v>0.26218610249244556</v>
      </c>
      <c r="F1104">
        <f>IF(VLOOKUP(A1104,'Delta Z Scores'!$A$1:$N$1541,14,FALSE)&gt;2,VLOOKUP(A1104,'Delta Z Scores'!$A$1:$N$1541,13,FALSE)/VLOOKUP(A1104,'Delta Z Scores'!$A$1:$N$1541,14,FALSE),"Not Enough Data")</f>
        <v>-0.33310614983888193</v>
      </c>
      <c r="G1104">
        <f>IF(VLOOKUP(A1104,'Forecast Z Scores'!$A$1:$N$1541,14,FALSE)&gt;2,VLOOKUP(A1104,'Forecast Z Scores'!$A$1:$N$1541,13,FALSE)/VLOOKUP(A1104,'Forecast Z Scores'!$A$1:$N$1541,14,FALSE),"Not Enough Data")</f>
        <v>-0.42548888810301932</v>
      </c>
      <c r="H1104">
        <v>-0.2073787713220844</v>
      </c>
    </row>
    <row r="1105" spans="1:8" x14ac:dyDescent="0.35">
      <c r="A1105" t="str">
        <f t="shared" si="17"/>
        <v>18097381203_2027</v>
      </c>
      <c r="B1105">
        <v>18097381203</v>
      </c>
      <c r="C1105">
        <v>2027</v>
      </c>
      <c r="E1105">
        <f>-(IF(VLOOKUP(B1105,'2023 Z Scores'!$A$1:$K$309,11,FALSE)&gt;2,VLOOKUP(B1105,'2023 Z Scores'!$A$1:$K$309,10,FALSE)/VLOOKUP(B1105,'2023 Z Scores'!$A$1:$K$309,11,FALSE),"Not Enough data"))</f>
        <v>0.26218610249244556</v>
      </c>
      <c r="F1105">
        <f>IF(VLOOKUP(A1105,'Delta Z Scores'!$A$1:$N$1541,14,FALSE)&gt;2,VLOOKUP(A1105,'Delta Z Scores'!$A$1:$N$1541,13,FALSE)/VLOOKUP(A1105,'Delta Z Scores'!$A$1:$N$1541,14,FALSE),"Not Enough Data")</f>
        <v>-0.4442262678785579</v>
      </c>
      <c r="G1105">
        <f>IF(VLOOKUP(A1105,'Forecast Z Scores'!$A$1:$N$1541,14,FALSE)&gt;2,VLOOKUP(A1105,'Forecast Z Scores'!$A$1:$N$1541,13,FALSE)/VLOOKUP(A1105,'Forecast Z Scores'!$A$1:$N$1541,14,FALSE),"Not Enough Data")</f>
        <v>-0.4794102709044421</v>
      </c>
      <c r="H1105">
        <v>-0.27641917604227806</v>
      </c>
    </row>
    <row r="1106" spans="1:8" x14ac:dyDescent="0.35">
      <c r="A1106" t="str">
        <f t="shared" si="17"/>
        <v>18097381203_2028</v>
      </c>
      <c r="B1106">
        <v>18097381203</v>
      </c>
      <c r="C1106">
        <v>2028</v>
      </c>
      <c r="E1106">
        <f>-(IF(VLOOKUP(B1106,'2023 Z Scores'!$A$1:$K$309,11,FALSE)&gt;2,VLOOKUP(B1106,'2023 Z Scores'!$A$1:$K$309,10,FALSE)/VLOOKUP(B1106,'2023 Z Scores'!$A$1:$K$309,11,FALSE),"Not Enough data"))</f>
        <v>0.26218610249244556</v>
      </c>
      <c r="F1106">
        <f>IF(VLOOKUP(A1106,'Delta Z Scores'!$A$1:$N$1541,14,FALSE)&gt;2,VLOOKUP(A1106,'Delta Z Scores'!$A$1:$N$1541,13,FALSE)/VLOOKUP(A1106,'Delta Z Scores'!$A$1:$N$1541,14,FALSE),"Not Enough Data")</f>
        <v>-0.31034219714387534</v>
      </c>
      <c r="G1106">
        <f>IF(VLOOKUP(A1106,'Forecast Z Scores'!$A$1:$N$1541,14,FALSE)&gt;2,VLOOKUP(A1106,'Forecast Z Scores'!$A$1:$N$1541,13,FALSE)/VLOOKUP(A1106,'Forecast Z Scores'!$A$1:$N$1541,14,FALSE),"Not Enough Data")</f>
        <v>-0.51739592389200229</v>
      </c>
      <c r="H1106">
        <v>-0.21897355392182685</v>
      </c>
    </row>
    <row r="1107" spans="1:8" x14ac:dyDescent="0.35">
      <c r="A1107" t="str">
        <f t="shared" si="17"/>
        <v>18097381204_2024</v>
      </c>
      <c r="B1107">
        <v>18097381204</v>
      </c>
      <c r="C1107">
        <v>2024</v>
      </c>
      <c r="E1107">
        <f>-(IF(VLOOKUP(B1107,'2023 Z Scores'!$A$1:$K$309,11,FALSE)&gt;2,VLOOKUP(B1107,'2023 Z Scores'!$A$1:$K$309,10,FALSE)/VLOOKUP(B1107,'2023 Z Scores'!$A$1:$K$309,11,FALSE),"Not Enough data"))</f>
        <v>0.17408089019171605</v>
      </c>
      <c r="F1107">
        <f>IF(VLOOKUP(A1107,'Delta Z Scores'!$A$1:$N$1541,14,FALSE)&gt;2,VLOOKUP(A1107,'Delta Z Scores'!$A$1:$N$1541,13,FALSE)/VLOOKUP(A1107,'Delta Z Scores'!$A$1:$N$1541,14,FALSE),"Not Enough Data")</f>
        <v>0.51176474669609773</v>
      </c>
      <c r="G1107">
        <f>IF(VLOOKUP(A1107,'Forecast Z Scores'!$A$1:$N$1541,14,FALSE)&gt;2,VLOOKUP(A1107,'Forecast Z Scores'!$A$1:$N$1541,13,FALSE)/VLOOKUP(A1107,'Forecast Z Scores'!$A$1:$N$1541,14,FALSE),"Not Enough Data")</f>
        <v>8.4702912912704917E-2</v>
      </c>
      <c r="H1107">
        <v>0.3205783241241541</v>
      </c>
    </row>
    <row r="1108" spans="1:8" x14ac:dyDescent="0.35">
      <c r="A1108" t="str">
        <f t="shared" si="17"/>
        <v>18097381204_2025</v>
      </c>
      <c r="B1108">
        <v>18097381204</v>
      </c>
      <c r="C1108">
        <v>2025</v>
      </c>
      <c r="E1108">
        <f>-(IF(VLOOKUP(B1108,'2023 Z Scores'!$A$1:$K$309,11,FALSE)&gt;2,VLOOKUP(B1108,'2023 Z Scores'!$A$1:$K$309,10,FALSE)/VLOOKUP(B1108,'2023 Z Scores'!$A$1:$K$309,11,FALSE),"Not Enough data"))</f>
        <v>0.17408089019171605</v>
      </c>
      <c r="F1108">
        <f>IF(VLOOKUP(A1108,'Delta Z Scores'!$A$1:$N$1541,14,FALSE)&gt;2,VLOOKUP(A1108,'Delta Z Scores'!$A$1:$N$1541,13,FALSE)/VLOOKUP(A1108,'Delta Z Scores'!$A$1:$N$1541,14,FALSE),"Not Enough Data")</f>
        <v>-0.62923808869581355</v>
      </c>
      <c r="G1108">
        <f>IF(VLOOKUP(A1108,'Forecast Z Scores'!$A$1:$N$1541,14,FALSE)&gt;2,VLOOKUP(A1108,'Forecast Z Scores'!$A$1:$N$1541,13,FALSE)/VLOOKUP(A1108,'Forecast Z Scores'!$A$1:$N$1541,14,FALSE),"Not Enough Data")</f>
        <v>5.6018448253317664E-2</v>
      </c>
      <c r="H1108">
        <v>-0.25709420973664832</v>
      </c>
    </row>
    <row r="1109" spans="1:8" x14ac:dyDescent="0.35">
      <c r="A1109" t="str">
        <f t="shared" si="17"/>
        <v>18097381204_2026</v>
      </c>
      <c r="B1109">
        <v>18097381204</v>
      </c>
      <c r="C1109">
        <v>2026</v>
      </c>
      <c r="E1109">
        <f>-(IF(VLOOKUP(B1109,'2023 Z Scores'!$A$1:$K$309,11,FALSE)&gt;2,VLOOKUP(B1109,'2023 Z Scores'!$A$1:$K$309,10,FALSE)/VLOOKUP(B1109,'2023 Z Scores'!$A$1:$K$309,11,FALSE),"Not Enough data"))</f>
        <v>0.17408089019171605</v>
      </c>
      <c r="F1109">
        <f>IF(VLOOKUP(A1109,'Delta Z Scores'!$A$1:$N$1541,14,FALSE)&gt;2,VLOOKUP(A1109,'Delta Z Scores'!$A$1:$N$1541,13,FALSE)/VLOOKUP(A1109,'Delta Z Scores'!$A$1:$N$1541,14,FALSE),"Not Enough Data")</f>
        <v>2.9222391130584755E-2</v>
      </c>
      <c r="G1109">
        <f>IF(VLOOKUP(A1109,'Forecast Z Scores'!$A$1:$N$1541,14,FALSE)&gt;2,VLOOKUP(A1109,'Forecast Z Scores'!$A$1:$N$1541,13,FALSE)/VLOOKUP(A1109,'Forecast Z Scores'!$A$1:$N$1541,14,FALSE),"Not Enough Data")</f>
        <v>5.3176678097942111E-2</v>
      </c>
      <c r="H1109">
        <v>7.1425587637706914E-2</v>
      </c>
    </row>
    <row r="1110" spans="1:8" x14ac:dyDescent="0.35">
      <c r="A1110" t="str">
        <f t="shared" si="17"/>
        <v>18097381204_2027</v>
      </c>
      <c r="B1110">
        <v>18097381204</v>
      </c>
      <c r="C1110">
        <v>2027</v>
      </c>
      <c r="E1110">
        <f>-(IF(VLOOKUP(B1110,'2023 Z Scores'!$A$1:$K$309,11,FALSE)&gt;2,VLOOKUP(B1110,'2023 Z Scores'!$A$1:$K$309,10,FALSE)/VLOOKUP(B1110,'2023 Z Scores'!$A$1:$K$309,11,FALSE),"Not Enough data"))</f>
        <v>0.17408089019171605</v>
      </c>
      <c r="F1110">
        <f>IF(VLOOKUP(A1110,'Delta Z Scores'!$A$1:$N$1541,14,FALSE)&gt;2,VLOOKUP(A1110,'Delta Z Scores'!$A$1:$N$1541,13,FALSE)/VLOOKUP(A1110,'Delta Z Scores'!$A$1:$N$1541,14,FALSE),"Not Enough Data")</f>
        <v>-0.47446064781206809</v>
      </c>
      <c r="G1110">
        <f>IF(VLOOKUP(A1110,'Forecast Z Scores'!$A$1:$N$1541,14,FALSE)&gt;2,VLOOKUP(A1110,'Forecast Z Scores'!$A$1:$N$1541,13,FALSE)/VLOOKUP(A1110,'Forecast Z Scores'!$A$1:$N$1541,14,FALSE),"Not Enough Data")</f>
        <v>1.3992125316059537E-2</v>
      </c>
      <c r="H1110">
        <v>-0.19021207002909016</v>
      </c>
    </row>
    <row r="1111" spans="1:8" x14ac:dyDescent="0.35">
      <c r="A1111" t="str">
        <f t="shared" si="17"/>
        <v>18097381204_2028</v>
      </c>
      <c r="B1111">
        <v>18097381204</v>
      </c>
      <c r="C1111">
        <v>2028</v>
      </c>
      <c r="E1111">
        <f>-(IF(VLOOKUP(B1111,'2023 Z Scores'!$A$1:$K$309,11,FALSE)&gt;2,VLOOKUP(B1111,'2023 Z Scores'!$A$1:$K$309,10,FALSE)/VLOOKUP(B1111,'2023 Z Scores'!$A$1:$K$309,11,FALSE),"Not Enough data"))</f>
        <v>0.17408089019171605</v>
      </c>
      <c r="F1111">
        <f>IF(VLOOKUP(A1111,'Delta Z Scores'!$A$1:$N$1541,14,FALSE)&gt;2,VLOOKUP(A1111,'Delta Z Scores'!$A$1:$N$1541,13,FALSE)/VLOOKUP(A1111,'Delta Z Scores'!$A$1:$N$1541,14,FALSE),"Not Enough Data")</f>
        <v>-0.1639639401214521</v>
      </c>
      <c r="G1111">
        <f>IF(VLOOKUP(A1111,'Forecast Z Scores'!$A$1:$N$1541,14,FALSE)&gt;2,VLOOKUP(A1111,'Forecast Z Scores'!$A$1:$N$1541,13,FALSE)/VLOOKUP(A1111,'Forecast Z Scores'!$A$1:$N$1541,14,FALSE),"Not Enough Data")</f>
        <v>-3.1142692000504591E-3</v>
      </c>
      <c r="H1111">
        <v>-3.9240314812809658E-2</v>
      </c>
    </row>
    <row r="1112" spans="1:8" x14ac:dyDescent="0.35">
      <c r="A1112" t="str">
        <f t="shared" si="17"/>
        <v>18097381205_2024</v>
      </c>
      <c r="B1112">
        <v>18097381205</v>
      </c>
      <c r="C1112">
        <v>2024</v>
      </c>
      <c r="E1112">
        <f>-(IF(VLOOKUP(B1112,'2023 Z Scores'!$A$1:$K$309,11,FALSE)&gt;2,VLOOKUP(B1112,'2023 Z Scores'!$A$1:$K$309,10,FALSE)/VLOOKUP(B1112,'2023 Z Scores'!$A$1:$K$309,11,FALSE),"Not Enough data"))</f>
        <v>-6.0306766465361719E-2</v>
      </c>
      <c r="F1112">
        <f>IF(VLOOKUP(A1112,'Delta Z Scores'!$A$1:$N$1541,14,FALSE)&gt;2,VLOOKUP(A1112,'Delta Z Scores'!$A$1:$N$1541,13,FALSE)/VLOOKUP(A1112,'Delta Z Scores'!$A$1:$N$1541,14,FALSE),"Not Enough Data")</f>
        <v>0.6298980253130495</v>
      </c>
      <c r="G1112">
        <f>IF(VLOOKUP(A1112,'Forecast Z Scores'!$A$1:$N$1541,14,FALSE)&gt;2,VLOOKUP(A1112,'Forecast Z Scores'!$A$1:$N$1541,13,FALSE)/VLOOKUP(A1112,'Forecast Z Scores'!$A$1:$N$1541,14,FALSE),"Not Enough Data")</f>
        <v>0.10490320520770069</v>
      </c>
      <c r="H1112">
        <v>0.3260981223421095</v>
      </c>
    </row>
    <row r="1113" spans="1:8" x14ac:dyDescent="0.35">
      <c r="A1113" t="str">
        <f t="shared" si="17"/>
        <v>18097381205_2025</v>
      </c>
      <c r="B1113">
        <v>18097381205</v>
      </c>
      <c r="C1113">
        <v>2025</v>
      </c>
      <c r="E1113">
        <f>-(IF(VLOOKUP(B1113,'2023 Z Scores'!$A$1:$K$309,11,FALSE)&gt;2,VLOOKUP(B1113,'2023 Z Scores'!$A$1:$K$309,10,FALSE)/VLOOKUP(B1113,'2023 Z Scores'!$A$1:$K$309,11,FALSE),"Not Enough data"))</f>
        <v>-6.0306766465361719E-2</v>
      </c>
      <c r="F1113">
        <f>IF(VLOOKUP(A1113,'Delta Z Scores'!$A$1:$N$1541,14,FALSE)&gt;2,VLOOKUP(A1113,'Delta Z Scores'!$A$1:$N$1541,13,FALSE)/VLOOKUP(A1113,'Delta Z Scores'!$A$1:$N$1541,14,FALSE),"Not Enough Data")</f>
        <v>-0.14985740294036157</v>
      </c>
      <c r="G1113">
        <f>IF(VLOOKUP(A1113,'Forecast Z Scores'!$A$1:$N$1541,14,FALSE)&gt;2,VLOOKUP(A1113,'Forecast Z Scores'!$A$1:$N$1541,13,FALSE)/VLOOKUP(A1113,'Forecast Z Scores'!$A$1:$N$1541,14,FALSE),"Not Enough Data")</f>
        <v>7.1558331491842583E-2</v>
      </c>
      <c r="H1113">
        <v>-7.2115810213560561E-2</v>
      </c>
    </row>
    <row r="1114" spans="1:8" x14ac:dyDescent="0.35">
      <c r="A1114" t="str">
        <f t="shared" si="17"/>
        <v>18097381205_2026</v>
      </c>
      <c r="B1114">
        <v>18097381205</v>
      </c>
      <c r="C1114">
        <v>2026</v>
      </c>
      <c r="E1114">
        <f>-(IF(VLOOKUP(B1114,'2023 Z Scores'!$A$1:$K$309,11,FALSE)&gt;2,VLOOKUP(B1114,'2023 Z Scores'!$A$1:$K$309,10,FALSE)/VLOOKUP(B1114,'2023 Z Scores'!$A$1:$K$309,11,FALSE),"Not Enough data"))</f>
        <v>-6.0306766465361719E-2</v>
      </c>
      <c r="F1114">
        <f>IF(VLOOKUP(A1114,'Delta Z Scores'!$A$1:$N$1541,14,FALSE)&gt;2,VLOOKUP(A1114,'Delta Z Scores'!$A$1:$N$1541,13,FALSE)/VLOOKUP(A1114,'Delta Z Scores'!$A$1:$N$1541,14,FALSE),"Not Enough Data")</f>
        <v>0.31288155537963419</v>
      </c>
      <c r="G1114">
        <f>IF(VLOOKUP(A1114,'Forecast Z Scores'!$A$1:$N$1541,14,FALSE)&gt;2,VLOOKUP(A1114,'Forecast Z Scores'!$A$1:$N$1541,13,FALSE)/VLOOKUP(A1114,'Forecast Z Scores'!$A$1:$N$1541,14,FALSE),"Not Enough Data")</f>
        <v>8.570435178821105E-2</v>
      </c>
      <c r="H1114">
        <v>0.16279017402052942</v>
      </c>
    </row>
    <row r="1115" spans="1:8" x14ac:dyDescent="0.35">
      <c r="A1115" t="str">
        <f t="shared" si="17"/>
        <v>18097381205_2027</v>
      </c>
      <c r="B1115">
        <v>18097381205</v>
      </c>
      <c r="C1115">
        <v>2027</v>
      </c>
      <c r="E1115">
        <f>-(IF(VLOOKUP(B1115,'2023 Z Scores'!$A$1:$K$309,11,FALSE)&gt;2,VLOOKUP(B1115,'2023 Z Scores'!$A$1:$K$309,10,FALSE)/VLOOKUP(B1115,'2023 Z Scores'!$A$1:$K$309,11,FALSE),"Not Enough data"))</f>
        <v>-6.0306766465361719E-2</v>
      </c>
      <c r="F1115">
        <f>IF(VLOOKUP(A1115,'Delta Z Scores'!$A$1:$N$1541,14,FALSE)&gt;2,VLOOKUP(A1115,'Delta Z Scores'!$A$1:$N$1541,13,FALSE)/VLOOKUP(A1115,'Delta Z Scores'!$A$1:$N$1541,14,FALSE),"Not Enough Data")</f>
        <v>-4.3493807868814294E-2</v>
      </c>
      <c r="G1115">
        <f>IF(VLOOKUP(A1115,'Forecast Z Scores'!$A$1:$N$1541,14,FALSE)&gt;2,VLOOKUP(A1115,'Forecast Z Scores'!$A$1:$N$1541,13,FALSE)/VLOOKUP(A1115,'Forecast Z Scores'!$A$1:$N$1541,14,FALSE),"Not Enough Data")</f>
        <v>6.4658882489193895E-2</v>
      </c>
      <c r="H1115">
        <v>-2.0658874928449103E-2</v>
      </c>
    </row>
    <row r="1116" spans="1:8" x14ac:dyDescent="0.35">
      <c r="A1116" t="str">
        <f t="shared" si="17"/>
        <v>18097381205_2028</v>
      </c>
      <c r="B1116">
        <v>18097381205</v>
      </c>
      <c r="C1116">
        <v>2028</v>
      </c>
      <c r="E1116">
        <f>-(IF(VLOOKUP(B1116,'2023 Z Scores'!$A$1:$K$309,11,FALSE)&gt;2,VLOOKUP(B1116,'2023 Z Scores'!$A$1:$K$309,10,FALSE)/VLOOKUP(B1116,'2023 Z Scores'!$A$1:$K$309,11,FALSE),"Not Enough data"))</f>
        <v>-6.0306766465361719E-2</v>
      </c>
      <c r="F1116">
        <f>IF(VLOOKUP(A1116,'Delta Z Scores'!$A$1:$N$1541,14,FALSE)&gt;2,VLOOKUP(A1116,'Delta Z Scores'!$A$1:$N$1541,13,FALSE)/VLOOKUP(A1116,'Delta Z Scores'!$A$1:$N$1541,14,FALSE),"Not Enough Data")</f>
        <v>0.12000130357940086</v>
      </c>
      <c r="G1116">
        <f>IF(VLOOKUP(A1116,'Forecast Z Scores'!$A$1:$N$1541,14,FALSE)&gt;2,VLOOKUP(A1116,'Forecast Z Scores'!$A$1:$N$1541,13,FALSE)/VLOOKUP(A1116,'Forecast Z Scores'!$A$1:$N$1541,14,FALSE),"Not Enough Data")</f>
        <v>5.4687271053957244E-2</v>
      </c>
      <c r="H1116">
        <v>5.8595777936849322E-2</v>
      </c>
    </row>
    <row r="1117" spans="1:8" x14ac:dyDescent="0.35">
      <c r="A1117" t="str">
        <f t="shared" si="17"/>
        <v>18097381206_2024</v>
      </c>
      <c r="B1117">
        <v>18097381206</v>
      </c>
      <c r="C1117">
        <v>2024</v>
      </c>
      <c r="E1117">
        <f>-(IF(VLOOKUP(B1117,'2023 Z Scores'!$A$1:$K$309,11,FALSE)&gt;2,VLOOKUP(B1117,'2023 Z Scores'!$A$1:$K$309,10,FALSE)/VLOOKUP(B1117,'2023 Z Scores'!$A$1:$K$309,11,FALSE),"Not Enough data"))</f>
        <v>-3.6851055339567299E-2</v>
      </c>
      <c r="F1117">
        <f>IF(VLOOKUP(A1117,'Delta Z Scores'!$A$1:$N$1541,14,FALSE)&gt;2,VLOOKUP(A1117,'Delta Z Scores'!$A$1:$N$1541,13,FALSE)/VLOOKUP(A1117,'Delta Z Scores'!$A$1:$N$1541,14,FALSE),"Not Enough Data")</f>
        <v>0.13112151318569934</v>
      </c>
      <c r="G1117">
        <f>IF(VLOOKUP(A1117,'Forecast Z Scores'!$A$1:$N$1541,14,FALSE)&gt;2,VLOOKUP(A1117,'Forecast Z Scores'!$A$1:$N$1541,13,FALSE)/VLOOKUP(A1117,'Forecast Z Scores'!$A$1:$N$1541,14,FALSE),"Not Enough Data")</f>
        <v>-3.455583248888159E-2</v>
      </c>
      <c r="H1117">
        <v>4.7709034635737446E-2</v>
      </c>
    </row>
    <row r="1118" spans="1:8" x14ac:dyDescent="0.35">
      <c r="A1118" t="str">
        <f t="shared" si="17"/>
        <v>18097381206_2025</v>
      </c>
      <c r="B1118">
        <v>18097381206</v>
      </c>
      <c r="C1118">
        <v>2025</v>
      </c>
      <c r="E1118">
        <f>-(IF(VLOOKUP(B1118,'2023 Z Scores'!$A$1:$K$309,11,FALSE)&gt;2,VLOOKUP(B1118,'2023 Z Scores'!$A$1:$K$309,10,FALSE)/VLOOKUP(B1118,'2023 Z Scores'!$A$1:$K$309,11,FALSE),"Not Enough data"))</f>
        <v>-3.6851055339567299E-2</v>
      </c>
      <c r="F1118">
        <f>IF(VLOOKUP(A1118,'Delta Z Scores'!$A$1:$N$1541,14,FALSE)&gt;2,VLOOKUP(A1118,'Delta Z Scores'!$A$1:$N$1541,13,FALSE)/VLOOKUP(A1118,'Delta Z Scores'!$A$1:$N$1541,14,FALSE),"Not Enough Data")</f>
        <v>-0.28802759592180355</v>
      </c>
      <c r="G1118">
        <f>IF(VLOOKUP(A1118,'Forecast Z Scores'!$A$1:$N$1541,14,FALSE)&gt;2,VLOOKUP(A1118,'Forecast Z Scores'!$A$1:$N$1541,13,FALSE)/VLOOKUP(A1118,'Forecast Z Scores'!$A$1:$N$1541,14,FALSE),"Not Enough Data")</f>
        <v>-6.2300352017404026E-2</v>
      </c>
      <c r="H1118">
        <v>-0.16880164980014462</v>
      </c>
    </row>
    <row r="1119" spans="1:8" x14ac:dyDescent="0.35">
      <c r="A1119" t="str">
        <f t="shared" si="17"/>
        <v>18097381206_2026</v>
      </c>
      <c r="B1119">
        <v>18097381206</v>
      </c>
      <c r="C1119">
        <v>2026</v>
      </c>
      <c r="E1119">
        <f>-(IF(VLOOKUP(B1119,'2023 Z Scores'!$A$1:$K$309,11,FALSE)&gt;2,VLOOKUP(B1119,'2023 Z Scores'!$A$1:$K$309,10,FALSE)/VLOOKUP(B1119,'2023 Z Scores'!$A$1:$K$309,11,FALSE),"Not Enough data"))</f>
        <v>-3.6851055339567299E-2</v>
      </c>
      <c r="F1119">
        <f>IF(VLOOKUP(A1119,'Delta Z Scores'!$A$1:$N$1541,14,FALSE)&gt;2,VLOOKUP(A1119,'Delta Z Scores'!$A$1:$N$1541,13,FALSE)/VLOOKUP(A1119,'Delta Z Scores'!$A$1:$N$1541,14,FALSE),"Not Enough Data")</f>
        <v>0.243947443655954</v>
      </c>
      <c r="G1119">
        <f>IF(VLOOKUP(A1119,'Forecast Z Scores'!$A$1:$N$1541,14,FALSE)&gt;2,VLOOKUP(A1119,'Forecast Z Scores'!$A$1:$N$1541,13,FALSE)/VLOOKUP(A1119,'Forecast Z Scores'!$A$1:$N$1541,14,FALSE),"Not Enough Data")</f>
        <v>-4.4774495746321474E-2</v>
      </c>
      <c r="H1119">
        <v>0.10156733405650481</v>
      </c>
    </row>
    <row r="1120" spans="1:8" x14ac:dyDescent="0.35">
      <c r="A1120" t="str">
        <f t="shared" si="17"/>
        <v>18097381206_2027</v>
      </c>
      <c r="B1120">
        <v>18097381206</v>
      </c>
      <c r="C1120">
        <v>2027</v>
      </c>
      <c r="E1120">
        <f>-(IF(VLOOKUP(B1120,'2023 Z Scores'!$A$1:$K$309,11,FALSE)&gt;2,VLOOKUP(B1120,'2023 Z Scores'!$A$1:$K$309,10,FALSE)/VLOOKUP(B1120,'2023 Z Scores'!$A$1:$K$309,11,FALSE),"Not Enough data"))</f>
        <v>-3.6851055339567299E-2</v>
      </c>
      <c r="F1120">
        <f>IF(VLOOKUP(A1120,'Delta Z Scores'!$A$1:$N$1541,14,FALSE)&gt;2,VLOOKUP(A1120,'Delta Z Scores'!$A$1:$N$1541,13,FALSE)/VLOOKUP(A1120,'Delta Z Scores'!$A$1:$N$1541,14,FALSE),"Not Enough Data")</f>
        <v>-0.10471848102328822</v>
      </c>
      <c r="G1120">
        <f>IF(VLOOKUP(A1120,'Forecast Z Scores'!$A$1:$N$1541,14,FALSE)&gt;2,VLOOKUP(A1120,'Forecast Z Scores'!$A$1:$N$1541,13,FALSE)/VLOOKUP(A1120,'Forecast Z Scores'!$A$1:$N$1541,14,FALSE),"Not Enough Data")</f>
        <v>-6.3909871959549586E-2</v>
      </c>
      <c r="H1120">
        <v>-7.7549472336423328E-2</v>
      </c>
    </row>
    <row r="1121" spans="1:8" x14ac:dyDescent="0.35">
      <c r="A1121" t="str">
        <f t="shared" si="17"/>
        <v>18097381206_2028</v>
      </c>
      <c r="B1121">
        <v>18097381206</v>
      </c>
      <c r="C1121">
        <v>2028</v>
      </c>
      <c r="E1121">
        <f>-(IF(VLOOKUP(B1121,'2023 Z Scores'!$A$1:$K$309,11,FALSE)&gt;2,VLOOKUP(B1121,'2023 Z Scores'!$A$1:$K$309,10,FALSE)/VLOOKUP(B1121,'2023 Z Scores'!$A$1:$K$309,11,FALSE),"Not Enough data"))</f>
        <v>-3.6851055339567299E-2</v>
      </c>
      <c r="F1121">
        <f>IF(VLOOKUP(A1121,'Delta Z Scores'!$A$1:$N$1541,14,FALSE)&gt;2,VLOOKUP(A1121,'Delta Z Scores'!$A$1:$N$1541,13,FALSE)/VLOOKUP(A1121,'Delta Z Scores'!$A$1:$N$1541,14,FALSE),"Not Enough Data")</f>
        <v>0.2971493461110955</v>
      </c>
      <c r="G1121">
        <f>IF(VLOOKUP(A1121,'Forecast Z Scores'!$A$1:$N$1541,14,FALSE)&gt;2,VLOOKUP(A1121,'Forecast Z Scores'!$A$1:$N$1541,13,FALSE)/VLOOKUP(A1121,'Forecast Z Scores'!$A$1:$N$1541,14,FALSE),"Not Enough Data")</f>
        <v>-5.4442760145860192E-2</v>
      </c>
      <c r="H1121">
        <v>0.12575121918419085</v>
      </c>
    </row>
    <row r="1122" spans="1:8" x14ac:dyDescent="0.35">
      <c r="A1122" t="str">
        <f t="shared" si="17"/>
        <v>18097381207_2024</v>
      </c>
      <c r="B1122">
        <v>18097381207</v>
      </c>
      <c r="C1122">
        <v>2024</v>
      </c>
      <c r="E1122">
        <f>-(IF(VLOOKUP(B1122,'2023 Z Scores'!$A$1:$K$309,11,FALSE)&gt;2,VLOOKUP(B1122,'2023 Z Scores'!$A$1:$K$309,10,FALSE)/VLOOKUP(B1122,'2023 Z Scores'!$A$1:$K$309,11,FALSE),"Not Enough data"))</f>
        <v>-0.11496314741539258</v>
      </c>
      <c r="F1122">
        <f>IF(VLOOKUP(A1122,'Delta Z Scores'!$A$1:$N$1541,14,FALSE)&gt;2,VLOOKUP(A1122,'Delta Z Scores'!$A$1:$N$1541,13,FALSE)/VLOOKUP(A1122,'Delta Z Scores'!$A$1:$N$1541,14,FALSE),"Not Enough Data")</f>
        <v>0.1577335599752982</v>
      </c>
      <c r="G1122">
        <f>IF(VLOOKUP(A1122,'Forecast Z Scores'!$A$1:$N$1541,14,FALSE)&gt;2,VLOOKUP(A1122,'Forecast Z Scores'!$A$1:$N$1541,13,FALSE)/VLOOKUP(A1122,'Forecast Z Scores'!$A$1:$N$1541,14,FALSE),"Not Enough Data")</f>
        <v>5.7737690183401386E-2</v>
      </c>
      <c r="H1122">
        <v>6.456041567965129E-2</v>
      </c>
    </row>
    <row r="1123" spans="1:8" x14ac:dyDescent="0.35">
      <c r="A1123" t="str">
        <f t="shared" si="17"/>
        <v>18097381207_2025</v>
      </c>
      <c r="B1123">
        <v>18097381207</v>
      </c>
      <c r="C1123">
        <v>2025</v>
      </c>
      <c r="E1123">
        <f>-(IF(VLOOKUP(B1123,'2023 Z Scores'!$A$1:$K$309,11,FALSE)&gt;2,VLOOKUP(B1123,'2023 Z Scores'!$A$1:$K$309,10,FALSE)/VLOOKUP(B1123,'2023 Z Scores'!$A$1:$K$309,11,FALSE),"Not Enough data"))</f>
        <v>-0.11496314741539258</v>
      </c>
      <c r="F1123">
        <f>IF(VLOOKUP(A1123,'Delta Z Scores'!$A$1:$N$1541,14,FALSE)&gt;2,VLOOKUP(A1123,'Delta Z Scores'!$A$1:$N$1541,13,FALSE)/VLOOKUP(A1123,'Delta Z Scores'!$A$1:$N$1541,14,FALSE),"Not Enough Data")</f>
        <v>8.5219266770540231E-2</v>
      </c>
      <c r="G1123">
        <f>IF(VLOOKUP(A1123,'Forecast Z Scores'!$A$1:$N$1541,14,FALSE)&gt;2,VLOOKUP(A1123,'Forecast Z Scores'!$A$1:$N$1541,13,FALSE)/VLOOKUP(A1123,'Forecast Z Scores'!$A$1:$N$1541,14,FALSE),"Not Enough Data")</f>
        <v>4.4211234374553737E-2</v>
      </c>
      <c r="H1123">
        <v>2.4921655125060404E-2</v>
      </c>
    </row>
    <row r="1124" spans="1:8" x14ac:dyDescent="0.35">
      <c r="A1124" t="str">
        <f t="shared" si="17"/>
        <v>18097381207_2026</v>
      </c>
      <c r="B1124">
        <v>18097381207</v>
      </c>
      <c r="C1124">
        <v>2026</v>
      </c>
      <c r="E1124">
        <f>-(IF(VLOOKUP(B1124,'2023 Z Scores'!$A$1:$K$309,11,FALSE)&gt;2,VLOOKUP(B1124,'2023 Z Scores'!$A$1:$K$309,10,FALSE)/VLOOKUP(B1124,'2023 Z Scores'!$A$1:$K$309,11,FALSE),"Not Enough data"))</f>
        <v>-0.11496314741539258</v>
      </c>
      <c r="F1124">
        <f>IF(VLOOKUP(A1124,'Delta Z Scores'!$A$1:$N$1541,14,FALSE)&gt;2,VLOOKUP(A1124,'Delta Z Scores'!$A$1:$N$1541,13,FALSE)/VLOOKUP(A1124,'Delta Z Scores'!$A$1:$N$1541,14,FALSE),"Not Enough Data")</f>
        <v>0.29165738834591809</v>
      </c>
      <c r="G1124">
        <f>IF(VLOOKUP(A1124,'Forecast Z Scores'!$A$1:$N$1541,14,FALSE)&gt;2,VLOOKUP(A1124,'Forecast Z Scores'!$A$1:$N$1541,13,FALSE)/VLOOKUP(A1124,'Forecast Z Scores'!$A$1:$N$1541,14,FALSE),"Not Enough Data")</f>
        <v>8.9253736830449751E-2</v>
      </c>
      <c r="H1124">
        <v>0.13940134152672334</v>
      </c>
    </row>
    <row r="1125" spans="1:8" x14ac:dyDescent="0.35">
      <c r="A1125" t="str">
        <f t="shared" si="17"/>
        <v>18097381207_2027</v>
      </c>
      <c r="B1125">
        <v>18097381207</v>
      </c>
      <c r="C1125">
        <v>2027</v>
      </c>
      <c r="E1125">
        <f>-(IF(VLOOKUP(B1125,'2023 Z Scores'!$A$1:$K$309,11,FALSE)&gt;2,VLOOKUP(B1125,'2023 Z Scores'!$A$1:$K$309,10,FALSE)/VLOOKUP(B1125,'2023 Z Scores'!$A$1:$K$309,11,FALSE),"Not Enough data"))</f>
        <v>-0.11496314741539258</v>
      </c>
      <c r="F1125">
        <f>IF(VLOOKUP(A1125,'Delta Z Scores'!$A$1:$N$1541,14,FALSE)&gt;2,VLOOKUP(A1125,'Delta Z Scores'!$A$1:$N$1541,13,FALSE)/VLOOKUP(A1125,'Delta Z Scores'!$A$1:$N$1541,14,FALSE),"Not Enough Data")</f>
        <v>0.17557591727697183</v>
      </c>
      <c r="G1125">
        <f>IF(VLOOKUP(A1125,'Forecast Z Scores'!$A$1:$N$1541,14,FALSE)&gt;2,VLOOKUP(A1125,'Forecast Z Scores'!$A$1:$N$1541,13,FALSE)/VLOOKUP(A1125,'Forecast Z Scores'!$A$1:$N$1541,14,FALSE),"Not Enough Data")</f>
        <v>7.2762450391621533E-2</v>
      </c>
      <c r="H1125">
        <v>7.7237784382543154E-2</v>
      </c>
    </row>
    <row r="1126" spans="1:8" x14ac:dyDescent="0.35">
      <c r="A1126" t="str">
        <f t="shared" si="17"/>
        <v>18097381207_2028</v>
      </c>
      <c r="B1126">
        <v>18097381207</v>
      </c>
      <c r="C1126">
        <v>2028</v>
      </c>
      <c r="E1126">
        <f>-(IF(VLOOKUP(B1126,'2023 Z Scores'!$A$1:$K$309,11,FALSE)&gt;2,VLOOKUP(B1126,'2023 Z Scores'!$A$1:$K$309,10,FALSE)/VLOOKUP(B1126,'2023 Z Scores'!$A$1:$K$309,11,FALSE),"Not Enough data"))</f>
        <v>-0.11496314741539258</v>
      </c>
      <c r="F1126">
        <f>IF(VLOOKUP(A1126,'Delta Z Scores'!$A$1:$N$1541,14,FALSE)&gt;2,VLOOKUP(A1126,'Delta Z Scores'!$A$1:$N$1541,13,FALSE)/VLOOKUP(A1126,'Delta Z Scores'!$A$1:$N$1541,14,FALSE),"Not Enough Data")</f>
        <v>0.3158165771587248</v>
      </c>
      <c r="G1126">
        <f>IF(VLOOKUP(A1126,'Forecast Z Scores'!$A$1:$N$1541,14,FALSE)&gt;2,VLOOKUP(A1126,'Forecast Z Scores'!$A$1:$N$1541,13,FALSE)/VLOOKUP(A1126,'Forecast Z Scores'!$A$1:$N$1541,14,FALSE),"Not Enough Data")</f>
        <v>0.11307108577564146</v>
      </c>
      <c r="H1126">
        <v>0.1574352731694246</v>
      </c>
    </row>
    <row r="1127" spans="1:8" x14ac:dyDescent="0.35">
      <c r="A1127" t="str">
        <f t="shared" si="17"/>
        <v>18097390102_2024</v>
      </c>
      <c r="B1127">
        <v>18097390102</v>
      </c>
      <c r="C1127">
        <v>2024</v>
      </c>
      <c r="E1127">
        <f>-(IF(VLOOKUP(B1127,'2023 Z Scores'!$A$1:$K$309,11,FALSE)&gt;2,VLOOKUP(B1127,'2023 Z Scores'!$A$1:$K$309,10,FALSE)/VLOOKUP(B1127,'2023 Z Scores'!$A$1:$K$309,11,FALSE),"Not Enough data"))</f>
        <v>-0.2021398502584931</v>
      </c>
      <c r="F1127">
        <f>IF(VLOOKUP(A1127,'Delta Z Scores'!$A$1:$N$1541,14,FALSE)&gt;2,VLOOKUP(A1127,'Delta Z Scores'!$A$1:$N$1541,13,FALSE)/VLOOKUP(A1127,'Delta Z Scores'!$A$1:$N$1541,14,FALSE),"Not Enough Data")</f>
        <v>0.61748275102804517</v>
      </c>
      <c r="G1127">
        <f>IF(VLOOKUP(A1127,'Forecast Z Scores'!$A$1:$N$1541,14,FALSE)&gt;2,VLOOKUP(A1127,'Forecast Z Scores'!$A$1:$N$1541,13,FALSE)/VLOOKUP(A1127,'Forecast Z Scores'!$A$1:$N$1541,14,FALSE),"Not Enough Data")</f>
        <v>0.3538876889991997</v>
      </c>
      <c r="H1127">
        <v>0.34667833519919927</v>
      </c>
    </row>
    <row r="1128" spans="1:8" x14ac:dyDescent="0.35">
      <c r="A1128" t="str">
        <f t="shared" si="17"/>
        <v>18097390102_2025</v>
      </c>
      <c r="B1128">
        <v>18097390102</v>
      </c>
      <c r="C1128">
        <v>2025</v>
      </c>
      <c r="E1128">
        <f>-(IF(VLOOKUP(B1128,'2023 Z Scores'!$A$1:$K$309,11,FALSE)&gt;2,VLOOKUP(B1128,'2023 Z Scores'!$A$1:$K$309,10,FALSE)/VLOOKUP(B1128,'2023 Z Scores'!$A$1:$K$309,11,FALSE),"Not Enough data"))</f>
        <v>-0.2021398502584931</v>
      </c>
      <c r="F1128">
        <f>IF(VLOOKUP(A1128,'Delta Z Scores'!$A$1:$N$1541,14,FALSE)&gt;2,VLOOKUP(A1128,'Delta Z Scores'!$A$1:$N$1541,13,FALSE)/VLOOKUP(A1128,'Delta Z Scores'!$A$1:$N$1541,14,FALSE),"Not Enough Data")</f>
        <v>0.19568686040638486</v>
      </c>
      <c r="G1128">
        <f>IF(VLOOKUP(A1128,'Forecast Z Scores'!$A$1:$N$1541,14,FALSE)&gt;2,VLOOKUP(A1128,'Forecast Z Scores'!$A$1:$N$1541,13,FALSE)/VLOOKUP(A1128,'Forecast Z Scores'!$A$1:$N$1541,14,FALSE),"Not Enough Data")</f>
        <v>0.37982807242027328</v>
      </c>
      <c r="H1128">
        <v>0.14226548574363748</v>
      </c>
    </row>
    <row r="1129" spans="1:8" x14ac:dyDescent="0.35">
      <c r="A1129" t="str">
        <f t="shared" si="17"/>
        <v>18097390102_2026</v>
      </c>
      <c r="B1129">
        <v>18097390102</v>
      </c>
      <c r="C1129">
        <v>2026</v>
      </c>
      <c r="E1129">
        <f>-(IF(VLOOKUP(B1129,'2023 Z Scores'!$A$1:$K$309,11,FALSE)&gt;2,VLOOKUP(B1129,'2023 Z Scores'!$A$1:$K$309,10,FALSE)/VLOOKUP(B1129,'2023 Z Scores'!$A$1:$K$309,11,FALSE),"Not Enough data"))</f>
        <v>-0.2021398502584931</v>
      </c>
      <c r="F1129">
        <f>IF(VLOOKUP(A1129,'Delta Z Scores'!$A$1:$N$1541,14,FALSE)&gt;2,VLOOKUP(A1129,'Delta Z Scores'!$A$1:$N$1541,13,FALSE)/VLOOKUP(A1129,'Delta Z Scores'!$A$1:$N$1541,14,FALSE),"Not Enough Data")</f>
        <v>0.47195954755706826</v>
      </c>
      <c r="G1129">
        <f>IF(VLOOKUP(A1129,'Forecast Z Scores'!$A$1:$N$1541,14,FALSE)&gt;2,VLOOKUP(A1129,'Forecast Z Scores'!$A$1:$N$1541,13,FALSE)/VLOOKUP(A1129,'Forecast Z Scores'!$A$1:$N$1541,14,FALSE),"Not Enough Data")</f>
        <v>0.42755818472063162</v>
      </c>
      <c r="H1129">
        <v>0.29233435739406877</v>
      </c>
    </row>
    <row r="1130" spans="1:8" x14ac:dyDescent="0.35">
      <c r="A1130" t="str">
        <f t="shared" si="17"/>
        <v>18097390102_2027</v>
      </c>
      <c r="B1130">
        <v>18097390102</v>
      </c>
      <c r="C1130">
        <v>2027</v>
      </c>
      <c r="E1130">
        <f>-(IF(VLOOKUP(B1130,'2023 Z Scores'!$A$1:$K$309,11,FALSE)&gt;2,VLOOKUP(B1130,'2023 Z Scores'!$A$1:$K$309,10,FALSE)/VLOOKUP(B1130,'2023 Z Scores'!$A$1:$K$309,11,FALSE),"Not Enough data"))</f>
        <v>-0.2021398502584931</v>
      </c>
      <c r="F1130">
        <f>IF(VLOOKUP(A1130,'Delta Z Scores'!$A$1:$N$1541,14,FALSE)&gt;2,VLOOKUP(A1130,'Delta Z Scores'!$A$1:$N$1541,13,FALSE)/VLOOKUP(A1130,'Delta Z Scores'!$A$1:$N$1541,14,FALSE),"Not Enough Data")</f>
        <v>7.8131307019261187E-2</v>
      </c>
      <c r="G1130">
        <f>IF(VLOOKUP(A1130,'Forecast Z Scores'!$A$1:$N$1541,14,FALSE)&gt;2,VLOOKUP(A1130,'Forecast Z Scores'!$A$1:$N$1541,13,FALSE)/VLOOKUP(A1130,'Forecast Z Scores'!$A$1:$N$1541,14,FALSE),"Not Enough Data")</f>
        <v>0.42156803106934465</v>
      </c>
      <c r="H1130">
        <v>9.3922698712343461E-2</v>
      </c>
    </row>
    <row r="1131" spans="1:8" x14ac:dyDescent="0.35">
      <c r="A1131" t="str">
        <f t="shared" si="17"/>
        <v>18097390102_2028</v>
      </c>
      <c r="B1131">
        <v>18097390102</v>
      </c>
      <c r="C1131">
        <v>2028</v>
      </c>
      <c r="E1131">
        <f>-(IF(VLOOKUP(B1131,'2023 Z Scores'!$A$1:$K$309,11,FALSE)&gt;2,VLOOKUP(B1131,'2023 Z Scores'!$A$1:$K$309,10,FALSE)/VLOOKUP(B1131,'2023 Z Scores'!$A$1:$K$309,11,FALSE),"Not Enough data"))</f>
        <v>-0.2021398502584931</v>
      </c>
      <c r="F1131">
        <f>IF(VLOOKUP(A1131,'Delta Z Scores'!$A$1:$N$1541,14,FALSE)&gt;2,VLOOKUP(A1131,'Delta Z Scores'!$A$1:$N$1541,13,FALSE)/VLOOKUP(A1131,'Delta Z Scores'!$A$1:$N$1541,14,FALSE),"Not Enough Data")</f>
        <v>0.34983365367612279</v>
      </c>
      <c r="G1131">
        <f>IF(VLOOKUP(A1131,'Forecast Z Scores'!$A$1:$N$1541,14,FALSE)&gt;2,VLOOKUP(A1131,'Forecast Z Scores'!$A$1:$N$1541,13,FALSE)/VLOOKUP(A1131,'Forecast Z Scores'!$A$1:$N$1541,14,FALSE),"Not Enough Data")</f>
        <v>0.43664017114312487</v>
      </c>
      <c r="H1131">
        <v>0.23354190705921932</v>
      </c>
    </row>
    <row r="1132" spans="1:8" x14ac:dyDescent="0.35">
      <c r="A1132" t="str">
        <f t="shared" si="17"/>
        <v>18097390103_2024</v>
      </c>
      <c r="B1132">
        <v>18097390103</v>
      </c>
      <c r="C1132">
        <v>2024</v>
      </c>
      <c r="E1132">
        <f>-(IF(VLOOKUP(B1132,'2023 Z Scores'!$A$1:$K$309,11,FALSE)&gt;2,VLOOKUP(B1132,'2023 Z Scores'!$A$1:$K$309,10,FALSE)/VLOOKUP(B1132,'2023 Z Scores'!$A$1:$K$309,11,FALSE),"Not Enough data"))</f>
        <v>-0.61958465890333803</v>
      </c>
      <c r="F1132">
        <f>IF(VLOOKUP(A1132,'Delta Z Scores'!$A$1:$N$1541,14,FALSE)&gt;2,VLOOKUP(A1132,'Delta Z Scores'!$A$1:$N$1541,13,FALSE)/VLOOKUP(A1132,'Delta Z Scores'!$A$1:$N$1541,14,FALSE),"Not Enough Data")</f>
        <v>0.22857960483261072</v>
      </c>
      <c r="G1132">
        <f>IF(VLOOKUP(A1132,'Forecast Z Scores'!$A$1:$N$1541,14,FALSE)&gt;2,VLOOKUP(A1132,'Forecast Z Scores'!$A$1:$N$1541,13,FALSE)/VLOOKUP(A1132,'Forecast Z Scores'!$A$1:$N$1541,14,FALSE),"Not Enough Data")</f>
        <v>0.38048810218519874</v>
      </c>
      <c r="H1132">
        <v>5.451566323677054E-2</v>
      </c>
    </row>
    <row r="1133" spans="1:8" x14ac:dyDescent="0.35">
      <c r="A1133" t="str">
        <f t="shared" si="17"/>
        <v>18097390103_2025</v>
      </c>
      <c r="B1133">
        <v>18097390103</v>
      </c>
      <c r="C1133">
        <v>2025</v>
      </c>
      <c r="E1133">
        <f>-(IF(VLOOKUP(B1133,'2023 Z Scores'!$A$1:$K$309,11,FALSE)&gt;2,VLOOKUP(B1133,'2023 Z Scores'!$A$1:$K$309,10,FALSE)/VLOOKUP(B1133,'2023 Z Scores'!$A$1:$K$309,11,FALSE),"Not Enough data"))</f>
        <v>-0.61958465890333803</v>
      </c>
      <c r="F1133">
        <f>IF(VLOOKUP(A1133,'Delta Z Scores'!$A$1:$N$1541,14,FALSE)&gt;2,VLOOKUP(A1133,'Delta Z Scores'!$A$1:$N$1541,13,FALSE)/VLOOKUP(A1133,'Delta Z Scores'!$A$1:$N$1541,14,FALSE),"Not Enough Data")</f>
        <v>0.57883765968635015</v>
      </c>
      <c r="G1133">
        <f>IF(VLOOKUP(A1133,'Forecast Z Scores'!$A$1:$N$1541,14,FALSE)&gt;2,VLOOKUP(A1133,'Forecast Z Scores'!$A$1:$N$1541,13,FALSE)/VLOOKUP(A1133,'Forecast Z Scores'!$A$1:$N$1541,14,FALSE),"Not Enough Data")</f>
        <v>0.47959498948681539</v>
      </c>
      <c r="H1133">
        <v>0.25442141248904443</v>
      </c>
    </row>
    <row r="1134" spans="1:8" x14ac:dyDescent="0.35">
      <c r="A1134" t="str">
        <f t="shared" si="17"/>
        <v>18097390103_2026</v>
      </c>
      <c r="B1134">
        <v>18097390103</v>
      </c>
      <c r="C1134">
        <v>2026</v>
      </c>
      <c r="E1134">
        <f>-(IF(VLOOKUP(B1134,'2023 Z Scores'!$A$1:$K$309,11,FALSE)&gt;2,VLOOKUP(B1134,'2023 Z Scores'!$A$1:$K$309,10,FALSE)/VLOOKUP(B1134,'2023 Z Scores'!$A$1:$K$309,11,FALSE),"Not Enough data"))</f>
        <v>-0.61958465890333803</v>
      </c>
      <c r="F1134">
        <f>IF(VLOOKUP(A1134,'Delta Z Scores'!$A$1:$N$1541,14,FALSE)&gt;2,VLOOKUP(A1134,'Delta Z Scores'!$A$1:$N$1541,13,FALSE)/VLOOKUP(A1134,'Delta Z Scores'!$A$1:$N$1541,14,FALSE),"Not Enough Data")</f>
        <v>0.84177807855869047</v>
      </c>
      <c r="G1134">
        <f>IF(VLOOKUP(A1134,'Forecast Z Scores'!$A$1:$N$1541,14,FALSE)&gt;2,VLOOKUP(A1134,'Forecast Z Scores'!$A$1:$N$1541,13,FALSE)/VLOOKUP(A1134,'Forecast Z Scores'!$A$1:$N$1541,14,FALSE),"Not Enough Data")</f>
        <v>0.57830327620401334</v>
      </c>
      <c r="H1134">
        <v>0.41056869360451403</v>
      </c>
    </row>
    <row r="1135" spans="1:8" x14ac:dyDescent="0.35">
      <c r="A1135" t="str">
        <f t="shared" si="17"/>
        <v>18097390103_2027</v>
      </c>
      <c r="B1135">
        <v>18097390103</v>
      </c>
      <c r="C1135">
        <v>2027</v>
      </c>
      <c r="E1135">
        <f>-(IF(VLOOKUP(B1135,'2023 Z Scores'!$A$1:$K$309,11,FALSE)&gt;2,VLOOKUP(B1135,'2023 Z Scores'!$A$1:$K$309,10,FALSE)/VLOOKUP(B1135,'2023 Z Scores'!$A$1:$K$309,11,FALSE),"Not Enough data"))</f>
        <v>-0.61958465890333803</v>
      </c>
      <c r="F1135">
        <f>IF(VLOOKUP(A1135,'Delta Z Scores'!$A$1:$N$1541,14,FALSE)&gt;2,VLOOKUP(A1135,'Delta Z Scores'!$A$1:$N$1541,13,FALSE)/VLOOKUP(A1135,'Delta Z Scores'!$A$1:$N$1541,14,FALSE),"Not Enough Data")</f>
        <v>0.62155465511114516</v>
      </c>
      <c r="G1135">
        <f>IF(VLOOKUP(A1135,'Forecast Z Scores'!$A$1:$N$1541,14,FALSE)&gt;2,VLOOKUP(A1135,'Forecast Z Scores'!$A$1:$N$1541,13,FALSE)/VLOOKUP(A1135,'Forecast Z Scores'!$A$1:$N$1541,14,FALSE),"Not Enough Data")</f>
        <v>0.6574472821850712</v>
      </c>
      <c r="H1135">
        <v>0.32024298337600587</v>
      </c>
    </row>
    <row r="1136" spans="1:8" x14ac:dyDescent="0.35">
      <c r="A1136" t="str">
        <f t="shared" si="17"/>
        <v>18097390103_2028</v>
      </c>
      <c r="B1136">
        <v>18097390103</v>
      </c>
      <c r="C1136">
        <v>2028</v>
      </c>
      <c r="E1136">
        <f>-(IF(VLOOKUP(B1136,'2023 Z Scores'!$A$1:$K$309,11,FALSE)&gt;2,VLOOKUP(B1136,'2023 Z Scores'!$A$1:$K$309,10,FALSE)/VLOOKUP(B1136,'2023 Z Scores'!$A$1:$K$309,11,FALSE),"Not Enough data"))</f>
        <v>-0.61958465890333803</v>
      </c>
      <c r="F1136">
        <f>IF(VLOOKUP(A1136,'Delta Z Scores'!$A$1:$N$1541,14,FALSE)&gt;2,VLOOKUP(A1136,'Delta Z Scores'!$A$1:$N$1541,13,FALSE)/VLOOKUP(A1136,'Delta Z Scores'!$A$1:$N$1541,14,FALSE),"Not Enough Data")</f>
        <v>0.79969245983116344</v>
      </c>
      <c r="G1136">
        <f>IF(VLOOKUP(A1136,'Forecast Z Scores'!$A$1:$N$1541,14,FALSE)&gt;2,VLOOKUP(A1136,'Forecast Z Scores'!$A$1:$N$1541,13,FALSE)/VLOOKUP(A1136,'Forecast Z Scores'!$A$1:$N$1541,14,FALSE),"Not Enough Data")</f>
        <v>0.71955719038021948</v>
      </c>
      <c r="H1136">
        <v>0.42483936278480211</v>
      </c>
    </row>
    <row r="1137" spans="1:8" x14ac:dyDescent="0.35">
      <c r="A1137" t="str">
        <f t="shared" si="17"/>
        <v>18097390104_2024</v>
      </c>
      <c r="B1137">
        <v>18097390104</v>
      </c>
      <c r="C1137">
        <v>2024</v>
      </c>
      <c r="E1137">
        <f>-(IF(VLOOKUP(B1137,'2023 Z Scores'!$A$1:$K$309,11,FALSE)&gt;2,VLOOKUP(B1137,'2023 Z Scores'!$A$1:$K$309,10,FALSE)/VLOOKUP(B1137,'2023 Z Scores'!$A$1:$K$309,11,FALSE),"Not Enough data"))</f>
        <v>-0.57539534401692072</v>
      </c>
      <c r="F1137">
        <f>IF(VLOOKUP(A1137,'Delta Z Scores'!$A$1:$N$1541,14,FALSE)&gt;2,VLOOKUP(A1137,'Delta Z Scores'!$A$1:$N$1541,13,FALSE)/VLOOKUP(A1137,'Delta Z Scores'!$A$1:$N$1541,14,FALSE),"Not Enough Data")</f>
        <v>9.5519894496314706E-2</v>
      </c>
      <c r="G1137">
        <f>IF(VLOOKUP(A1137,'Forecast Z Scores'!$A$1:$N$1541,14,FALSE)&gt;2,VLOOKUP(A1137,'Forecast Z Scores'!$A$1:$N$1541,13,FALSE)/VLOOKUP(A1137,'Forecast Z Scores'!$A$1:$N$1541,14,FALSE),"Not Enough Data")</f>
        <v>0.55011115335194971</v>
      </c>
      <c r="H1137">
        <v>4.1438899581914601E-2</v>
      </c>
    </row>
    <row r="1138" spans="1:8" x14ac:dyDescent="0.35">
      <c r="A1138" t="str">
        <f t="shared" si="17"/>
        <v>18097390104_2025</v>
      </c>
      <c r="B1138">
        <v>18097390104</v>
      </c>
      <c r="C1138">
        <v>2025</v>
      </c>
      <c r="E1138">
        <f>-(IF(VLOOKUP(B1138,'2023 Z Scores'!$A$1:$K$309,11,FALSE)&gt;2,VLOOKUP(B1138,'2023 Z Scores'!$A$1:$K$309,10,FALSE)/VLOOKUP(B1138,'2023 Z Scores'!$A$1:$K$309,11,FALSE),"Not Enough data"))</f>
        <v>-0.57539534401692072</v>
      </c>
      <c r="F1138">
        <f>IF(VLOOKUP(A1138,'Delta Z Scores'!$A$1:$N$1541,14,FALSE)&gt;2,VLOOKUP(A1138,'Delta Z Scores'!$A$1:$N$1541,13,FALSE)/VLOOKUP(A1138,'Delta Z Scores'!$A$1:$N$1541,14,FALSE),"Not Enough Data")</f>
        <v>0.10200454103770473</v>
      </c>
      <c r="G1138">
        <f>IF(VLOOKUP(A1138,'Forecast Z Scores'!$A$1:$N$1541,14,FALSE)&gt;2,VLOOKUP(A1138,'Forecast Z Scores'!$A$1:$N$1541,13,FALSE)/VLOOKUP(A1138,'Forecast Z Scores'!$A$1:$N$1541,14,FALSE),"Not Enough Data")</f>
        <v>0.55529695991399486</v>
      </c>
      <c r="H1138">
        <v>4.5977674493120901E-2</v>
      </c>
    </row>
    <row r="1139" spans="1:8" x14ac:dyDescent="0.35">
      <c r="A1139" t="str">
        <f t="shared" si="17"/>
        <v>18097390104_2026</v>
      </c>
      <c r="B1139">
        <v>18097390104</v>
      </c>
      <c r="C1139">
        <v>2026</v>
      </c>
      <c r="E1139">
        <f>-(IF(VLOOKUP(B1139,'2023 Z Scores'!$A$1:$K$309,11,FALSE)&gt;2,VLOOKUP(B1139,'2023 Z Scores'!$A$1:$K$309,10,FALSE)/VLOOKUP(B1139,'2023 Z Scores'!$A$1:$K$309,11,FALSE),"Not Enough data"))</f>
        <v>-0.57539534401692072</v>
      </c>
      <c r="F1139">
        <f>IF(VLOOKUP(A1139,'Delta Z Scores'!$A$1:$N$1541,14,FALSE)&gt;2,VLOOKUP(A1139,'Delta Z Scores'!$A$1:$N$1541,13,FALSE)/VLOOKUP(A1139,'Delta Z Scores'!$A$1:$N$1541,14,FALSE),"Not Enough Data")</f>
        <v>0.36097917071398705</v>
      </c>
      <c r="G1139">
        <f>IF(VLOOKUP(A1139,'Forecast Z Scores'!$A$1:$N$1541,14,FALSE)&gt;2,VLOOKUP(A1139,'Forecast Z Scores'!$A$1:$N$1541,13,FALSE)/VLOOKUP(A1139,'Forecast Z Scores'!$A$1:$N$1541,14,FALSE),"Not Enough Data")</f>
        <v>0.56865394163146443</v>
      </c>
      <c r="H1139">
        <v>0.17880423476062943</v>
      </c>
    </row>
    <row r="1140" spans="1:8" x14ac:dyDescent="0.35">
      <c r="A1140" t="str">
        <f t="shared" si="17"/>
        <v>18097390104_2027</v>
      </c>
      <c r="B1140">
        <v>18097390104</v>
      </c>
      <c r="C1140">
        <v>2027</v>
      </c>
      <c r="E1140">
        <f>-(IF(VLOOKUP(B1140,'2023 Z Scores'!$A$1:$K$309,11,FALSE)&gt;2,VLOOKUP(B1140,'2023 Z Scores'!$A$1:$K$309,10,FALSE)/VLOOKUP(B1140,'2023 Z Scores'!$A$1:$K$309,11,FALSE),"Not Enough data"))</f>
        <v>-0.57539534401692072</v>
      </c>
      <c r="F1140">
        <f>IF(VLOOKUP(A1140,'Delta Z Scores'!$A$1:$N$1541,14,FALSE)&gt;2,VLOOKUP(A1140,'Delta Z Scores'!$A$1:$N$1541,13,FALSE)/VLOOKUP(A1140,'Delta Z Scores'!$A$1:$N$1541,14,FALSE),"Not Enough Data")</f>
        <v>0.25282830176043636</v>
      </c>
      <c r="G1140">
        <f>IF(VLOOKUP(A1140,'Forecast Z Scores'!$A$1:$N$1541,14,FALSE)&gt;2,VLOOKUP(A1140,'Forecast Z Scores'!$A$1:$N$1541,13,FALSE)/VLOOKUP(A1140,'Forecast Z Scores'!$A$1:$N$1541,14,FALSE),"Not Enough Data")</f>
        <v>0.5656113921539252</v>
      </c>
      <c r="H1140">
        <v>0.1239681629144693</v>
      </c>
    </row>
    <row r="1141" spans="1:8" x14ac:dyDescent="0.35">
      <c r="A1141" t="str">
        <f t="shared" si="17"/>
        <v>18097390104_2028</v>
      </c>
      <c r="B1141">
        <v>18097390104</v>
      </c>
      <c r="C1141">
        <v>2028</v>
      </c>
      <c r="E1141">
        <f>-(IF(VLOOKUP(B1141,'2023 Z Scores'!$A$1:$K$309,11,FALSE)&gt;2,VLOOKUP(B1141,'2023 Z Scores'!$A$1:$K$309,10,FALSE)/VLOOKUP(B1141,'2023 Z Scores'!$A$1:$K$309,11,FALSE),"Not Enough data"))</f>
        <v>-0.57539534401692072</v>
      </c>
      <c r="F1141">
        <f>IF(VLOOKUP(A1141,'Delta Z Scores'!$A$1:$N$1541,14,FALSE)&gt;2,VLOOKUP(A1141,'Delta Z Scores'!$A$1:$N$1541,13,FALSE)/VLOOKUP(A1141,'Delta Z Scores'!$A$1:$N$1541,14,FALSE),"Not Enough Data")</f>
        <v>0.42105350798034424</v>
      </c>
      <c r="G1141">
        <f>IF(VLOOKUP(A1141,'Forecast Z Scores'!$A$1:$N$1541,14,FALSE)&gt;2,VLOOKUP(A1141,'Forecast Z Scores'!$A$1:$N$1541,13,FALSE)/VLOOKUP(A1141,'Forecast Z Scores'!$A$1:$N$1541,14,FALSE),"Not Enough Data")</f>
        <v>0.57137285747387823</v>
      </c>
      <c r="H1141">
        <v>0.20952113235441147</v>
      </c>
    </row>
    <row r="1142" spans="1:8" x14ac:dyDescent="0.35">
      <c r="A1142" t="str">
        <f t="shared" si="17"/>
        <v>18097390200_2024</v>
      </c>
      <c r="B1142">
        <v>18097390200</v>
      </c>
      <c r="C1142">
        <v>2024</v>
      </c>
      <c r="E1142">
        <f>-(IF(VLOOKUP(B1142,'2023 Z Scores'!$A$1:$K$309,11,FALSE)&gt;2,VLOOKUP(B1142,'2023 Z Scores'!$A$1:$K$309,10,FALSE)/VLOOKUP(B1142,'2023 Z Scores'!$A$1:$K$309,11,FALSE),"Not Enough data"))</f>
        <v>-0.63750839467857146</v>
      </c>
      <c r="F1142">
        <f>IF(VLOOKUP(A1142,'Delta Z Scores'!$A$1:$N$1541,14,FALSE)&gt;2,VLOOKUP(A1142,'Delta Z Scores'!$A$1:$N$1541,13,FALSE)/VLOOKUP(A1142,'Delta Z Scores'!$A$1:$N$1541,14,FALSE),"Not Enough Data")</f>
        <v>-0.14687907113400261</v>
      </c>
      <c r="G1142">
        <f>IF(VLOOKUP(A1142,'Forecast Z Scores'!$A$1:$N$1541,14,FALSE)&gt;2,VLOOKUP(A1142,'Forecast Z Scores'!$A$1:$N$1541,13,FALSE)/VLOOKUP(A1142,'Forecast Z Scores'!$A$1:$N$1541,14,FALSE),"Not Enough Data")</f>
        <v>0.59398819907070277</v>
      </c>
      <c r="H1142">
        <v>-8.4319584468968478E-2</v>
      </c>
    </row>
    <row r="1143" spans="1:8" x14ac:dyDescent="0.35">
      <c r="A1143" t="str">
        <f t="shared" si="17"/>
        <v>18097390200_2025</v>
      </c>
      <c r="B1143">
        <v>18097390200</v>
      </c>
      <c r="C1143">
        <v>2025</v>
      </c>
      <c r="E1143">
        <f>-(IF(VLOOKUP(B1143,'2023 Z Scores'!$A$1:$K$309,11,FALSE)&gt;2,VLOOKUP(B1143,'2023 Z Scores'!$A$1:$K$309,10,FALSE)/VLOOKUP(B1143,'2023 Z Scores'!$A$1:$K$309,11,FALSE),"Not Enough data"))</f>
        <v>-0.63750839467857146</v>
      </c>
      <c r="F1143">
        <f>IF(VLOOKUP(A1143,'Delta Z Scores'!$A$1:$N$1541,14,FALSE)&gt;2,VLOOKUP(A1143,'Delta Z Scores'!$A$1:$N$1541,13,FALSE)/VLOOKUP(A1143,'Delta Z Scores'!$A$1:$N$1541,14,FALSE),"Not Enough Data")</f>
        <v>9.9447168444038725E-3</v>
      </c>
      <c r="G1143">
        <f>IF(VLOOKUP(A1143,'Forecast Z Scores'!$A$1:$N$1541,14,FALSE)&gt;2,VLOOKUP(A1143,'Forecast Z Scores'!$A$1:$N$1541,13,FALSE)/VLOOKUP(A1143,'Forecast Z Scores'!$A$1:$N$1541,14,FALSE),"Not Enough Data")</f>
        <v>0.60048344004091059</v>
      </c>
      <c r="H1143">
        <v>-4.2838802372132945E-3</v>
      </c>
    </row>
    <row r="1144" spans="1:8" x14ac:dyDescent="0.35">
      <c r="A1144" t="str">
        <f t="shared" si="17"/>
        <v>18097390200_2026</v>
      </c>
      <c r="B1144">
        <v>18097390200</v>
      </c>
      <c r="C1144">
        <v>2026</v>
      </c>
      <c r="E1144">
        <f>-(IF(VLOOKUP(B1144,'2023 Z Scores'!$A$1:$K$309,11,FALSE)&gt;2,VLOOKUP(B1144,'2023 Z Scores'!$A$1:$K$309,10,FALSE)/VLOOKUP(B1144,'2023 Z Scores'!$A$1:$K$309,11,FALSE),"Not Enough data"))</f>
        <v>-0.63750839467857146</v>
      </c>
      <c r="F1144">
        <f>IF(VLOOKUP(A1144,'Delta Z Scores'!$A$1:$N$1541,14,FALSE)&gt;2,VLOOKUP(A1144,'Delta Z Scores'!$A$1:$N$1541,13,FALSE)/VLOOKUP(A1144,'Delta Z Scores'!$A$1:$N$1541,14,FALSE),"Not Enough Data")</f>
        <v>-1.1257475953031879E-2</v>
      </c>
      <c r="G1144">
        <f>IF(VLOOKUP(A1144,'Forecast Z Scores'!$A$1:$N$1541,14,FALSE)&gt;2,VLOOKUP(A1144,'Forecast Z Scores'!$A$1:$N$1541,13,FALSE)/VLOOKUP(A1144,'Forecast Z Scores'!$A$1:$N$1541,14,FALSE),"Not Enough Data")</f>
        <v>0.57207346621849064</v>
      </c>
      <c r="H1144">
        <v>-2.1987470091536149E-2</v>
      </c>
    </row>
    <row r="1145" spans="1:8" x14ac:dyDescent="0.35">
      <c r="A1145" t="str">
        <f t="shared" si="17"/>
        <v>18097390200_2027</v>
      </c>
      <c r="B1145">
        <v>18097390200</v>
      </c>
      <c r="C1145">
        <v>2027</v>
      </c>
      <c r="E1145">
        <f>-(IF(VLOOKUP(B1145,'2023 Z Scores'!$A$1:$K$309,11,FALSE)&gt;2,VLOOKUP(B1145,'2023 Z Scores'!$A$1:$K$309,10,FALSE)/VLOOKUP(B1145,'2023 Z Scores'!$A$1:$K$309,11,FALSE),"Not Enough data"))</f>
        <v>-0.63750839467857146</v>
      </c>
      <c r="F1145">
        <f>IF(VLOOKUP(A1145,'Delta Z Scores'!$A$1:$N$1541,14,FALSE)&gt;2,VLOOKUP(A1145,'Delta Z Scores'!$A$1:$N$1541,13,FALSE)/VLOOKUP(A1145,'Delta Z Scores'!$A$1:$N$1541,14,FALSE),"Not Enough Data")</f>
        <v>0.10540796802683225</v>
      </c>
      <c r="G1145">
        <f>IF(VLOOKUP(A1145,'Forecast Z Scores'!$A$1:$N$1541,14,FALSE)&gt;2,VLOOKUP(A1145,'Forecast Z Scores'!$A$1:$N$1541,13,FALSE)/VLOOKUP(A1145,'Forecast Z Scores'!$A$1:$N$1541,14,FALSE),"Not Enough Data")</f>
        <v>0.56538721778107937</v>
      </c>
      <c r="H1145">
        <v>3.4673689789043088E-2</v>
      </c>
    </row>
    <row r="1146" spans="1:8" x14ac:dyDescent="0.35">
      <c r="A1146" t="str">
        <f t="shared" si="17"/>
        <v>18097390200_2028</v>
      </c>
      <c r="B1146">
        <v>18097390200</v>
      </c>
      <c r="C1146">
        <v>2028</v>
      </c>
      <c r="E1146">
        <f>-(IF(VLOOKUP(B1146,'2023 Z Scores'!$A$1:$K$309,11,FALSE)&gt;2,VLOOKUP(B1146,'2023 Z Scores'!$A$1:$K$309,10,FALSE)/VLOOKUP(B1146,'2023 Z Scores'!$A$1:$K$309,11,FALSE),"Not Enough data"))</f>
        <v>-0.63750839467857146</v>
      </c>
      <c r="F1146">
        <f>IF(VLOOKUP(A1146,'Delta Z Scores'!$A$1:$N$1541,14,FALSE)&gt;2,VLOOKUP(A1146,'Delta Z Scores'!$A$1:$N$1541,13,FALSE)/VLOOKUP(A1146,'Delta Z Scores'!$A$1:$N$1541,14,FALSE),"Not Enough Data")</f>
        <v>0.15071868117216847</v>
      </c>
      <c r="G1146">
        <f>IF(VLOOKUP(A1146,'Forecast Z Scores'!$A$1:$N$1541,14,FALSE)&gt;2,VLOOKUP(A1146,'Forecast Z Scores'!$A$1:$N$1541,13,FALSE)/VLOOKUP(A1146,'Forecast Z Scores'!$A$1:$N$1541,14,FALSE),"Not Enough Data")</f>
        <v>0.53900514918079256</v>
      </c>
      <c r="H1146">
        <v>5.0733529211639511E-2</v>
      </c>
    </row>
    <row r="1147" spans="1:8" x14ac:dyDescent="0.35">
      <c r="A1147" t="str">
        <f t="shared" si="17"/>
        <v>18097390300_2024</v>
      </c>
      <c r="B1147">
        <v>18097390300</v>
      </c>
      <c r="C1147">
        <v>2024</v>
      </c>
      <c r="E1147">
        <f>-(IF(VLOOKUP(B1147,'2023 Z Scores'!$A$1:$K$309,11,FALSE)&gt;2,VLOOKUP(B1147,'2023 Z Scores'!$A$1:$K$309,10,FALSE)/VLOOKUP(B1147,'2023 Z Scores'!$A$1:$K$309,11,FALSE),"Not Enough data"))</f>
        <v>-0.81863484429248412</v>
      </c>
      <c r="F1147">
        <f>IF(VLOOKUP(A1147,'Delta Z Scores'!$A$1:$N$1541,14,FALSE)&gt;2,VLOOKUP(A1147,'Delta Z Scores'!$A$1:$N$1541,13,FALSE)/VLOOKUP(A1147,'Delta Z Scores'!$A$1:$N$1541,14,FALSE),"Not Enough Data")</f>
        <v>-0.10618253285164411</v>
      </c>
      <c r="G1147">
        <f>IF(VLOOKUP(A1147,'Forecast Z Scores'!$A$1:$N$1541,14,FALSE)&gt;2,VLOOKUP(A1147,'Forecast Z Scores'!$A$1:$N$1541,13,FALSE)/VLOOKUP(A1147,'Forecast Z Scores'!$A$1:$N$1541,14,FALSE),"Not Enough Data")</f>
        <v>0.5383366682462305</v>
      </c>
      <c r="H1147">
        <v>-0.12316581043738546</v>
      </c>
    </row>
    <row r="1148" spans="1:8" x14ac:dyDescent="0.35">
      <c r="A1148" t="str">
        <f t="shared" si="17"/>
        <v>18097390300_2025</v>
      </c>
      <c r="B1148">
        <v>18097390300</v>
      </c>
      <c r="C1148">
        <v>2025</v>
      </c>
      <c r="E1148">
        <f>-(IF(VLOOKUP(B1148,'2023 Z Scores'!$A$1:$K$309,11,FALSE)&gt;2,VLOOKUP(B1148,'2023 Z Scores'!$A$1:$K$309,10,FALSE)/VLOOKUP(B1148,'2023 Z Scores'!$A$1:$K$309,11,FALSE),"Not Enough data"))</f>
        <v>-0.81863484429248412</v>
      </c>
      <c r="F1148">
        <f>IF(VLOOKUP(A1148,'Delta Z Scores'!$A$1:$N$1541,14,FALSE)&gt;2,VLOOKUP(A1148,'Delta Z Scores'!$A$1:$N$1541,13,FALSE)/VLOOKUP(A1148,'Delta Z Scores'!$A$1:$N$1541,14,FALSE),"Not Enough Data")</f>
        <v>0.23247113888258397</v>
      </c>
      <c r="G1148">
        <f>IF(VLOOKUP(A1148,'Forecast Z Scores'!$A$1:$N$1541,14,FALSE)&gt;2,VLOOKUP(A1148,'Forecast Z Scores'!$A$1:$N$1541,13,FALSE)/VLOOKUP(A1148,'Forecast Z Scores'!$A$1:$N$1541,14,FALSE),"Not Enough Data")</f>
        <v>0.54279066393336728</v>
      </c>
      <c r="H1148">
        <v>4.7274524351512776E-2</v>
      </c>
    </row>
    <row r="1149" spans="1:8" x14ac:dyDescent="0.35">
      <c r="A1149" t="str">
        <f t="shared" si="17"/>
        <v>18097390300_2026</v>
      </c>
      <c r="B1149">
        <v>18097390300</v>
      </c>
      <c r="C1149">
        <v>2026</v>
      </c>
      <c r="E1149">
        <f>-(IF(VLOOKUP(B1149,'2023 Z Scores'!$A$1:$K$309,11,FALSE)&gt;2,VLOOKUP(B1149,'2023 Z Scores'!$A$1:$K$309,10,FALSE)/VLOOKUP(B1149,'2023 Z Scores'!$A$1:$K$309,11,FALSE),"Not Enough data"))</f>
        <v>-0.81863484429248412</v>
      </c>
      <c r="F1149">
        <f>IF(VLOOKUP(A1149,'Delta Z Scores'!$A$1:$N$1541,14,FALSE)&gt;2,VLOOKUP(A1149,'Delta Z Scores'!$A$1:$N$1541,13,FALSE)/VLOOKUP(A1149,'Delta Z Scores'!$A$1:$N$1541,14,FALSE),"Not Enough Data")</f>
        <v>0.15598851852146081</v>
      </c>
      <c r="G1149">
        <f>IF(VLOOKUP(A1149,'Forecast Z Scores'!$A$1:$N$1541,14,FALSE)&gt;2,VLOOKUP(A1149,'Forecast Z Scores'!$A$1:$N$1541,13,FALSE)/VLOOKUP(A1149,'Forecast Z Scores'!$A$1:$N$1541,14,FALSE),"Not Enough Data")</f>
        <v>0.51446339185770051</v>
      </c>
      <c r="H1149">
        <v>1.951396152034518E-3</v>
      </c>
    </row>
    <row r="1150" spans="1:8" x14ac:dyDescent="0.35">
      <c r="A1150" t="str">
        <f t="shared" si="17"/>
        <v>18097390300_2027</v>
      </c>
      <c r="B1150">
        <v>18097390300</v>
      </c>
      <c r="C1150">
        <v>2027</v>
      </c>
      <c r="E1150">
        <f>-(IF(VLOOKUP(B1150,'2023 Z Scores'!$A$1:$K$309,11,FALSE)&gt;2,VLOOKUP(B1150,'2023 Z Scores'!$A$1:$K$309,10,FALSE)/VLOOKUP(B1150,'2023 Z Scores'!$A$1:$K$309,11,FALSE),"Not Enough data"))</f>
        <v>-0.81863484429248412</v>
      </c>
      <c r="F1150">
        <f>IF(VLOOKUP(A1150,'Delta Z Scores'!$A$1:$N$1541,14,FALSE)&gt;2,VLOOKUP(A1150,'Delta Z Scores'!$A$1:$N$1541,13,FALSE)/VLOOKUP(A1150,'Delta Z Scores'!$A$1:$N$1541,14,FALSE),"Not Enough Data")</f>
        <v>0.25550134463723739</v>
      </c>
      <c r="G1150">
        <f>IF(VLOOKUP(A1150,'Forecast Z Scores'!$A$1:$N$1541,14,FALSE)&gt;2,VLOOKUP(A1150,'Forecast Z Scores'!$A$1:$N$1541,13,FALSE)/VLOOKUP(A1150,'Forecast Z Scores'!$A$1:$N$1541,14,FALSE),"Not Enough Data")</f>
        <v>0.50256389698126558</v>
      </c>
      <c r="H1150">
        <v>4.8732935490814061E-2</v>
      </c>
    </row>
    <row r="1151" spans="1:8" x14ac:dyDescent="0.35">
      <c r="A1151" t="str">
        <f t="shared" si="17"/>
        <v>18097390300_2028</v>
      </c>
      <c r="B1151">
        <v>18097390300</v>
      </c>
      <c r="C1151">
        <v>2028</v>
      </c>
      <c r="E1151">
        <f>-(IF(VLOOKUP(B1151,'2023 Z Scores'!$A$1:$K$309,11,FALSE)&gt;2,VLOOKUP(B1151,'2023 Z Scores'!$A$1:$K$309,10,FALSE)/VLOOKUP(B1151,'2023 Z Scores'!$A$1:$K$309,11,FALSE),"Not Enough data"))</f>
        <v>-0.81863484429248412</v>
      </c>
      <c r="F1151">
        <f>IF(VLOOKUP(A1151,'Delta Z Scores'!$A$1:$N$1541,14,FALSE)&gt;2,VLOOKUP(A1151,'Delta Z Scores'!$A$1:$N$1541,13,FALSE)/VLOOKUP(A1151,'Delta Z Scores'!$A$1:$N$1541,14,FALSE),"Not Enough Data")</f>
        <v>0.23157400912238035</v>
      </c>
      <c r="G1151">
        <f>IF(VLOOKUP(A1151,'Forecast Z Scores'!$A$1:$N$1541,14,FALSE)&gt;2,VLOOKUP(A1151,'Forecast Z Scores'!$A$1:$N$1541,13,FALSE)/VLOOKUP(A1151,'Forecast Z Scores'!$A$1:$N$1541,14,FALSE),"Not Enough Data")</f>
        <v>0.47743604867191852</v>
      </c>
      <c r="H1151">
        <v>3.0487305656048763E-2</v>
      </c>
    </row>
    <row r="1152" spans="1:8" x14ac:dyDescent="0.35">
      <c r="A1152" t="str">
        <f t="shared" si="17"/>
        <v>18097390405_2024</v>
      </c>
      <c r="B1152">
        <v>18097390405</v>
      </c>
      <c r="C1152">
        <v>2024</v>
      </c>
      <c r="E1152">
        <f>-(IF(VLOOKUP(B1152,'2023 Z Scores'!$A$1:$K$309,11,FALSE)&gt;2,VLOOKUP(B1152,'2023 Z Scores'!$A$1:$K$309,10,FALSE)/VLOOKUP(B1152,'2023 Z Scores'!$A$1:$K$309,11,FALSE),"Not Enough data"))</f>
        <v>-0.35637098498522779</v>
      </c>
      <c r="F1152">
        <f>IF(VLOOKUP(A1152,'Delta Z Scores'!$A$1:$N$1541,14,FALSE)&gt;2,VLOOKUP(A1152,'Delta Z Scores'!$A$1:$N$1541,13,FALSE)/VLOOKUP(A1152,'Delta Z Scores'!$A$1:$N$1541,14,FALSE),"Not Enough Data")</f>
        <v>0.70625669962988402</v>
      </c>
      <c r="G1152">
        <f>IF(VLOOKUP(A1152,'Forecast Z Scores'!$A$1:$N$1541,14,FALSE)&gt;2,VLOOKUP(A1152,'Forecast Z Scores'!$A$1:$N$1541,13,FALSE)/VLOOKUP(A1152,'Forecast Z Scores'!$A$1:$N$1541,14,FALSE),"Not Enough Data")</f>
        <v>0.4823673997771229</v>
      </c>
      <c r="H1152">
        <v>0.38462745351291583</v>
      </c>
    </row>
    <row r="1153" spans="1:8" x14ac:dyDescent="0.35">
      <c r="A1153" t="str">
        <f t="shared" si="17"/>
        <v>18097390405_2025</v>
      </c>
      <c r="B1153">
        <v>18097390405</v>
      </c>
      <c r="C1153">
        <v>2025</v>
      </c>
      <c r="E1153">
        <f>-(IF(VLOOKUP(B1153,'2023 Z Scores'!$A$1:$K$309,11,FALSE)&gt;2,VLOOKUP(B1153,'2023 Z Scores'!$A$1:$K$309,10,FALSE)/VLOOKUP(B1153,'2023 Z Scores'!$A$1:$K$309,11,FALSE),"Not Enough data"))</f>
        <v>-0.35637098498522779</v>
      </c>
      <c r="F1153">
        <f>IF(VLOOKUP(A1153,'Delta Z Scores'!$A$1:$N$1541,14,FALSE)&gt;2,VLOOKUP(A1153,'Delta Z Scores'!$A$1:$N$1541,13,FALSE)/VLOOKUP(A1153,'Delta Z Scores'!$A$1:$N$1541,14,FALSE),"Not Enough Data")</f>
        <v>-0.64319412474810367</v>
      </c>
      <c r="G1153">
        <f>IF(VLOOKUP(A1153,'Forecast Z Scores'!$A$1:$N$1541,14,FALSE)&gt;2,VLOOKUP(A1153,'Forecast Z Scores'!$A$1:$N$1541,13,FALSE)/VLOOKUP(A1153,'Forecast Z Scores'!$A$1:$N$1541,14,FALSE),"Not Enough Data")</f>
        <v>0.38414599190001059</v>
      </c>
      <c r="H1153">
        <v>-0.31465331064535618</v>
      </c>
    </row>
    <row r="1154" spans="1:8" x14ac:dyDescent="0.35">
      <c r="A1154" t="str">
        <f t="shared" si="17"/>
        <v>18097390405_2026</v>
      </c>
      <c r="B1154">
        <v>18097390405</v>
      </c>
      <c r="C1154">
        <v>2026</v>
      </c>
      <c r="E1154">
        <f>-(IF(VLOOKUP(B1154,'2023 Z Scores'!$A$1:$K$309,11,FALSE)&gt;2,VLOOKUP(B1154,'2023 Z Scores'!$A$1:$K$309,10,FALSE)/VLOOKUP(B1154,'2023 Z Scores'!$A$1:$K$309,11,FALSE),"Not Enough data"))</f>
        <v>-0.35637098498522779</v>
      </c>
      <c r="F1154">
        <f>IF(VLOOKUP(A1154,'Delta Z Scores'!$A$1:$N$1541,14,FALSE)&gt;2,VLOOKUP(A1154,'Delta Z Scores'!$A$1:$N$1541,13,FALSE)/VLOOKUP(A1154,'Delta Z Scores'!$A$1:$N$1541,14,FALSE),"Not Enough Data")</f>
        <v>0.50498149816284454</v>
      </c>
      <c r="G1154">
        <f>IF(VLOOKUP(A1154,'Forecast Z Scores'!$A$1:$N$1541,14,FALSE)&gt;2,VLOOKUP(A1154,'Forecast Z Scores'!$A$1:$N$1541,13,FALSE)/VLOOKUP(A1154,'Forecast Z Scores'!$A$1:$N$1541,14,FALSE),"Not Enough Data")</f>
        <v>0.43605742155516314</v>
      </c>
      <c r="H1154">
        <v>0.27241235822390608</v>
      </c>
    </row>
    <row r="1155" spans="1:8" x14ac:dyDescent="0.35">
      <c r="A1155" t="str">
        <f t="shared" ref="A1155:A1218" si="18">TEXT(B1155,0)&amp;"_"&amp;TEXT(C1155,0)</f>
        <v>18097390405_2027</v>
      </c>
      <c r="B1155">
        <v>18097390405</v>
      </c>
      <c r="C1155">
        <v>2027</v>
      </c>
      <c r="E1155">
        <f>-(IF(VLOOKUP(B1155,'2023 Z Scores'!$A$1:$K$309,11,FALSE)&gt;2,VLOOKUP(B1155,'2023 Z Scores'!$A$1:$K$309,10,FALSE)/VLOOKUP(B1155,'2023 Z Scores'!$A$1:$K$309,11,FALSE),"Not Enough data"))</f>
        <v>-0.35637098498522779</v>
      </c>
      <c r="F1155">
        <f>IF(VLOOKUP(A1155,'Delta Z Scores'!$A$1:$N$1541,14,FALSE)&gt;2,VLOOKUP(A1155,'Delta Z Scores'!$A$1:$N$1541,13,FALSE)/VLOOKUP(A1155,'Delta Z Scores'!$A$1:$N$1541,14,FALSE),"Not Enough Data")</f>
        <v>-0.30848045151915532</v>
      </c>
      <c r="G1155">
        <f>IF(VLOOKUP(A1155,'Forecast Z Scores'!$A$1:$N$1541,14,FALSE)&gt;2,VLOOKUP(A1155,'Forecast Z Scores'!$A$1:$N$1541,13,FALSE)/VLOOKUP(A1155,'Forecast Z Scores'!$A$1:$N$1541,14,FALSE),"Not Enough Data")</f>
        <v>0.38497089099593307</v>
      </c>
      <c r="H1155">
        <v>-0.14709024925690134</v>
      </c>
    </row>
    <row r="1156" spans="1:8" x14ac:dyDescent="0.35">
      <c r="A1156" t="str">
        <f t="shared" si="18"/>
        <v>18097390405_2028</v>
      </c>
      <c r="B1156">
        <v>18097390405</v>
      </c>
      <c r="C1156">
        <v>2028</v>
      </c>
      <c r="E1156">
        <f>-(IF(VLOOKUP(B1156,'2023 Z Scores'!$A$1:$K$309,11,FALSE)&gt;2,VLOOKUP(B1156,'2023 Z Scores'!$A$1:$K$309,10,FALSE)/VLOOKUP(B1156,'2023 Z Scores'!$A$1:$K$309,11,FALSE),"Not Enough data"))</f>
        <v>-0.35637098498522779</v>
      </c>
      <c r="F1156">
        <f>IF(VLOOKUP(A1156,'Delta Z Scores'!$A$1:$N$1541,14,FALSE)&gt;2,VLOOKUP(A1156,'Delta Z Scores'!$A$1:$N$1541,13,FALSE)/VLOOKUP(A1156,'Delta Z Scores'!$A$1:$N$1541,14,FALSE),"Not Enough Data")</f>
        <v>0.28079796340903201</v>
      </c>
      <c r="G1156">
        <f>IF(VLOOKUP(A1156,'Forecast Z Scores'!$A$1:$N$1541,14,FALSE)&gt;2,VLOOKUP(A1156,'Forecast Z Scores'!$A$1:$N$1541,13,FALSE)/VLOOKUP(A1156,'Forecast Z Scores'!$A$1:$N$1541,14,FALSE),"Not Enough Data")</f>
        <v>0.39341440690672619</v>
      </c>
      <c r="H1156">
        <v>0.14965983718489059</v>
      </c>
    </row>
    <row r="1157" spans="1:8" x14ac:dyDescent="0.35">
      <c r="A1157" t="str">
        <f t="shared" si="18"/>
        <v>18097390406_2024</v>
      </c>
      <c r="B1157">
        <v>18097390406</v>
      </c>
      <c r="C1157">
        <v>2024</v>
      </c>
      <c r="E1157">
        <f>-(IF(VLOOKUP(B1157,'2023 Z Scores'!$A$1:$K$309,11,FALSE)&gt;2,VLOOKUP(B1157,'2023 Z Scores'!$A$1:$K$309,10,FALSE)/VLOOKUP(B1157,'2023 Z Scores'!$A$1:$K$309,11,FALSE),"Not Enough data"))</f>
        <v>-0.89465716401204032</v>
      </c>
      <c r="F1157">
        <f>IF(VLOOKUP(A1157,'Delta Z Scores'!$A$1:$N$1541,14,FALSE)&gt;2,VLOOKUP(A1157,'Delta Z Scores'!$A$1:$N$1541,13,FALSE)/VLOOKUP(A1157,'Delta Z Scores'!$A$1:$N$1541,14,FALSE),"Not Enough Data")</f>
        <v>-0.17950905552329077</v>
      </c>
      <c r="G1157">
        <f>IF(VLOOKUP(A1157,'Forecast Z Scores'!$A$1:$N$1541,14,FALSE)&gt;2,VLOOKUP(A1157,'Forecast Z Scores'!$A$1:$N$1541,13,FALSE)/VLOOKUP(A1157,'Forecast Z Scores'!$A$1:$N$1541,14,FALSE),"Not Enough Data")</f>
        <v>0.45438966305862155</v>
      </c>
      <c r="H1157">
        <v>-0.19982140300000006</v>
      </c>
    </row>
    <row r="1158" spans="1:8" x14ac:dyDescent="0.35">
      <c r="A1158" t="str">
        <f t="shared" si="18"/>
        <v>18097390406_2025</v>
      </c>
      <c r="B1158">
        <v>18097390406</v>
      </c>
      <c r="C1158">
        <v>2025</v>
      </c>
      <c r="E1158">
        <f>-(IF(VLOOKUP(B1158,'2023 Z Scores'!$A$1:$K$309,11,FALSE)&gt;2,VLOOKUP(B1158,'2023 Z Scores'!$A$1:$K$309,10,FALSE)/VLOOKUP(B1158,'2023 Z Scores'!$A$1:$K$309,11,FALSE),"Not Enough data"))</f>
        <v>-0.89465716401204032</v>
      </c>
      <c r="F1158">
        <f>IF(VLOOKUP(A1158,'Delta Z Scores'!$A$1:$N$1541,14,FALSE)&gt;2,VLOOKUP(A1158,'Delta Z Scores'!$A$1:$N$1541,13,FALSE)/VLOOKUP(A1158,'Delta Z Scores'!$A$1:$N$1541,14,FALSE),"Not Enough Data")</f>
        <v>-0.16407558861110133</v>
      </c>
      <c r="G1158">
        <f>IF(VLOOKUP(A1158,'Forecast Z Scores'!$A$1:$N$1541,14,FALSE)&gt;2,VLOOKUP(A1158,'Forecast Z Scores'!$A$1:$N$1541,13,FALSE)/VLOOKUP(A1158,'Forecast Z Scores'!$A$1:$N$1541,14,FALSE),"Not Enough Data")</f>
        <v>0.43686016755926976</v>
      </c>
      <c r="H1158">
        <v>-0.19648704341874329</v>
      </c>
    </row>
    <row r="1159" spans="1:8" x14ac:dyDescent="0.35">
      <c r="A1159" t="str">
        <f t="shared" si="18"/>
        <v>18097390406_2026</v>
      </c>
      <c r="B1159">
        <v>18097390406</v>
      </c>
      <c r="C1159">
        <v>2026</v>
      </c>
      <c r="E1159">
        <f>-(IF(VLOOKUP(B1159,'2023 Z Scores'!$A$1:$K$309,11,FALSE)&gt;2,VLOOKUP(B1159,'2023 Z Scores'!$A$1:$K$309,10,FALSE)/VLOOKUP(B1159,'2023 Z Scores'!$A$1:$K$309,11,FALSE),"Not Enough data"))</f>
        <v>-0.89465716401204032</v>
      </c>
      <c r="F1159">
        <f>IF(VLOOKUP(A1159,'Delta Z Scores'!$A$1:$N$1541,14,FALSE)&gt;2,VLOOKUP(A1159,'Delta Z Scores'!$A$1:$N$1541,13,FALSE)/VLOOKUP(A1159,'Delta Z Scores'!$A$1:$N$1541,14,FALSE),"Not Enough Data")</f>
        <v>-0.1937697982603914</v>
      </c>
      <c r="G1159">
        <f>IF(VLOOKUP(A1159,'Forecast Z Scores'!$A$1:$N$1541,14,FALSE)&gt;2,VLOOKUP(A1159,'Forecast Z Scores'!$A$1:$N$1541,13,FALSE)/VLOOKUP(A1159,'Forecast Z Scores'!$A$1:$N$1541,14,FALSE),"Not Enough Data")</f>
        <v>0.40144966022711293</v>
      </c>
      <c r="H1159">
        <v>-0.22018677507642753</v>
      </c>
    </row>
    <row r="1160" spans="1:8" x14ac:dyDescent="0.35">
      <c r="A1160" t="str">
        <f t="shared" si="18"/>
        <v>18097390406_2027</v>
      </c>
      <c r="B1160">
        <v>18097390406</v>
      </c>
      <c r="C1160">
        <v>2027</v>
      </c>
      <c r="E1160">
        <f>-(IF(VLOOKUP(B1160,'2023 Z Scores'!$A$1:$K$309,11,FALSE)&gt;2,VLOOKUP(B1160,'2023 Z Scores'!$A$1:$K$309,10,FALSE)/VLOOKUP(B1160,'2023 Z Scores'!$A$1:$K$309,11,FALSE),"Not Enough data"))</f>
        <v>-0.89465716401204032</v>
      </c>
      <c r="F1160">
        <f>IF(VLOOKUP(A1160,'Delta Z Scores'!$A$1:$N$1541,14,FALSE)&gt;2,VLOOKUP(A1160,'Delta Z Scores'!$A$1:$N$1541,13,FALSE)/VLOOKUP(A1160,'Delta Z Scores'!$A$1:$N$1541,14,FALSE),"Not Enough Data")</f>
        <v>-0.11684069530101197</v>
      </c>
      <c r="G1160">
        <f>IF(VLOOKUP(A1160,'Forecast Z Scores'!$A$1:$N$1541,14,FALSE)&gt;2,VLOOKUP(A1160,'Forecast Z Scores'!$A$1:$N$1541,13,FALSE)/VLOOKUP(A1160,'Forecast Z Scores'!$A$1:$N$1541,14,FALSE),"Not Enough Data")</f>
        <v>0.37929497465183643</v>
      </c>
      <c r="H1160">
        <v>-0.18726089499055695</v>
      </c>
    </row>
    <row r="1161" spans="1:8" x14ac:dyDescent="0.35">
      <c r="A1161" t="str">
        <f t="shared" si="18"/>
        <v>18097390406_2028</v>
      </c>
      <c r="B1161">
        <v>18097390406</v>
      </c>
      <c r="C1161">
        <v>2028</v>
      </c>
      <c r="E1161">
        <f>-(IF(VLOOKUP(B1161,'2023 Z Scores'!$A$1:$K$309,11,FALSE)&gt;2,VLOOKUP(B1161,'2023 Z Scores'!$A$1:$K$309,10,FALSE)/VLOOKUP(B1161,'2023 Z Scores'!$A$1:$K$309,11,FALSE),"Not Enough data"))</f>
        <v>-0.89465716401204032</v>
      </c>
      <c r="F1161">
        <f>IF(VLOOKUP(A1161,'Delta Z Scores'!$A$1:$N$1541,14,FALSE)&gt;2,VLOOKUP(A1161,'Delta Z Scores'!$A$1:$N$1541,13,FALSE)/VLOOKUP(A1161,'Delta Z Scores'!$A$1:$N$1541,14,FALSE),"Not Enough Data")</f>
        <v>-0.11084935713029989</v>
      </c>
      <c r="G1161">
        <f>IF(VLOOKUP(A1161,'Forecast Z Scores'!$A$1:$N$1541,14,FALSE)&gt;2,VLOOKUP(A1161,'Forecast Z Scores'!$A$1:$N$1541,13,FALSE)/VLOOKUP(A1161,'Forecast Z Scores'!$A$1:$N$1541,14,FALSE),"Not Enough Data")</f>
        <v>0.34591991942465139</v>
      </c>
      <c r="H1161">
        <v>-0.19260898971199719</v>
      </c>
    </row>
    <row r="1162" spans="1:8" x14ac:dyDescent="0.35">
      <c r="A1162" t="str">
        <f t="shared" si="18"/>
        <v>18097390408_2024</v>
      </c>
      <c r="B1162">
        <v>18097390408</v>
      </c>
      <c r="C1162">
        <v>2024</v>
      </c>
      <c r="E1162">
        <f>-(IF(VLOOKUP(B1162,'2023 Z Scores'!$A$1:$K$309,11,FALSE)&gt;2,VLOOKUP(B1162,'2023 Z Scores'!$A$1:$K$309,10,FALSE)/VLOOKUP(B1162,'2023 Z Scores'!$A$1:$K$309,11,FALSE),"Not Enough data"))</f>
        <v>-0.52584383812218261</v>
      </c>
      <c r="F1162">
        <f>IF(VLOOKUP(A1162,'Delta Z Scores'!$A$1:$N$1541,14,FALSE)&gt;2,VLOOKUP(A1162,'Delta Z Scores'!$A$1:$N$1541,13,FALSE)/VLOOKUP(A1162,'Delta Z Scores'!$A$1:$N$1541,14,FALSE),"Not Enough Data")</f>
        <v>0.28015538652560873</v>
      </c>
      <c r="G1162">
        <f>IF(VLOOKUP(A1162,'Forecast Z Scores'!$A$1:$N$1541,14,FALSE)&gt;2,VLOOKUP(A1162,'Forecast Z Scores'!$A$1:$N$1541,13,FALSE)/VLOOKUP(A1162,'Forecast Z Scores'!$A$1:$N$1541,14,FALSE),"Not Enough Data")</f>
        <v>0.63948792083397543</v>
      </c>
      <c r="H1162">
        <v>0.16848871394075254</v>
      </c>
    </row>
    <row r="1163" spans="1:8" x14ac:dyDescent="0.35">
      <c r="A1163" t="str">
        <f t="shared" si="18"/>
        <v>18097390408_2025</v>
      </c>
      <c r="B1163">
        <v>18097390408</v>
      </c>
      <c r="C1163">
        <v>2025</v>
      </c>
      <c r="E1163">
        <f>-(IF(VLOOKUP(B1163,'2023 Z Scores'!$A$1:$K$309,11,FALSE)&gt;2,VLOOKUP(B1163,'2023 Z Scores'!$A$1:$K$309,10,FALSE)/VLOOKUP(B1163,'2023 Z Scores'!$A$1:$K$309,11,FALSE),"Not Enough data"))</f>
        <v>-0.52584383812218261</v>
      </c>
      <c r="F1163">
        <f>IF(VLOOKUP(A1163,'Delta Z Scores'!$A$1:$N$1541,14,FALSE)&gt;2,VLOOKUP(A1163,'Delta Z Scores'!$A$1:$N$1541,13,FALSE)/VLOOKUP(A1163,'Delta Z Scores'!$A$1:$N$1541,14,FALSE),"Not Enough Data")</f>
        <v>-0.42909273892602717</v>
      </c>
      <c r="G1163">
        <f>IF(VLOOKUP(A1163,'Forecast Z Scores'!$A$1:$N$1541,14,FALSE)&gt;2,VLOOKUP(A1163,'Forecast Z Scores'!$A$1:$N$1541,13,FALSE)/VLOOKUP(A1163,'Forecast Z Scores'!$A$1:$N$1541,14,FALSE),"Not Enough Data")</f>
        <v>0.5875654208940384</v>
      </c>
      <c r="H1163">
        <v>-0.19911597377004964</v>
      </c>
    </row>
    <row r="1164" spans="1:8" x14ac:dyDescent="0.35">
      <c r="A1164" t="str">
        <f t="shared" si="18"/>
        <v>18097390408_2026</v>
      </c>
      <c r="B1164">
        <v>18097390408</v>
      </c>
      <c r="C1164">
        <v>2026</v>
      </c>
      <c r="E1164">
        <f>-(IF(VLOOKUP(B1164,'2023 Z Scores'!$A$1:$K$309,11,FALSE)&gt;2,VLOOKUP(B1164,'2023 Z Scores'!$A$1:$K$309,10,FALSE)/VLOOKUP(B1164,'2023 Z Scores'!$A$1:$K$309,11,FALSE),"Not Enough data"))</f>
        <v>-0.52584383812218261</v>
      </c>
      <c r="F1164">
        <f>IF(VLOOKUP(A1164,'Delta Z Scores'!$A$1:$N$1541,14,FALSE)&gt;2,VLOOKUP(A1164,'Delta Z Scores'!$A$1:$N$1541,13,FALSE)/VLOOKUP(A1164,'Delta Z Scores'!$A$1:$N$1541,14,FALSE),"Not Enough Data")</f>
        <v>0.30988391753450106</v>
      </c>
      <c r="G1164">
        <f>IF(VLOOKUP(A1164,'Forecast Z Scores'!$A$1:$N$1541,14,FALSE)&gt;2,VLOOKUP(A1164,'Forecast Z Scores'!$A$1:$N$1541,13,FALSE)/VLOOKUP(A1164,'Forecast Z Scores'!$A$1:$N$1541,14,FALSE),"Not Enough Data")</f>
        <v>0.57806753165959268</v>
      </c>
      <c r="H1164">
        <v>0.16799788215160305</v>
      </c>
    </row>
    <row r="1165" spans="1:8" x14ac:dyDescent="0.35">
      <c r="A1165" t="str">
        <f t="shared" si="18"/>
        <v>18097390408_2027</v>
      </c>
      <c r="B1165">
        <v>18097390408</v>
      </c>
      <c r="C1165">
        <v>2027</v>
      </c>
      <c r="E1165">
        <f>-(IF(VLOOKUP(B1165,'2023 Z Scores'!$A$1:$K$309,11,FALSE)&gt;2,VLOOKUP(B1165,'2023 Z Scores'!$A$1:$K$309,10,FALSE)/VLOOKUP(B1165,'2023 Z Scores'!$A$1:$K$309,11,FALSE),"Not Enough data"))</f>
        <v>-0.52584383812218261</v>
      </c>
      <c r="F1165">
        <f>IF(VLOOKUP(A1165,'Delta Z Scores'!$A$1:$N$1541,14,FALSE)&gt;2,VLOOKUP(A1165,'Delta Z Scores'!$A$1:$N$1541,13,FALSE)/VLOOKUP(A1165,'Delta Z Scores'!$A$1:$N$1541,14,FALSE),"Not Enough Data")</f>
        <v>-0.23181121193786086</v>
      </c>
      <c r="G1165">
        <f>IF(VLOOKUP(A1165,'Forecast Z Scores'!$A$1:$N$1541,14,FALSE)&gt;2,VLOOKUP(A1165,'Forecast Z Scores'!$A$1:$N$1541,13,FALSE)/VLOOKUP(A1165,'Forecast Z Scores'!$A$1:$N$1541,14,FALSE),"Not Enough Data")</f>
        <v>0.54623758542260559</v>
      </c>
      <c r="H1165">
        <v>-0.11080716914382469</v>
      </c>
    </row>
    <row r="1166" spans="1:8" x14ac:dyDescent="0.35">
      <c r="A1166" t="str">
        <f t="shared" si="18"/>
        <v>18097390408_2028</v>
      </c>
      <c r="B1166">
        <v>18097390408</v>
      </c>
      <c r="C1166">
        <v>2028</v>
      </c>
      <c r="E1166">
        <f>-(IF(VLOOKUP(B1166,'2023 Z Scores'!$A$1:$K$309,11,FALSE)&gt;2,VLOOKUP(B1166,'2023 Z Scores'!$A$1:$K$309,10,FALSE)/VLOOKUP(B1166,'2023 Z Scores'!$A$1:$K$309,11,FALSE),"Not Enough data"))</f>
        <v>-0.52584383812218261</v>
      </c>
      <c r="F1166">
        <f>IF(VLOOKUP(A1166,'Delta Z Scores'!$A$1:$N$1541,14,FALSE)&gt;2,VLOOKUP(A1166,'Delta Z Scores'!$A$1:$N$1541,13,FALSE)/VLOOKUP(A1166,'Delta Z Scores'!$A$1:$N$1541,14,FALSE),"Not Enough Data")</f>
        <v>0.25596648154490764</v>
      </c>
      <c r="G1166">
        <f>IF(VLOOKUP(A1166,'Forecast Z Scores'!$A$1:$N$1541,14,FALSE)&gt;2,VLOOKUP(A1166,'Forecast Z Scores'!$A$1:$N$1541,13,FALSE)/VLOOKUP(A1166,'Forecast Z Scores'!$A$1:$N$1541,14,FALSE),"Not Enough Data")</f>
        <v>0.5107328678148082</v>
      </c>
      <c r="H1166">
        <v>0.12420549819561022</v>
      </c>
    </row>
    <row r="1167" spans="1:8" x14ac:dyDescent="0.35">
      <c r="A1167" t="str">
        <f t="shared" si="18"/>
        <v>18097390409_2024</v>
      </c>
      <c r="B1167">
        <v>18097390409</v>
      </c>
      <c r="C1167">
        <v>2024</v>
      </c>
      <c r="E1167">
        <f>-(IF(VLOOKUP(B1167,'2023 Z Scores'!$A$1:$K$309,11,FALSE)&gt;2,VLOOKUP(B1167,'2023 Z Scores'!$A$1:$K$309,10,FALSE)/VLOOKUP(B1167,'2023 Z Scores'!$A$1:$K$309,11,FALSE),"Not Enough data"))</f>
        <v>-0.78903028519515306</v>
      </c>
      <c r="F1167">
        <f>IF(VLOOKUP(A1167,'Delta Z Scores'!$A$1:$N$1541,14,FALSE)&gt;2,VLOOKUP(A1167,'Delta Z Scores'!$A$1:$N$1541,13,FALSE)/VLOOKUP(A1167,'Delta Z Scores'!$A$1:$N$1541,14,FALSE),"Not Enough Data")</f>
        <v>5.2842083574908848E-2</v>
      </c>
      <c r="G1167">
        <f>IF(VLOOKUP(A1167,'Forecast Z Scores'!$A$1:$N$1541,14,FALSE)&gt;2,VLOOKUP(A1167,'Forecast Z Scores'!$A$1:$N$1541,13,FALSE)/VLOOKUP(A1167,'Forecast Z Scores'!$A$1:$N$1541,14,FALSE),"Not Enough Data")</f>
        <v>0.57198730883131499</v>
      </c>
      <c r="H1167">
        <v>-2.7839702303505104E-2</v>
      </c>
    </row>
    <row r="1168" spans="1:8" x14ac:dyDescent="0.35">
      <c r="A1168" t="str">
        <f t="shared" si="18"/>
        <v>18097390409_2025</v>
      </c>
      <c r="B1168">
        <v>18097390409</v>
      </c>
      <c r="C1168">
        <v>2025</v>
      </c>
      <c r="E1168">
        <f>-(IF(VLOOKUP(B1168,'2023 Z Scores'!$A$1:$K$309,11,FALSE)&gt;2,VLOOKUP(B1168,'2023 Z Scores'!$A$1:$K$309,10,FALSE)/VLOOKUP(B1168,'2023 Z Scores'!$A$1:$K$309,11,FALSE),"Not Enough data"))</f>
        <v>-0.78903028519515306</v>
      </c>
      <c r="F1168">
        <f>IF(VLOOKUP(A1168,'Delta Z Scores'!$A$1:$N$1541,14,FALSE)&gt;2,VLOOKUP(A1168,'Delta Z Scores'!$A$1:$N$1541,13,FALSE)/VLOOKUP(A1168,'Delta Z Scores'!$A$1:$N$1541,14,FALSE),"Not Enough Data")</f>
        <v>-5.1048926736361522E-2</v>
      </c>
      <c r="G1168">
        <f>IF(VLOOKUP(A1168,'Forecast Z Scores'!$A$1:$N$1541,14,FALSE)&gt;2,VLOOKUP(A1168,'Forecast Z Scores'!$A$1:$N$1541,13,FALSE)/VLOOKUP(A1168,'Forecast Z Scores'!$A$1:$N$1541,14,FALSE),"Not Enough Data")</f>
        <v>0.5104697485466867</v>
      </c>
      <c r="H1168">
        <v>-9.5164597530297351E-2</v>
      </c>
    </row>
    <row r="1169" spans="1:8" x14ac:dyDescent="0.35">
      <c r="A1169" t="str">
        <f t="shared" si="18"/>
        <v>18097390409_2026</v>
      </c>
      <c r="B1169">
        <v>18097390409</v>
      </c>
      <c r="C1169">
        <v>2026</v>
      </c>
      <c r="E1169">
        <f>-(IF(VLOOKUP(B1169,'2023 Z Scores'!$A$1:$K$309,11,FALSE)&gt;2,VLOOKUP(B1169,'2023 Z Scores'!$A$1:$K$309,10,FALSE)/VLOOKUP(B1169,'2023 Z Scores'!$A$1:$K$309,11,FALSE),"Not Enough data"))</f>
        <v>-0.78903028519515306</v>
      </c>
      <c r="F1169">
        <f>IF(VLOOKUP(A1169,'Delta Z Scores'!$A$1:$N$1541,14,FALSE)&gt;2,VLOOKUP(A1169,'Delta Z Scores'!$A$1:$N$1541,13,FALSE)/VLOOKUP(A1169,'Delta Z Scores'!$A$1:$N$1541,14,FALSE),"Not Enough Data")</f>
        <v>0.7066517701235</v>
      </c>
      <c r="G1169">
        <f>IF(VLOOKUP(A1169,'Forecast Z Scores'!$A$1:$N$1541,14,FALSE)&gt;2,VLOOKUP(A1169,'Forecast Z Scores'!$A$1:$N$1541,13,FALSE)/VLOOKUP(A1169,'Forecast Z Scores'!$A$1:$N$1541,14,FALSE),"Not Enough Data")</f>
        <v>0.58208708097449757</v>
      </c>
      <c r="H1169">
        <v>0.30159008400658616</v>
      </c>
    </row>
    <row r="1170" spans="1:8" x14ac:dyDescent="0.35">
      <c r="A1170" t="str">
        <f t="shared" si="18"/>
        <v>18097390409_2027</v>
      </c>
      <c r="B1170">
        <v>18097390409</v>
      </c>
      <c r="C1170">
        <v>2027</v>
      </c>
      <c r="E1170">
        <f>-(IF(VLOOKUP(B1170,'2023 Z Scores'!$A$1:$K$309,11,FALSE)&gt;2,VLOOKUP(B1170,'2023 Z Scores'!$A$1:$K$309,10,FALSE)/VLOOKUP(B1170,'2023 Z Scores'!$A$1:$K$309,11,FALSE),"Not Enough data"))</f>
        <v>-0.78903028519515306</v>
      </c>
      <c r="F1170">
        <f>IF(VLOOKUP(A1170,'Delta Z Scores'!$A$1:$N$1541,14,FALSE)&gt;2,VLOOKUP(A1170,'Delta Z Scores'!$A$1:$N$1541,13,FALSE)/VLOOKUP(A1170,'Delta Z Scores'!$A$1:$N$1541,14,FALSE),"Not Enough Data")</f>
        <v>0.17670971886236109</v>
      </c>
      <c r="G1170">
        <f>IF(VLOOKUP(A1170,'Forecast Z Scores'!$A$1:$N$1541,14,FALSE)&gt;2,VLOOKUP(A1170,'Forecast Z Scores'!$A$1:$N$1541,13,FALSE)/VLOOKUP(A1170,'Forecast Z Scores'!$A$1:$N$1541,14,FALSE),"Not Enough Data")</f>
        <v>0.58836583416600607</v>
      </c>
      <c r="H1170">
        <v>3.8188746673893798E-2</v>
      </c>
    </row>
    <row r="1171" spans="1:8" x14ac:dyDescent="0.35">
      <c r="A1171" t="str">
        <f t="shared" si="18"/>
        <v>18097390409_2028</v>
      </c>
      <c r="B1171">
        <v>18097390409</v>
      </c>
      <c r="C1171">
        <v>2028</v>
      </c>
      <c r="E1171">
        <f>-(IF(VLOOKUP(B1171,'2023 Z Scores'!$A$1:$K$309,11,FALSE)&gt;2,VLOOKUP(B1171,'2023 Z Scores'!$A$1:$K$309,10,FALSE)/VLOOKUP(B1171,'2023 Z Scores'!$A$1:$K$309,11,FALSE),"Not Enough data"))</f>
        <v>-0.78903028519515306</v>
      </c>
      <c r="F1171">
        <f>IF(VLOOKUP(A1171,'Delta Z Scores'!$A$1:$N$1541,14,FALSE)&gt;2,VLOOKUP(A1171,'Delta Z Scores'!$A$1:$N$1541,13,FALSE)/VLOOKUP(A1171,'Delta Z Scores'!$A$1:$N$1541,14,FALSE),"Not Enough Data")</f>
        <v>0.75363986209173395</v>
      </c>
      <c r="G1171">
        <f>IF(VLOOKUP(A1171,'Forecast Z Scores'!$A$1:$N$1541,14,FALSE)&gt;2,VLOOKUP(A1171,'Forecast Z Scores'!$A$1:$N$1541,13,FALSE)/VLOOKUP(A1171,'Forecast Z Scores'!$A$1:$N$1541,14,FALSE),"Not Enough Data")</f>
        <v>0.66978820572000963</v>
      </c>
      <c r="H1171">
        <v>0.34700941117708106</v>
      </c>
    </row>
    <row r="1172" spans="1:8" x14ac:dyDescent="0.35">
      <c r="A1172" t="str">
        <f t="shared" si="18"/>
        <v>18097390410_2024</v>
      </c>
      <c r="B1172">
        <v>18097390410</v>
      </c>
      <c r="C1172">
        <v>2024</v>
      </c>
      <c r="E1172">
        <f>-(IF(VLOOKUP(B1172,'2023 Z Scores'!$A$1:$K$309,11,FALSE)&gt;2,VLOOKUP(B1172,'2023 Z Scores'!$A$1:$K$309,10,FALSE)/VLOOKUP(B1172,'2023 Z Scores'!$A$1:$K$309,11,FALSE),"Not Enough data"))</f>
        <v>-0.76828673433022943</v>
      </c>
      <c r="F1172">
        <f>IF(VLOOKUP(A1172,'Delta Z Scores'!$A$1:$N$1541,14,FALSE)&gt;2,VLOOKUP(A1172,'Delta Z Scores'!$A$1:$N$1541,13,FALSE)/VLOOKUP(A1172,'Delta Z Scores'!$A$1:$N$1541,14,FALSE),"Not Enough Data")</f>
        <v>4.2549205758681874E-2</v>
      </c>
      <c r="G1172">
        <f>IF(VLOOKUP(A1172,'Forecast Z Scores'!$A$1:$N$1541,14,FALSE)&gt;2,VLOOKUP(A1172,'Forecast Z Scores'!$A$1:$N$1541,13,FALSE)/VLOOKUP(A1172,'Forecast Z Scores'!$A$1:$N$1541,14,FALSE),"Not Enough Data")</f>
        <v>0.36233867193321312</v>
      </c>
      <c r="H1172">
        <v>-8.021241271991314E-2</v>
      </c>
    </row>
    <row r="1173" spans="1:8" x14ac:dyDescent="0.35">
      <c r="A1173" t="str">
        <f t="shared" si="18"/>
        <v>18097390410_2025</v>
      </c>
      <c r="B1173">
        <v>18097390410</v>
      </c>
      <c r="C1173">
        <v>2025</v>
      </c>
      <c r="E1173">
        <f>-(IF(VLOOKUP(B1173,'2023 Z Scores'!$A$1:$K$309,11,FALSE)&gt;2,VLOOKUP(B1173,'2023 Z Scores'!$A$1:$K$309,10,FALSE)/VLOOKUP(B1173,'2023 Z Scores'!$A$1:$K$309,11,FALSE),"Not Enough data"))</f>
        <v>-0.76828673433022943</v>
      </c>
      <c r="F1173">
        <f>IF(VLOOKUP(A1173,'Delta Z Scores'!$A$1:$N$1541,14,FALSE)&gt;2,VLOOKUP(A1173,'Delta Z Scores'!$A$1:$N$1541,13,FALSE)/VLOOKUP(A1173,'Delta Z Scores'!$A$1:$N$1541,14,FALSE),"Not Enough Data")</f>
        <v>5.2096359436626015E-2</v>
      </c>
      <c r="G1173">
        <f>IF(VLOOKUP(A1173,'Forecast Z Scores'!$A$1:$N$1541,14,FALSE)&gt;2,VLOOKUP(A1173,'Forecast Z Scores'!$A$1:$N$1541,13,FALSE)/VLOOKUP(A1173,'Forecast Z Scores'!$A$1:$N$1541,14,FALSE),"Not Enough Data")</f>
        <v>0.3979429567299857</v>
      </c>
      <c r="H1173">
        <v>-6.6537764681747935E-2</v>
      </c>
    </row>
    <row r="1174" spans="1:8" x14ac:dyDescent="0.35">
      <c r="A1174" t="str">
        <f t="shared" si="18"/>
        <v>18097390410_2026</v>
      </c>
      <c r="B1174">
        <v>18097390410</v>
      </c>
      <c r="C1174">
        <v>2026</v>
      </c>
      <c r="E1174">
        <f>-(IF(VLOOKUP(B1174,'2023 Z Scores'!$A$1:$K$309,11,FALSE)&gt;2,VLOOKUP(B1174,'2023 Z Scores'!$A$1:$K$309,10,FALSE)/VLOOKUP(B1174,'2023 Z Scores'!$A$1:$K$309,11,FALSE),"Not Enough data"))</f>
        <v>-0.76828673433022943</v>
      </c>
      <c r="F1174">
        <f>IF(VLOOKUP(A1174,'Delta Z Scores'!$A$1:$N$1541,14,FALSE)&gt;2,VLOOKUP(A1174,'Delta Z Scores'!$A$1:$N$1541,13,FALSE)/VLOOKUP(A1174,'Delta Z Scores'!$A$1:$N$1541,14,FALSE),"Not Enough Data")</f>
        <v>-0.10568197157292565</v>
      </c>
      <c r="G1174">
        <f>IF(VLOOKUP(A1174,'Forecast Z Scores'!$A$1:$N$1541,14,FALSE)&gt;2,VLOOKUP(A1174,'Forecast Z Scores'!$A$1:$N$1541,13,FALSE)/VLOOKUP(A1174,'Forecast Z Scores'!$A$1:$N$1541,14,FALSE),"Not Enough Data")</f>
        <v>0.36228502343599756</v>
      </c>
      <c r="H1174">
        <v>-0.15434141351002079</v>
      </c>
    </row>
    <row r="1175" spans="1:8" x14ac:dyDescent="0.35">
      <c r="A1175" t="str">
        <f t="shared" si="18"/>
        <v>18097390410_2027</v>
      </c>
      <c r="B1175">
        <v>18097390410</v>
      </c>
      <c r="C1175">
        <v>2027</v>
      </c>
      <c r="E1175">
        <f>-(IF(VLOOKUP(B1175,'2023 Z Scores'!$A$1:$K$309,11,FALSE)&gt;2,VLOOKUP(B1175,'2023 Z Scores'!$A$1:$K$309,10,FALSE)/VLOOKUP(B1175,'2023 Z Scores'!$A$1:$K$309,11,FALSE),"Not Enough data"))</f>
        <v>-0.76828673433022943</v>
      </c>
      <c r="F1175">
        <f>IF(VLOOKUP(A1175,'Delta Z Scores'!$A$1:$N$1541,14,FALSE)&gt;2,VLOOKUP(A1175,'Delta Z Scores'!$A$1:$N$1541,13,FALSE)/VLOOKUP(A1175,'Delta Z Scores'!$A$1:$N$1541,14,FALSE),"Not Enough Data")</f>
        <v>0.26510505176120919</v>
      </c>
      <c r="G1175">
        <f>IF(VLOOKUP(A1175,'Forecast Z Scores'!$A$1:$N$1541,14,FALSE)&gt;2,VLOOKUP(A1175,'Forecast Z Scores'!$A$1:$N$1541,13,FALSE)/VLOOKUP(A1175,'Forecast Z Scores'!$A$1:$N$1541,14,FALSE),"Not Enough Data")</f>
        <v>0.40503717843496451</v>
      </c>
      <c r="H1175">
        <v>4.1740136906788378E-2</v>
      </c>
    </row>
    <row r="1176" spans="1:8" x14ac:dyDescent="0.35">
      <c r="A1176" t="str">
        <f t="shared" si="18"/>
        <v>18097390410_2028</v>
      </c>
      <c r="B1176">
        <v>18097390410</v>
      </c>
      <c r="C1176">
        <v>2028</v>
      </c>
      <c r="E1176">
        <f>-(IF(VLOOKUP(B1176,'2023 Z Scores'!$A$1:$K$309,11,FALSE)&gt;2,VLOOKUP(B1176,'2023 Z Scores'!$A$1:$K$309,10,FALSE)/VLOOKUP(B1176,'2023 Z Scores'!$A$1:$K$309,11,FALSE),"Not Enough data"))</f>
        <v>-0.76828673433022943</v>
      </c>
      <c r="F1176">
        <f>IF(VLOOKUP(A1176,'Delta Z Scores'!$A$1:$N$1541,14,FALSE)&gt;2,VLOOKUP(A1176,'Delta Z Scores'!$A$1:$N$1541,13,FALSE)/VLOOKUP(A1176,'Delta Z Scores'!$A$1:$N$1541,14,FALSE),"Not Enough Data")</f>
        <v>-0.18056454984397899</v>
      </c>
      <c r="G1176">
        <f>IF(VLOOKUP(A1176,'Forecast Z Scores'!$A$1:$N$1541,14,FALSE)&gt;2,VLOOKUP(A1176,'Forecast Z Scores'!$A$1:$N$1541,13,FALSE)/VLOOKUP(A1176,'Forecast Z Scores'!$A$1:$N$1541,14,FALSE),"Not Enough Data")</f>
        <v>0.36141367860213008</v>
      </c>
      <c r="H1176">
        <v>-0.19200053885401433</v>
      </c>
    </row>
    <row r="1177" spans="1:8" x14ac:dyDescent="0.35">
      <c r="A1177" t="str">
        <f t="shared" si="18"/>
        <v>18097390411_2024</v>
      </c>
      <c r="B1177">
        <v>18097390411</v>
      </c>
      <c r="C1177">
        <v>2024</v>
      </c>
      <c r="E1177">
        <f>-(IF(VLOOKUP(B1177,'2023 Z Scores'!$A$1:$K$309,11,FALSE)&gt;2,VLOOKUP(B1177,'2023 Z Scores'!$A$1:$K$309,10,FALSE)/VLOOKUP(B1177,'2023 Z Scores'!$A$1:$K$309,11,FALSE),"Not Enough data"))</f>
        <v>-0.24358251406052345</v>
      </c>
      <c r="F1177">
        <f>IF(VLOOKUP(A1177,'Delta Z Scores'!$A$1:$N$1541,14,FALSE)&gt;2,VLOOKUP(A1177,'Delta Z Scores'!$A$1:$N$1541,13,FALSE)/VLOOKUP(A1177,'Delta Z Scores'!$A$1:$N$1541,14,FALSE),"Not Enough Data")</f>
        <v>-0.1177314833286827</v>
      </c>
      <c r="G1177">
        <f>IF(VLOOKUP(A1177,'Forecast Z Scores'!$A$1:$N$1541,14,FALSE)&gt;2,VLOOKUP(A1177,'Forecast Z Scores'!$A$1:$N$1541,13,FALSE)/VLOOKUP(A1177,'Forecast Z Scores'!$A$1:$N$1541,14,FALSE),"Not Enough Data")</f>
        <v>0.1017964064954405</v>
      </c>
      <c r="H1177">
        <v>-9.4312268555612089E-2</v>
      </c>
    </row>
    <row r="1178" spans="1:8" x14ac:dyDescent="0.35">
      <c r="A1178" t="str">
        <f t="shared" si="18"/>
        <v>18097390411_2025</v>
      </c>
      <c r="B1178">
        <v>18097390411</v>
      </c>
      <c r="C1178">
        <v>2025</v>
      </c>
      <c r="E1178">
        <f>-(IF(VLOOKUP(B1178,'2023 Z Scores'!$A$1:$K$309,11,FALSE)&gt;2,VLOOKUP(B1178,'2023 Z Scores'!$A$1:$K$309,10,FALSE)/VLOOKUP(B1178,'2023 Z Scores'!$A$1:$K$309,11,FALSE),"Not Enough data"))</f>
        <v>-0.24358251406052345</v>
      </c>
      <c r="F1178">
        <f>IF(VLOOKUP(A1178,'Delta Z Scores'!$A$1:$N$1541,14,FALSE)&gt;2,VLOOKUP(A1178,'Delta Z Scores'!$A$1:$N$1541,13,FALSE)/VLOOKUP(A1178,'Delta Z Scores'!$A$1:$N$1541,14,FALSE),"Not Enough Data")</f>
        <v>-0.61711899883178301</v>
      </c>
      <c r="G1178">
        <f>IF(VLOOKUP(A1178,'Forecast Z Scores'!$A$1:$N$1541,14,FALSE)&gt;2,VLOOKUP(A1178,'Forecast Z Scores'!$A$1:$N$1541,13,FALSE)/VLOOKUP(A1178,'Forecast Z Scores'!$A$1:$N$1541,14,FALSE),"Not Enough Data")</f>
        <v>3.7796034420358185E-2</v>
      </c>
      <c r="H1178">
        <v>-0.36000611932593279</v>
      </c>
    </row>
    <row r="1179" spans="1:8" x14ac:dyDescent="0.35">
      <c r="A1179" t="str">
        <f t="shared" si="18"/>
        <v>18097390411_2026</v>
      </c>
      <c r="B1179">
        <v>18097390411</v>
      </c>
      <c r="C1179">
        <v>2026</v>
      </c>
      <c r="E1179">
        <f>-(IF(VLOOKUP(B1179,'2023 Z Scores'!$A$1:$K$309,11,FALSE)&gt;2,VLOOKUP(B1179,'2023 Z Scores'!$A$1:$K$309,10,FALSE)/VLOOKUP(B1179,'2023 Z Scores'!$A$1:$K$309,11,FALSE),"Not Enough data"))</f>
        <v>-0.24358251406052345</v>
      </c>
      <c r="F1179">
        <f>IF(VLOOKUP(A1179,'Delta Z Scores'!$A$1:$N$1541,14,FALSE)&gt;2,VLOOKUP(A1179,'Delta Z Scores'!$A$1:$N$1541,13,FALSE)/VLOOKUP(A1179,'Delta Z Scores'!$A$1:$N$1541,14,FALSE),"Not Enough Data")</f>
        <v>-0.25451823209147673</v>
      </c>
      <c r="G1179">
        <f>IF(VLOOKUP(A1179,'Forecast Z Scores'!$A$1:$N$1541,14,FALSE)&gt;2,VLOOKUP(A1179,'Forecast Z Scores'!$A$1:$N$1541,13,FALSE)/VLOOKUP(A1179,'Forecast Z Scores'!$A$1:$N$1541,14,FALSE),"Not Enough Data")</f>
        <v>-1.4204707030633545E-2</v>
      </c>
      <c r="H1179">
        <v>-0.19170592131852762</v>
      </c>
    </row>
    <row r="1180" spans="1:8" x14ac:dyDescent="0.35">
      <c r="A1180" t="str">
        <f t="shared" si="18"/>
        <v>18097390411_2027</v>
      </c>
      <c r="B1180">
        <v>18097390411</v>
      </c>
      <c r="C1180">
        <v>2027</v>
      </c>
      <c r="E1180">
        <f>-(IF(VLOOKUP(B1180,'2023 Z Scores'!$A$1:$K$309,11,FALSE)&gt;2,VLOOKUP(B1180,'2023 Z Scores'!$A$1:$K$309,10,FALSE)/VLOOKUP(B1180,'2023 Z Scores'!$A$1:$K$309,11,FALSE),"Not Enough data"))</f>
        <v>-0.24358251406052345</v>
      </c>
      <c r="F1180">
        <f>IF(VLOOKUP(A1180,'Delta Z Scores'!$A$1:$N$1541,14,FALSE)&gt;2,VLOOKUP(A1180,'Delta Z Scores'!$A$1:$N$1541,13,FALSE)/VLOOKUP(A1180,'Delta Z Scores'!$A$1:$N$1541,14,FALSE),"Not Enough Data")</f>
        <v>-0.44979830196228365</v>
      </c>
      <c r="G1180">
        <f>IF(VLOOKUP(A1180,'Forecast Z Scores'!$A$1:$N$1541,14,FALSE)&gt;2,VLOOKUP(A1180,'Forecast Z Scores'!$A$1:$N$1541,13,FALSE)/VLOOKUP(A1180,'Forecast Z Scores'!$A$1:$N$1541,14,FALSE),"Not Enough Data")</f>
        <v>-4.3925844245909305E-2</v>
      </c>
      <c r="H1180">
        <v>-0.29677624055774998</v>
      </c>
    </row>
    <row r="1181" spans="1:8" x14ac:dyDescent="0.35">
      <c r="A1181" t="str">
        <f t="shared" si="18"/>
        <v>18097390411_2028</v>
      </c>
      <c r="B1181">
        <v>18097390411</v>
      </c>
      <c r="C1181">
        <v>2028</v>
      </c>
      <c r="E1181">
        <f>-(IF(VLOOKUP(B1181,'2023 Z Scores'!$A$1:$K$309,11,FALSE)&gt;2,VLOOKUP(B1181,'2023 Z Scores'!$A$1:$K$309,10,FALSE)/VLOOKUP(B1181,'2023 Z Scores'!$A$1:$K$309,11,FALSE),"Not Enough data"))</f>
        <v>-0.24358251406052345</v>
      </c>
      <c r="F1181">
        <f>IF(VLOOKUP(A1181,'Delta Z Scores'!$A$1:$N$1541,14,FALSE)&gt;2,VLOOKUP(A1181,'Delta Z Scores'!$A$1:$N$1541,13,FALSE)/VLOOKUP(A1181,'Delta Z Scores'!$A$1:$N$1541,14,FALSE),"Not Enough Data")</f>
        <v>-0.3262687175104923</v>
      </c>
      <c r="G1181">
        <f>IF(VLOOKUP(A1181,'Forecast Z Scores'!$A$1:$N$1541,14,FALSE)&gt;2,VLOOKUP(A1181,'Forecast Z Scores'!$A$1:$N$1541,13,FALSE)/VLOOKUP(A1181,'Forecast Z Scores'!$A$1:$N$1541,14,FALSE),"Not Enough Data")</f>
        <v>-0.10544734515442689</v>
      </c>
      <c r="H1181">
        <v>-0.25039182355898371</v>
      </c>
    </row>
    <row r="1182" spans="1:8" x14ac:dyDescent="0.35">
      <c r="A1182" t="str">
        <f t="shared" si="18"/>
        <v>18097390500_2024</v>
      </c>
      <c r="B1182">
        <v>18097390500</v>
      </c>
      <c r="C1182">
        <v>2024</v>
      </c>
      <c r="E1182">
        <f>-(IF(VLOOKUP(B1182,'2023 Z Scores'!$A$1:$K$309,11,FALSE)&gt;2,VLOOKUP(B1182,'2023 Z Scores'!$A$1:$K$309,10,FALSE)/VLOOKUP(B1182,'2023 Z Scores'!$A$1:$K$309,11,FALSE),"Not Enough data"))</f>
        <v>0.76063439746055739</v>
      </c>
      <c r="F1182">
        <f>IF(VLOOKUP(A1182,'Delta Z Scores'!$A$1:$N$1541,14,FALSE)&gt;2,VLOOKUP(A1182,'Delta Z Scores'!$A$1:$N$1541,13,FALSE)/VLOOKUP(A1182,'Delta Z Scores'!$A$1:$N$1541,14,FALSE),"Not Enough Data")</f>
        <v>-1.2051682894845408</v>
      </c>
      <c r="G1182">
        <f>IF(VLOOKUP(A1182,'Forecast Z Scores'!$A$1:$N$1541,14,FALSE)&gt;2,VLOOKUP(A1182,'Forecast Z Scores'!$A$1:$N$1541,13,FALSE)/VLOOKUP(A1182,'Forecast Z Scores'!$A$1:$N$1541,14,FALSE),"Not Enough Data")</f>
        <v>-0.65650910878971136</v>
      </c>
      <c r="H1182">
        <v>-0.57655282257455887</v>
      </c>
    </row>
    <row r="1183" spans="1:8" x14ac:dyDescent="0.35">
      <c r="A1183" t="str">
        <f t="shared" si="18"/>
        <v>18097390500_2025</v>
      </c>
      <c r="B1183">
        <v>18097390500</v>
      </c>
      <c r="C1183">
        <v>2025</v>
      </c>
      <c r="E1183">
        <f>-(IF(VLOOKUP(B1183,'2023 Z Scores'!$A$1:$K$309,11,FALSE)&gt;2,VLOOKUP(B1183,'2023 Z Scores'!$A$1:$K$309,10,FALSE)/VLOOKUP(B1183,'2023 Z Scores'!$A$1:$K$309,11,FALSE),"Not Enough data"))</f>
        <v>0.76063439746055739</v>
      </c>
      <c r="F1183">
        <f>IF(VLOOKUP(A1183,'Delta Z Scores'!$A$1:$N$1541,14,FALSE)&gt;2,VLOOKUP(A1183,'Delta Z Scores'!$A$1:$N$1541,13,FALSE)/VLOOKUP(A1183,'Delta Z Scores'!$A$1:$N$1541,14,FALSE),"Not Enough Data")</f>
        <v>0.2259225549288614</v>
      </c>
      <c r="G1183">
        <f>IF(VLOOKUP(A1183,'Forecast Z Scores'!$A$1:$N$1541,14,FALSE)&gt;2,VLOOKUP(A1183,'Forecast Z Scores'!$A$1:$N$1541,13,FALSE)/VLOOKUP(A1183,'Forecast Z Scores'!$A$1:$N$1541,14,FALSE),"Not Enough Data")</f>
        <v>-0.62217355428924581</v>
      </c>
      <c r="H1183">
        <v>0.14757648825725861</v>
      </c>
    </row>
    <row r="1184" spans="1:8" x14ac:dyDescent="0.35">
      <c r="A1184" t="str">
        <f t="shared" si="18"/>
        <v>18097390500_2026</v>
      </c>
      <c r="B1184">
        <v>18097390500</v>
      </c>
      <c r="C1184">
        <v>2026</v>
      </c>
      <c r="E1184">
        <f>-(IF(VLOOKUP(B1184,'2023 Z Scores'!$A$1:$K$309,11,FALSE)&gt;2,VLOOKUP(B1184,'2023 Z Scores'!$A$1:$K$309,10,FALSE)/VLOOKUP(B1184,'2023 Z Scores'!$A$1:$K$309,11,FALSE),"Not Enough data"))</f>
        <v>0.76063439746055739</v>
      </c>
      <c r="F1184">
        <f>IF(VLOOKUP(A1184,'Delta Z Scores'!$A$1:$N$1541,14,FALSE)&gt;2,VLOOKUP(A1184,'Delta Z Scores'!$A$1:$N$1541,13,FALSE)/VLOOKUP(A1184,'Delta Z Scores'!$A$1:$N$1541,14,FALSE),"Not Enough Data")</f>
        <v>3.3320924681933595E-2</v>
      </c>
      <c r="G1184">
        <f>IF(VLOOKUP(A1184,'Forecast Z Scores'!$A$1:$N$1541,14,FALSE)&gt;2,VLOOKUP(A1184,'Forecast Z Scores'!$A$1:$N$1541,13,FALSE)/VLOOKUP(A1184,'Forecast Z Scores'!$A$1:$N$1541,14,FALSE),"Not Enough Data")</f>
        <v>-0.60324404408774701</v>
      </c>
      <c r="H1184">
        <v>5.6008050684169391E-2</v>
      </c>
    </row>
    <row r="1185" spans="1:8" x14ac:dyDescent="0.35">
      <c r="A1185" t="str">
        <f t="shared" si="18"/>
        <v>18097390500_2027</v>
      </c>
      <c r="B1185">
        <v>18097390500</v>
      </c>
      <c r="C1185">
        <v>2027</v>
      </c>
      <c r="E1185">
        <f>-(IF(VLOOKUP(B1185,'2023 Z Scores'!$A$1:$K$309,11,FALSE)&gt;2,VLOOKUP(B1185,'2023 Z Scores'!$A$1:$K$309,10,FALSE)/VLOOKUP(B1185,'2023 Z Scores'!$A$1:$K$309,11,FALSE),"Not Enough data"))</f>
        <v>0.76063439746055739</v>
      </c>
      <c r="F1185">
        <f>IF(VLOOKUP(A1185,'Delta Z Scores'!$A$1:$N$1541,14,FALSE)&gt;2,VLOOKUP(A1185,'Delta Z Scores'!$A$1:$N$1541,13,FALSE)/VLOOKUP(A1185,'Delta Z Scores'!$A$1:$N$1541,14,FALSE),"Not Enough Data")</f>
        <v>0.13985341353933561</v>
      </c>
      <c r="G1185">
        <f>IF(VLOOKUP(A1185,'Forecast Z Scores'!$A$1:$N$1541,14,FALSE)&gt;2,VLOOKUP(A1185,'Forecast Z Scores'!$A$1:$N$1541,13,FALSE)/VLOOKUP(A1185,'Forecast Z Scores'!$A$1:$N$1541,14,FALSE),"Not Enough Data")</f>
        <v>-0.57481972427401895</v>
      </c>
      <c r="H1185">
        <v>0.11638037506630242</v>
      </c>
    </row>
    <row r="1186" spans="1:8" x14ac:dyDescent="0.35">
      <c r="A1186" t="str">
        <f t="shared" si="18"/>
        <v>18097390500_2028</v>
      </c>
      <c r="B1186">
        <v>18097390500</v>
      </c>
      <c r="C1186">
        <v>2028</v>
      </c>
      <c r="E1186">
        <f>-(IF(VLOOKUP(B1186,'2023 Z Scores'!$A$1:$K$309,11,FALSE)&gt;2,VLOOKUP(B1186,'2023 Z Scores'!$A$1:$K$309,10,FALSE)/VLOOKUP(B1186,'2023 Z Scores'!$A$1:$K$309,11,FALSE),"Not Enough data"))</f>
        <v>0.76063439746055739</v>
      </c>
      <c r="F1186">
        <f>IF(VLOOKUP(A1186,'Delta Z Scores'!$A$1:$N$1541,14,FALSE)&gt;2,VLOOKUP(A1186,'Delta Z Scores'!$A$1:$N$1541,13,FALSE)/VLOOKUP(A1186,'Delta Z Scores'!$A$1:$N$1541,14,FALSE),"Not Enough Data")</f>
        <v>2.5164629303417337E-2</v>
      </c>
      <c r="G1186">
        <f>IF(VLOOKUP(A1186,'Forecast Z Scores'!$A$1:$N$1541,14,FALSE)&gt;2,VLOOKUP(A1186,'Forecast Z Scores'!$A$1:$N$1541,13,FALSE)/VLOOKUP(A1186,'Forecast Z Scores'!$A$1:$N$1541,14,FALSE),"Not Enough Data")</f>
        <v>-0.55145745296841431</v>
      </c>
      <c r="H1186">
        <v>6.487655077474444E-2</v>
      </c>
    </row>
    <row r="1187" spans="1:8" x14ac:dyDescent="0.35">
      <c r="A1187" t="str">
        <f t="shared" si="18"/>
        <v>18097390601_2024</v>
      </c>
      <c r="B1187">
        <v>18097390601</v>
      </c>
      <c r="C1187">
        <v>2024</v>
      </c>
      <c r="E1187">
        <f>-(IF(VLOOKUP(B1187,'2023 Z Scores'!$A$1:$K$309,11,FALSE)&gt;2,VLOOKUP(B1187,'2023 Z Scores'!$A$1:$K$309,10,FALSE)/VLOOKUP(B1187,'2023 Z Scores'!$A$1:$K$309,11,FALSE),"Not Enough data"))</f>
        <v>-8.1758999681793912E-2</v>
      </c>
      <c r="F1187">
        <f>IF(VLOOKUP(A1187,'Delta Z Scores'!$A$1:$N$1541,14,FALSE)&gt;2,VLOOKUP(A1187,'Delta Z Scores'!$A$1:$N$1541,13,FALSE)/VLOOKUP(A1187,'Delta Z Scores'!$A$1:$N$1541,14,FALSE),"Not Enough Data")</f>
        <v>0.65024033748928101</v>
      </c>
      <c r="G1187">
        <f>IF(VLOOKUP(A1187,'Forecast Z Scores'!$A$1:$N$1541,14,FALSE)&gt;2,VLOOKUP(A1187,'Forecast Z Scores'!$A$1:$N$1541,13,FALSE)/VLOOKUP(A1187,'Forecast Z Scores'!$A$1:$N$1541,14,FALSE),"Not Enough Data")</f>
        <v>0.28189343966346764</v>
      </c>
      <c r="H1187">
        <v>0.3751537787400589</v>
      </c>
    </row>
    <row r="1188" spans="1:8" x14ac:dyDescent="0.35">
      <c r="A1188" t="str">
        <f t="shared" si="18"/>
        <v>18097390601_2025</v>
      </c>
      <c r="B1188">
        <v>18097390601</v>
      </c>
      <c r="C1188">
        <v>2025</v>
      </c>
      <c r="E1188">
        <f>-(IF(VLOOKUP(B1188,'2023 Z Scores'!$A$1:$K$309,11,FALSE)&gt;2,VLOOKUP(B1188,'2023 Z Scores'!$A$1:$K$309,10,FALSE)/VLOOKUP(B1188,'2023 Z Scores'!$A$1:$K$309,11,FALSE),"Not Enough data"))</f>
        <v>-8.1758999681793912E-2</v>
      </c>
      <c r="F1188">
        <f>IF(VLOOKUP(A1188,'Delta Z Scores'!$A$1:$N$1541,14,FALSE)&gt;2,VLOOKUP(A1188,'Delta Z Scores'!$A$1:$N$1541,13,FALSE)/VLOOKUP(A1188,'Delta Z Scores'!$A$1:$N$1541,14,FALSE),"Not Enough Data")</f>
        <v>0.24762507913737544</v>
      </c>
      <c r="G1188">
        <f>IF(VLOOKUP(A1188,'Forecast Z Scores'!$A$1:$N$1541,14,FALSE)&gt;2,VLOOKUP(A1188,'Forecast Z Scores'!$A$1:$N$1541,13,FALSE)/VLOOKUP(A1188,'Forecast Z Scores'!$A$1:$N$1541,14,FALSE),"Not Enough Data")</f>
        <v>0.32058502900721708</v>
      </c>
      <c r="H1188">
        <v>0.18351904690004353</v>
      </c>
    </row>
    <row r="1189" spans="1:8" x14ac:dyDescent="0.35">
      <c r="A1189" t="str">
        <f t="shared" si="18"/>
        <v>18097390601_2026</v>
      </c>
      <c r="B1189">
        <v>18097390601</v>
      </c>
      <c r="C1189">
        <v>2026</v>
      </c>
      <c r="E1189">
        <f>-(IF(VLOOKUP(B1189,'2023 Z Scores'!$A$1:$K$309,11,FALSE)&gt;2,VLOOKUP(B1189,'2023 Z Scores'!$A$1:$K$309,10,FALSE)/VLOOKUP(B1189,'2023 Z Scores'!$A$1:$K$309,11,FALSE),"Not Enough data"))</f>
        <v>-8.1758999681793912E-2</v>
      </c>
      <c r="F1189">
        <f>IF(VLOOKUP(A1189,'Delta Z Scores'!$A$1:$N$1541,14,FALSE)&gt;2,VLOOKUP(A1189,'Delta Z Scores'!$A$1:$N$1541,13,FALSE)/VLOOKUP(A1189,'Delta Z Scores'!$A$1:$N$1541,14,FALSE),"Not Enough Data")</f>
        <v>0.42287985729644945</v>
      </c>
      <c r="G1189">
        <f>IF(VLOOKUP(A1189,'Forecast Z Scores'!$A$1:$N$1541,14,FALSE)&gt;2,VLOOKUP(A1189,'Forecast Z Scores'!$A$1:$N$1541,13,FALSE)/VLOOKUP(A1189,'Forecast Z Scores'!$A$1:$N$1541,14,FALSE),"Not Enough Data")</f>
        <v>0.40342870430470146</v>
      </c>
      <c r="H1189">
        <v>0.29185735480395159</v>
      </c>
    </row>
    <row r="1190" spans="1:8" x14ac:dyDescent="0.35">
      <c r="A1190" t="str">
        <f t="shared" si="18"/>
        <v>18097390601_2027</v>
      </c>
      <c r="B1190">
        <v>18097390601</v>
      </c>
      <c r="C1190">
        <v>2027</v>
      </c>
      <c r="E1190">
        <f>-(IF(VLOOKUP(B1190,'2023 Z Scores'!$A$1:$K$309,11,FALSE)&gt;2,VLOOKUP(B1190,'2023 Z Scores'!$A$1:$K$309,10,FALSE)/VLOOKUP(B1190,'2023 Z Scores'!$A$1:$K$309,11,FALSE),"Not Enough data"))</f>
        <v>-8.1758999681793912E-2</v>
      </c>
      <c r="F1190">
        <f>IF(VLOOKUP(A1190,'Delta Z Scores'!$A$1:$N$1541,14,FALSE)&gt;2,VLOOKUP(A1190,'Delta Z Scores'!$A$1:$N$1541,13,FALSE)/VLOOKUP(A1190,'Delta Z Scores'!$A$1:$N$1541,14,FALSE),"Not Enough Data")</f>
        <v>4.5222975188573065E-2</v>
      </c>
      <c r="G1190">
        <f>IF(VLOOKUP(A1190,'Forecast Z Scores'!$A$1:$N$1541,14,FALSE)&gt;2,VLOOKUP(A1190,'Forecast Z Scores'!$A$1:$N$1541,13,FALSE)/VLOOKUP(A1190,'Forecast Z Scores'!$A$1:$N$1541,14,FALSE),"Not Enough Data")</f>
        <v>0.38471834271247651</v>
      </c>
      <c r="H1190">
        <v>9.835132335195719E-2</v>
      </c>
    </row>
    <row r="1191" spans="1:8" x14ac:dyDescent="0.35">
      <c r="A1191" t="str">
        <f t="shared" si="18"/>
        <v>18097390601_2028</v>
      </c>
      <c r="B1191">
        <v>18097390601</v>
      </c>
      <c r="C1191">
        <v>2028</v>
      </c>
      <c r="E1191">
        <f>-(IF(VLOOKUP(B1191,'2023 Z Scores'!$A$1:$K$309,11,FALSE)&gt;2,VLOOKUP(B1191,'2023 Z Scores'!$A$1:$K$309,10,FALSE)/VLOOKUP(B1191,'2023 Z Scores'!$A$1:$K$309,11,FALSE),"Not Enough data"))</f>
        <v>-8.1758999681793912E-2</v>
      </c>
      <c r="F1191">
        <f>IF(VLOOKUP(A1191,'Delta Z Scores'!$A$1:$N$1541,14,FALSE)&gt;2,VLOOKUP(A1191,'Delta Z Scores'!$A$1:$N$1541,13,FALSE)/VLOOKUP(A1191,'Delta Z Scores'!$A$1:$N$1541,14,FALSE),"Not Enough Data")</f>
        <v>0.20535077408873725</v>
      </c>
      <c r="G1191">
        <f>IF(VLOOKUP(A1191,'Forecast Z Scores'!$A$1:$N$1541,14,FALSE)&gt;2,VLOOKUP(A1191,'Forecast Z Scores'!$A$1:$N$1541,13,FALSE)/VLOOKUP(A1191,'Forecast Z Scores'!$A$1:$N$1541,14,FALSE),"Not Enough Data")</f>
        <v>0.39408615986797829</v>
      </c>
      <c r="H1191">
        <v>0.18075717709091474</v>
      </c>
    </row>
    <row r="1192" spans="1:8" x14ac:dyDescent="0.35">
      <c r="A1192" t="str">
        <f t="shared" si="18"/>
        <v>18097390602_2024</v>
      </c>
      <c r="B1192">
        <v>18097390602</v>
      </c>
      <c r="C1192">
        <v>2024</v>
      </c>
      <c r="E1192">
        <f>-(IF(VLOOKUP(B1192,'2023 Z Scores'!$A$1:$K$309,11,FALSE)&gt;2,VLOOKUP(B1192,'2023 Z Scores'!$A$1:$K$309,10,FALSE)/VLOOKUP(B1192,'2023 Z Scores'!$A$1:$K$309,11,FALSE),"Not Enough data"))</f>
        <v>1.5001493004210846E-2</v>
      </c>
      <c r="F1192">
        <f>IF(VLOOKUP(A1192,'Delta Z Scores'!$A$1:$N$1541,14,FALSE)&gt;2,VLOOKUP(A1192,'Delta Z Scores'!$A$1:$N$1541,13,FALSE)/VLOOKUP(A1192,'Delta Z Scores'!$A$1:$N$1541,14,FALSE),"Not Enough Data")</f>
        <v>0.22341819604292182</v>
      </c>
      <c r="G1192">
        <f>IF(VLOOKUP(A1192,'Forecast Z Scores'!$A$1:$N$1541,14,FALSE)&gt;2,VLOOKUP(A1192,'Forecast Z Scores'!$A$1:$N$1541,13,FALSE)/VLOOKUP(A1192,'Forecast Z Scores'!$A$1:$N$1541,14,FALSE),"Not Enough Data")</f>
        <v>-0.28519173298071521</v>
      </c>
      <c r="H1192">
        <v>4.4161538027334822E-2</v>
      </c>
    </row>
    <row r="1193" spans="1:8" x14ac:dyDescent="0.35">
      <c r="A1193" t="str">
        <f t="shared" si="18"/>
        <v>18097390602_2025</v>
      </c>
      <c r="B1193">
        <v>18097390602</v>
      </c>
      <c r="C1193">
        <v>2025</v>
      </c>
      <c r="E1193">
        <f>-(IF(VLOOKUP(B1193,'2023 Z Scores'!$A$1:$K$309,11,FALSE)&gt;2,VLOOKUP(B1193,'2023 Z Scores'!$A$1:$K$309,10,FALSE)/VLOOKUP(B1193,'2023 Z Scores'!$A$1:$K$309,11,FALSE),"Not Enough data"))</f>
        <v>1.5001493004210846E-2</v>
      </c>
      <c r="F1193">
        <f>IF(VLOOKUP(A1193,'Delta Z Scores'!$A$1:$N$1541,14,FALSE)&gt;2,VLOOKUP(A1193,'Delta Z Scores'!$A$1:$N$1541,13,FALSE)/VLOOKUP(A1193,'Delta Z Scores'!$A$1:$N$1541,14,FALSE),"Not Enough Data")</f>
        <v>-9.9723008189020204E-2</v>
      </c>
      <c r="G1193">
        <f>IF(VLOOKUP(A1193,'Forecast Z Scores'!$A$1:$N$1541,14,FALSE)&gt;2,VLOOKUP(A1193,'Forecast Z Scores'!$A$1:$N$1541,13,FALSE)/VLOOKUP(A1193,'Forecast Z Scores'!$A$1:$N$1541,14,FALSE),"Not Enough Data")</f>
        <v>-0.3112758496006271</v>
      </c>
      <c r="H1193">
        <v>-0.12393009324361418</v>
      </c>
    </row>
    <row r="1194" spans="1:8" x14ac:dyDescent="0.35">
      <c r="A1194" t="str">
        <f t="shared" si="18"/>
        <v>18097390602_2026</v>
      </c>
      <c r="B1194">
        <v>18097390602</v>
      </c>
      <c r="C1194">
        <v>2026</v>
      </c>
      <c r="E1194">
        <f>-(IF(VLOOKUP(B1194,'2023 Z Scores'!$A$1:$K$309,11,FALSE)&gt;2,VLOOKUP(B1194,'2023 Z Scores'!$A$1:$K$309,10,FALSE)/VLOOKUP(B1194,'2023 Z Scores'!$A$1:$K$309,11,FALSE),"Not Enough data"))</f>
        <v>1.5001493004210846E-2</v>
      </c>
      <c r="F1194">
        <f>IF(VLOOKUP(A1194,'Delta Z Scores'!$A$1:$N$1541,14,FALSE)&gt;2,VLOOKUP(A1194,'Delta Z Scores'!$A$1:$N$1541,13,FALSE)/VLOOKUP(A1194,'Delta Z Scores'!$A$1:$N$1541,14,FALSE),"Not Enough Data")</f>
        <v>-6.2646567424415753E-2</v>
      </c>
      <c r="G1194">
        <f>IF(VLOOKUP(A1194,'Forecast Z Scores'!$A$1:$N$1541,14,FALSE)&gt;2,VLOOKUP(A1194,'Forecast Z Scores'!$A$1:$N$1541,13,FALSE)/VLOOKUP(A1194,'Forecast Z Scores'!$A$1:$N$1541,14,FALSE),"Not Enough Data")</f>
        <v>-0.32925382121084029</v>
      </c>
      <c r="H1194">
        <v>-0.10988636576386523</v>
      </c>
    </row>
    <row r="1195" spans="1:8" x14ac:dyDescent="0.35">
      <c r="A1195" t="str">
        <f t="shared" si="18"/>
        <v>18097390602_2027</v>
      </c>
      <c r="B1195">
        <v>18097390602</v>
      </c>
      <c r="C1195">
        <v>2027</v>
      </c>
      <c r="E1195">
        <f>-(IF(VLOOKUP(B1195,'2023 Z Scores'!$A$1:$K$309,11,FALSE)&gt;2,VLOOKUP(B1195,'2023 Z Scores'!$A$1:$K$309,10,FALSE)/VLOOKUP(B1195,'2023 Z Scores'!$A$1:$K$309,11,FALSE),"Not Enough data"))</f>
        <v>1.5001493004210846E-2</v>
      </c>
      <c r="F1195">
        <f>IF(VLOOKUP(A1195,'Delta Z Scores'!$A$1:$N$1541,14,FALSE)&gt;2,VLOOKUP(A1195,'Delta Z Scores'!$A$1:$N$1541,13,FALSE)/VLOOKUP(A1195,'Delta Z Scores'!$A$1:$N$1541,14,FALSE),"Not Enough Data")</f>
        <v>-5.7914021245547377E-2</v>
      </c>
      <c r="G1195">
        <f>IF(VLOOKUP(A1195,'Forecast Z Scores'!$A$1:$N$1541,14,FALSE)&gt;2,VLOOKUP(A1195,'Forecast Z Scores'!$A$1:$N$1541,13,FALSE)/VLOOKUP(A1195,'Forecast Z Scores'!$A$1:$N$1541,14,FALSE),"Not Enough Data")</f>
        <v>-0.34628254190069391</v>
      </c>
      <c r="H1195">
        <v>-0.11177727284689445</v>
      </c>
    </row>
    <row r="1196" spans="1:8" x14ac:dyDescent="0.35">
      <c r="A1196" t="str">
        <f t="shared" si="18"/>
        <v>18097390602_2028</v>
      </c>
      <c r="B1196">
        <v>18097390602</v>
      </c>
      <c r="C1196">
        <v>2028</v>
      </c>
      <c r="E1196">
        <f>-(IF(VLOOKUP(B1196,'2023 Z Scores'!$A$1:$K$309,11,FALSE)&gt;2,VLOOKUP(B1196,'2023 Z Scores'!$A$1:$K$309,10,FALSE)/VLOOKUP(B1196,'2023 Z Scores'!$A$1:$K$309,11,FALSE),"Not Enough data"))</f>
        <v>1.5001493004210846E-2</v>
      </c>
      <c r="F1196">
        <f>IF(VLOOKUP(A1196,'Delta Z Scores'!$A$1:$N$1541,14,FALSE)&gt;2,VLOOKUP(A1196,'Delta Z Scores'!$A$1:$N$1541,13,FALSE)/VLOOKUP(A1196,'Delta Z Scores'!$A$1:$N$1541,14,FALSE),"Not Enough Data")</f>
        <v>-6.0364530928392564E-2</v>
      </c>
      <c r="G1196">
        <f>IF(VLOOKUP(A1196,'Forecast Z Scores'!$A$1:$N$1541,14,FALSE)&gt;2,VLOOKUP(A1196,'Forecast Z Scores'!$A$1:$N$1541,13,FALSE)/VLOOKUP(A1196,'Forecast Z Scores'!$A$1:$N$1541,14,FALSE),"Not Enough Data")</f>
        <v>-0.35406228115694699</v>
      </c>
      <c r="H1196">
        <v>-0.11494746250238032</v>
      </c>
    </row>
    <row r="1197" spans="1:8" x14ac:dyDescent="0.35">
      <c r="A1197" t="str">
        <f t="shared" si="18"/>
        <v>18097390700_2024</v>
      </c>
      <c r="B1197">
        <v>18097390700</v>
      </c>
      <c r="C1197">
        <v>2024</v>
      </c>
      <c r="E1197">
        <f>-(IF(VLOOKUP(B1197,'2023 Z Scores'!$A$1:$K$309,11,FALSE)&gt;2,VLOOKUP(B1197,'2023 Z Scores'!$A$1:$K$309,10,FALSE)/VLOOKUP(B1197,'2023 Z Scores'!$A$1:$K$309,11,FALSE),"Not Enough data"))</f>
        <v>0.88975974750968323</v>
      </c>
      <c r="F1197">
        <f>IF(VLOOKUP(A1197,'Delta Z Scores'!$A$1:$N$1541,14,FALSE)&gt;2,VLOOKUP(A1197,'Delta Z Scores'!$A$1:$N$1541,13,FALSE)/VLOOKUP(A1197,'Delta Z Scores'!$A$1:$N$1541,14,FALSE),"Not Enough Data")</f>
        <v>-0.12987352698875382</v>
      </c>
      <c r="G1197">
        <f>IF(VLOOKUP(A1197,'Forecast Z Scores'!$A$1:$N$1541,14,FALSE)&gt;2,VLOOKUP(A1197,'Forecast Z Scores'!$A$1:$N$1541,13,FALSE)/VLOOKUP(A1197,'Forecast Z Scores'!$A$1:$N$1541,14,FALSE),"Not Enough Data")</f>
        <v>-0.71021145741562064</v>
      </c>
      <c r="H1197">
        <v>-2.0049690970861261E-2</v>
      </c>
    </row>
    <row r="1198" spans="1:8" x14ac:dyDescent="0.35">
      <c r="A1198" t="str">
        <f t="shared" si="18"/>
        <v>18097390700_2025</v>
      </c>
      <c r="B1198">
        <v>18097390700</v>
      </c>
      <c r="C1198">
        <v>2025</v>
      </c>
      <c r="E1198">
        <f>-(IF(VLOOKUP(B1198,'2023 Z Scores'!$A$1:$K$309,11,FALSE)&gt;2,VLOOKUP(B1198,'2023 Z Scores'!$A$1:$K$309,10,FALSE)/VLOOKUP(B1198,'2023 Z Scores'!$A$1:$K$309,11,FALSE),"Not Enough data"))</f>
        <v>0.88975974750968323</v>
      </c>
      <c r="F1198">
        <f>IF(VLOOKUP(A1198,'Delta Z Scores'!$A$1:$N$1541,14,FALSE)&gt;2,VLOOKUP(A1198,'Delta Z Scores'!$A$1:$N$1541,13,FALSE)/VLOOKUP(A1198,'Delta Z Scores'!$A$1:$N$1541,14,FALSE),"Not Enough Data")</f>
        <v>-0.24597196582866065</v>
      </c>
      <c r="G1198">
        <f>IF(VLOOKUP(A1198,'Forecast Z Scores'!$A$1:$N$1541,14,FALSE)&gt;2,VLOOKUP(A1198,'Forecast Z Scores'!$A$1:$N$1541,13,FALSE)/VLOOKUP(A1198,'Forecast Z Scores'!$A$1:$N$1541,14,FALSE),"Not Enough Data")</f>
        <v>-0.70983929542095581</v>
      </c>
      <c r="H1198">
        <v>-7.8005869892148472E-2</v>
      </c>
    </row>
    <row r="1199" spans="1:8" x14ac:dyDescent="0.35">
      <c r="A1199" t="str">
        <f t="shared" si="18"/>
        <v>18097390700_2026</v>
      </c>
      <c r="B1199">
        <v>18097390700</v>
      </c>
      <c r="C1199">
        <v>2026</v>
      </c>
      <c r="E1199">
        <f>-(IF(VLOOKUP(B1199,'2023 Z Scores'!$A$1:$K$309,11,FALSE)&gt;2,VLOOKUP(B1199,'2023 Z Scores'!$A$1:$K$309,10,FALSE)/VLOOKUP(B1199,'2023 Z Scores'!$A$1:$K$309,11,FALSE),"Not Enough data"))</f>
        <v>0.88975974750968323</v>
      </c>
      <c r="F1199">
        <f>IF(VLOOKUP(A1199,'Delta Z Scores'!$A$1:$N$1541,14,FALSE)&gt;2,VLOOKUP(A1199,'Delta Z Scores'!$A$1:$N$1541,13,FALSE)/VLOOKUP(A1199,'Delta Z Scores'!$A$1:$N$1541,14,FALSE),"Not Enough Data")</f>
        <v>-0.34201832590865255</v>
      </c>
      <c r="G1199">
        <f>IF(VLOOKUP(A1199,'Forecast Z Scores'!$A$1:$N$1541,14,FALSE)&gt;2,VLOOKUP(A1199,'Forecast Z Scores'!$A$1:$N$1541,13,FALSE)/VLOOKUP(A1199,'Forecast Z Scores'!$A$1:$N$1541,14,FALSE),"Not Enough Data")</f>
        <v>-0.70390196968925411</v>
      </c>
      <c r="H1199">
        <v>-0.124544718499219</v>
      </c>
    </row>
    <row r="1200" spans="1:8" x14ac:dyDescent="0.35">
      <c r="A1200" t="str">
        <f t="shared" si="18"/>
        <v>18097390700_2027</v>
      </c>
      <c r="B1200">
        <v>18097390700</v>
      </c>
      <c r="C1200">
        <v>2027</v>
      </c>
      <c r="E1200">
        <f>-(IF(VLOOKUP(B1200,'2023 Z Scores'!$A$1:$K$309,11,FALSE)&gt;2,VLOOKUP(B1200,'2023 Z Scores'!$A$1:$K$309,10,FALSE)/VLOOKUP(B1200,'2023 Z Scores'!$A$1:$K$309,11,FALSE),"Not Enough data"))</f>
        <v>0.88975974750968323</v>
      </c>
      <c r="F1200">
        <f>IF(VLOOKUP(A1200,'Delta Z Scores'!$A$1:$N$1541,14,FALSE)&gt;2,VLOOKUP(A1200,'Delta Z Scores'!$A$1:$N$1541,13,FALSE)/VLOOKUP(A1200,'Delta Z Scores'!$A$1:$N$1541,14,FALSE),"Not Enough Data")</f>
        <v>-0.3922764015387597</v>
      </c>
      <c r="G1200">
        <f>IF(VLOOKUP(A1200,'Forecast Z Scores'!$A$1:$N$1541,14,FALSE)&gt;2,VLOOKUP(A1200,'Forecast Z Scores'!$A$1:$N$1541,13,FALSE)/VLOOKUP(A1200,'Forecast Z Scores'!$A$1:$N$1541,14,FALSE),"Not Enough Data")</f>
        <v>-0.69057719241142268</v>
      </c>
      <c r="H1200">
        <v>-0.14634256199481471</v>
      </c>
    </row>
    <row r="1201" spans="1:8" x14ac:dyDescent="0.35">
      <c r="A1201" t="str">
        <f t="shared" si="18"/>
        <v>18097390700_2028</v>
      </c>
      <c r="B1201">
        <v>18097390700</v>
      </c>
      <c r="C1201">
        <v>2028</v>
      </c>
      <c r="E1201">
        <f>-(IF(VLOOKUP(B1201,'2023 Z Scores'!$A$1:$K$309,11,FALSE)&gt;2,VLOOKUP(B1201,'2023 Z Scores'!$A$1:$K$309,10,FALSE)/VLOOKUP(B1201,'2023 Z Scores'!$A$1:$K$309,11,FALSE),"Not Enough data"))</f>
        <v>0.88975974750968323</v>
      </c>
      <c r="F1201">
        <f>IF(VLOOKUP(A1201,'Delta Z Scores'!$A$1:$N$1541,14,FALSE)&gt;2,VLOOKUP(A1201,'Delta Z Scores'!$A$1:$N$1541,13,FALSE)/VLOOKUP(A1201,'Delta Z Scores'!$A$1:$N$1541,14,FALSE),"Not Enough Data")</f>
        <v>-0.64676515638642085</v>
      </c>
      <c r="G1201">
        <f>IF(VLOOKUP(A1201,'Forecast Z Scores'!$A$1:$N$1541,14,FALSE)&gt;2,VLOOKUP(A1201,'Forecast Z Scores'!$A$1:$N$1541,13,FALSE)/VLOOKUP(A1201,'Forecast Z Scores'!$A$1:$N$1541,14,FALSE),"Not Enough Data")</f>
        <v>-0.67679630810258851</v>
      </c>
      <c r="H1201">
        <v>-0.27014171834143674</v>
      </c>
    </row>
    <row r="1202" spans="1:8" x14ac:dyDescent="0.35">
      <c r="A1202" t="str">
        <f t="shared" si="18"/>
        <v>18097390801_2024</v>
      </c>
      <c r="B1202">
        <v>18097390801</v>
      </c>
      <c r="C1202">
        <v>2024</v>
      </c>
      <c r="E1202" t="e">
        <f>-(IF(VLOOKUP(B1202,'2023 Z Scores'!$A$1:$K$309,11,FALSE)&gt;2,VLOOKUP(B1202,'2023 Z Scores'!$A$1:$K$309,10,FALSE)/VLOOKUP(B1202,'2023 Z Scores'!$A$1:$K$309,11,FALSE),"Not Enough data"))</f>
        <v>#VALUE!</v>
      </c>
      <c r="F1202" t="str">
        <f>IF(VLOOKUP(A1202,'Delta Z Scores'!$A$1:$N$1541,14,FALSE)&gt;2,VLOOKUP(A1202,'Delta Z Scores'!$A$1:$N$1541,13,FALSE)/VLOOKUP(A1202,'Delta Z Scores'!$A$1:$N$1541,14,FALSE),"Not Enough Data")</f>
        <v>Not Enough Data</v>
      </c>
      <c r="G1202" t="str">
        <f>IF(VLOOKUP(A1202,'Forecast Z Scores'!$A$1:$N$1541,14,FALSE)&gt;2,VLOOKUP(A1202,'Forecast Z Scores'!$A$1:$N$1541,13,FALSE)/VLOOKUP(A1202,'Forecast Z Scores'!$A$1:$N$1541,14,FALSE),"Not Enough Data")</f>
        <v>Not Enough Data</v>
      </c>
      <c r="H1202" t="s">
        <v>203</v>
      </c>
    </row>
    <row r="1203" spans="1:8" x14ac:dyDescent="0.35">
      <c r="A1203" t="str">
        <f t="shared" si="18"/>
        <v>18097390801_2025</v>
      </c>
      <c r="B1203">
        <v>18097390801</v>
      </c>
      <c r="C1203">
        <v>2025</v>
      </c>
      <c r="E1203" t="e">
        <f>-(IF(VLOOKUP(B1203,'2023 Z Scores'!$A$1:$K$309,11,FALSE)&gt;2,VLOOKUP(B1203,'2023 Z Scores'!$A$1:$K$309,10,FALSE)/VLOOKUP(B1203,'2023 Z Scores'!$A$1:$K$309,11,FALSE),"Not Enough data"))</f>
        <v>#VALUE!</v>
      </c>
      <c r="F1203" t="str">
        <f>IF(VLOOKUP(A1203,'Delta Z Scores'!$A$1:$N$1541,14,FALSE)&gt;2,VLOOKUP(A1203,'Delta Z Scores'!$A$1:$N$1541,13,FALSE)/VLOOKUP(A1203,'Delta Z Scores'!$A$1:$N$1541,14,FALSE),"Not Enough Data")</f>
        <v>Not Enough Data</v>
      </c>
      <c r="G1203" t="str">
        <f>IF(VLOOKUP(A1203,'Forecast Z Scores'!$A$1:$N$1541,14,FALSE)&gt;2,VLOOKUP(A1203,'Forecast Z Scores'!$A$1:$N$1541,13,FALSE)/VLOOKUP(A1203,'Forecast Z Scores'!$A$1:$N$1541,14,FALSE),"Not Enough Data")</f>
        <v>Not Enough Data</v>
      </c>
      <c r="H1203" t="s">
        <v>203</v>
      </c>
    </row>
    <row r="1204" spans="1:8" x14ac:dyDescent="0.35">
      <c r="A1204" t="str">
        <f t="shared" si="18"/>
        <v>18097390801_2026</v>
      </c>
      <c r="B1204">
        <v>18097390801</v>
      </c>
      <c r="C1204">
        <v>2026</v>
      </c>
      <c r="E1204" t="e">
        <f>-(IF(VLOOKUP(B1204,'2023 Z Scores'!$A$1:$K$309,11,FALSE)&gt;2,VLOOKUP(B1204,'2023 Z Scores'!$A$1:$K$309,10,FALSE)/VLOOKUP(B1204,'2023 Z Scores'!$A$1:$K$309,11,FALSE),"Not Enough data"))</f>
        <v>#VALUE!</v>
      </c>
      <c r="F1204" t="str">
        <f>IF(VLOOKUP(A1204,'Delta Z Scores'!$A$1:$N$1541,14,FALSE)&gt;2,VLOOKUP(A1204,'Delta Z Scores'!$A$1:$N$1541,13,FALSE)/VLOOKUP(A1204,'Delta Z Scores'!$A$1:$N$1541,14,FALSE),"Not Enough Data")</f>
        <v>Not Enough Data</v>
      </c>
      <c r="G1204" t="str">
        <f>IF(VLOOKUP(A1204,'Forecast Z Scores'!$A$1:$N$1541,14,FALSE)&gt;2,VLOOKUP(A1204,'Forecast Z Scores'!$A$1:$N$1541,13,FALSE)/VLOOKUP(A1204,'Forecast Z Scores'!$A$1:$N$1541,14,FALSE),"Not Enough Data")</f>
        <v>Not Enough Data</v>
      </c>
      <c r="H1204" t="s">
        <v>203</v>
      </c>
    </row>
    <row r="1205" spans="1:8" x14ac:dyDescent="0.35">
      <c r="A1205" t="str">
        <f t="shared" si="18"/>
        <v>18097390801_2027</v>
      </c>
      <c r="B1205">
        <v>18097390801</v>
      </c>
      <c r="C1205">
        <v>2027</v>
      </c>
      <c r="E1205" t="e">
        <f>-(IF(VLOOKUP(B1205,'2023 Z Scores'!$A$1:$K$309,11,FALSE)&gt;2,VLOOKUP(B1205,'2023 Z Scores'!$A$1:$K$309,10,FALSE)/VLOOKUP(B1205,'2023 Z Scores'!$A$1:$K$309,11,FALSE),"Not Enough data"))</f>
        <v>#VALUE!</v>
      </c>
      <c r="F1205" t="str">
        <f>IF(VLOOKUP(A1205,'Delta Z Scores'!$A$1:$N$1541,14,FALSE)&gt;2,VLOOKUP(A1205,'Delta Z Scores'!$A$1:$N$1541,13,FALSE)/VLOOKUP(A1205,'Delta Z Scores'!$A$1:$N$1541,14,FALSE),"Not Enough Data")</f>
        <v>Not Enough Data</v>
      </c>
      <c r="G1205" t="str">
        <f>IF(VLOOKUP(A1205,'Forecast Z Scores'!$A$1:$N$1541,14,FALSE)&gt;2,VLOOKUP(A1205,'Forecast Z Scores'!$A$1:$N$1541,13,FALSE)/VLOOKUP(A1205,'Forecast Z Scores'!$A$1:$N$1541,14,FALSE),"Not Enough Data")</f>
        <v>Not Enough Data</v>
      </c>
      <c r="H1205" t="s">
        <v>203</v>
      </c>
    </row>
    <row r="1206" spans="1:8" x14ac:dyDescent="0.35">
      <c r="A1206" t="str">
        <f t="shared" si="18"/>
        <v>18097390801_2028</v>
      </c>
      <c r="B1206">
        <v>18097390801</v>
      </c>
      <c r="C1206">
        <v>2028</v>
      </c>
      <c r="E1206" t="e">
        <f>-(IF(VLOOKUP(B1206,'2023 Z Scores'!$A$1:$K$309,11,FALSE)&gt;2,VLOOKUP(B1206,'2023 Z Scores'!$A$1:$K$309,10,FALSE)/VLOOKUP(B1206,'2023 Z Scores'!$A$1:$K$309,11,FALSE),"Not Enough data"))</f>
        <v>#VALUE!</v>
      </c>
      <c r="F1206" t="str">
        <f>IF(VLOOKUP(A1206,'Delta Z Scores'!$A$1:$N$1541,14,FALSE)&gt;2,VLOOKUP(A1206,'Delta Z Scores'!$A$1:$N$1541,13,FALSE)/VLOOKUP(A1206,'Delta Z Scores'!$A$1:$N$1541,14,FALSE),"Not Enough Data")</f>
        <v>Not Enough Data</v>
      </c>
      <c r="G1206" t="str">
        <f>IF(VLOOKUP(A1206,'Forecast Z Scores'!$A$1:$N$1541,14,FALSE)&gt;2,VLOOKUP(A1206,'Forecast Z Scores'!$A$1:$N$1541,13,FALSE)/VLOOKUP(A1206,'Forecast Z Scores'!$A$1:$N$1541,14,FALSE),"Not Enough Data")</f>
        <v>Not Enough Data</v>
      </c>
      <c r="H1206" t="s">
        <v>203</v>
      </c>
    </row>
    <row r="1207" spans="1:8" x14ac:dyDescent="0.35">
      <c r="A1207" t="str">
        <f t="shared" si="18"/>
        <v>18097390802_2024</v>
      </c>
      <c r="B1207">
        <v>18097390802</v>
      </c>
      <c r="C1207">
        <v>2024</v>
      </c>
      <c r="E1207">
        <f>-(IF(VLOOKUP(B1207,'2023 Z Scores'!$A$1:$K$309,11,FALSE)&gt;2,VLOOKUP(B1207,'2023 Z Scores'!$A$1:$K$309,10,FALSE)/VLOOKUP(B1207,'2023 Z Scores'!$A$1:$K$309,11,FALSE),"Not Enough data"))</f>
        <v>2.1576537457258443E-2</v>
      </c>
      <c r="F1207">
        <f>IF(VLOOKUP(A1207,'Delta Z Scores'!$A$1:$N$1541,14,FALSE)&gt;2,VLOOKUP(A1207,'Delta Z Scores'!$A$1:$N$1541,13,FALSE)/VLOOKUP(A1207,'Delta Z Scores'!$A$1:$N$1541,14,FALSE),"Not Enough Data")</f>
        <v>0.23328439908969428</v>
      </c>
      <c r="G1207">
        <f>IF(VLOOKUP(A1207,'Forecast Z Scores'!$A$1:$N$1541,14,FALSE)&gt;2,VLOOKUP(A1207,'Forecast Z Scores'!$A$1:$N$1541,13,FALSE)/VLOOKUP(A1207,'Forecast Z Scores'!$A$1:$N$1541,14,FALSE),"Not Enough Data")</f>
        <v>0.17725551531181563</v>
      </c>
      <c r="H1207">
        <v>0.16635021273711564</v>
      </c>
    </row>
    <row r="1208" spans="1:8" x14ac:dyDescent="0.35">
      <c r="A1208" t="str">
        <f t="shared" si="18"/>
        <v>18097390802_2025</v>
      </c>
      <c r="B1208">
        <v>18097390802</v>
      </c>
      <c r="C1208">
        <v>2025</v>
      </c>
      <c r="E1208">
        <f>-(IF(VLOOKUP(B1208,'2023 Z Scores'!$A$1:$K$309,11,FALSE)&gt;2,VLOOKUP(B1208,'2023 Z Scores'!$A$1:$K$309,10,FALSE)/VLOOKUP(B1208,'2023 Z Scores'!$A$1:$K$309,11,FALSE),"Not Enough data"))</f>
        <v>2.1576537457258443E-2</v>
      </c>
      <c r="F1208">
        <f>IF(VLOOKUP(A1208,'Delta Z Scores'!$A$1:$N$1541,14,FALSE)&gt;2,VLOOKUP(A1208,'Delta Z Scores'!$A$1:$N$1541,13,FALSE)/VLOOKUP(A1208,'Delta Z Scores'!$A$1:$N$1541,14,FALSE),"Not Enough Data")</f>
        <v>0.49420868406403295</v>
      </c>
      <c r="G1208">
        <f>IF(VLOOKUP(A1208,'Forecast Z Scores'!$A$1:$N$1541,14,FALSE)&gt;2,VLOOKUP(A1208,'Forecast Z Scores'!$A$1:$N$1541,13,FALSE)/VLOOKUP(A1208,'Forecast Z Scores'!$A$1:$N$1541,14,FALSE),"Not Enough Data")</f>
        <v>0.23414490264492013</v>
      </c>
      <c r="H1208">
        <v>0.31103470205756112</v>
      </c>
    </row>
    <row r="1209" spans="1:8" x14ac:dyDescent="0.35">
      <c r="A1209" t="str">
        <f t="shared" si="18"/>
        <v>18097390802_2026</v>
      </c>
      <c r="B1209">
        <v>18097390802</v>
      </c>
      <c r="C1209">
        <v>2026</v>
      </c>
      <c r="E1209">
        <f>-(IF(VLOOKUP(B1209,'2023 Z Scores'!$A$1:$K$309,11,FALSE)&gt;2,VLOOKUP(B1209,'2023 Z Scores'!$A$1:$K$309,10,FALSE)/VLOOKUP(B1209,'2023 Z Scores'!$A$1:$K$309,11,FALSE),"Not Enough data"))</f>
        <v>2.1576537457258443E-2</v>
      </c>
      <c r="F1209">
        <f>IF(VLOOKUP(A1209,'Delta Z Scores'!$A$1:$N$1541,14,FALSE)&gt;2,VLOOKUP(A1209,'Delta Z Scores'!$A$1:$N$1541,13,FALSE)/VLOOKUP(A1209,'Delta Z Scores'!$A$1:$N$1541,14,FALSE),"Not Enough Data")</f>
        <v>0.68766072999491712</v>
      </c>
      <c r="G1209">
        <f>IF(VLOOKUP(A1209,'Forecast Z Scores'!$A$1:$N$1541,14,FALSE)&gt;2,VLOOKUP(A1209,'Forecast Z Scores'!$A$1:$N$1541,13,FALSE)/VLOOKUP(A1209,'Forecast Z Scores'!$A$1:$N$1541,14,FALSE),"Not Enough Data")</f>
        <v>0.32722670871925602</v>
      </c>
      <c r="H1209">
        <v>0.43103117654158718</v>
      </c>
    </row>
    <row r="1210" spans="1:8" x14ac:dyDescent="0.35">
      <c r="A1210" t="str">
        <f t="shared" si="18"/>
        <v>18097390802_2027</v>
      </c>
      <c r="B1210">
        <v>18097390802</v>
      </c>
      <c r="C1210">
        <v>2027</v>
      </c>
      <c r="E1210">
        <f>-(IF(VLOOKUP(B1210,'2023 Z Scores'!$A$1:$K$309,11,FALSE)&gt;2,VLOOKUP(B1210,'2023 Z Scores'!$A$1:$K$309,10,FALSE)/VLOOKUP(B1210,'2023 Z Scores'!$A$1:$K$309,11,FALSE),"Not Enough data"))</f>
        <v>2.1576537457258443E-2</v>
      </c>
      <c r="F1210">
        <f>IF(VLOOKUP(A1210,'Delta Z Scores'!$A$1:$N$1541,14,FALSE)&gt;2,VLOOKUP(A1210,'Delta Z Scores'!$A$1:$N$1541,13,FALSE)/VLOOKUP(A1210,'Delta Z Scores'!$A$1:$N$1541,14,FALSE),"Not Enough Data")</f>
        <v>0.6496780213774862</v>
      </c>
      <c r="G1210">
        <f>IF(VLOOKUP(A1210,'Forecast Z Scores'!$A$1:$N$1541,14,FALSE)&gt;2,VLOOKUP(A1210,'Forecast Z Scores'!$A$1:$N$1541,13,FALSE)/VLOOKUP(A1210,'Forecast Z Scores'!$A$1:$N$1541,14,FALSE),"Not Enough Data")</f>
        <v>0.39728297783418104</v>
      </c>
      <c r="H1210">
        <v>0.429553889511603</v>
      </c>
    </row>
    <row r="1211" spans="1:8" x14ac:dyDescent="0.35">
      <c r="A1211" t="str">
        <f t="shared" si="18"/>
        <v>18097390802_2028</v>
      </c>
      <c r="B1211">
        <v>18097390802</v>
      </c>
      <c r="C1211">
        <v>2028</v>
      </c>
      <c r="E1211">
        <f>-(IF(VLOOKUP(B1211,'2023 Z Scores'!$A$1:$K$309,11,FALSE)&gt;2,VLOOKUP(B1211,'2023 Z Scores'!$A$1:$K$309,10,FALSE)/VLOOKUP(B1211,'2023 Z Scores'!$A$1:$K$309,11,FALSE),"Not Enough data"))</f>
        <v>2.1576537457258443E-2</v>
      </c>
      <c r="F1211">
        <f>IF(VLOOKUP(A1211,'Delta Z Scores'!$A$1:$N$1541,14,FALSE)&gt;2,VLOOKUP(A1211,'Delta Z Scores'!$A$1:$N$1541,13,FALSE)/VLOOKUP(A1211,'Delta Z Scores'!$A$1:$N$1541,14,FALSE),"Not Enough Data")</f>
        <v>0.6688865032354897</v>
      </c>
      <c r="G1211">
        <f>IF(VLOOKUP(A1211,'Forecast Z Scores'!$A$1:$N$1541,14,FALSE)&gt;2,VLOOKUP(A1211,'Forecast Z Scores'!$A$1:$N$1541,13,FALSE)/VLOOKUP(A1211,'Forecast Z Scores'!$A$1:$N$1541,14,FALSE),"Not Enough Data")</f>
        <v>0.47236127147180507</v>
      </c>
      <c r="H1211">
        <v>0.45792770385001075</v>
      </c>
    </row>
    <row r="1212" spans="1:8" x14ac:dyDescent="0.35">
      <c r="A1212" t="str">
        <f t="shared" si="18"/>
        <v>18097390900_2024</v>
      </c>
      <c r="B1212">
        <v>18097390900</v>
      </c>
      <c r="C1212">
        <v>2024</v>
      </c>
      <c r="E1212">
        <f>-(IF(VLOOKUP(B1212,'2023 Z Scores'!$A$1:$K$309,11,FALSE)&gt;2,VLOOKUP(B1212,'2023 Z Scores'!$A$1:$K$309,10,FALSE)/VLOOKUP(B1212,'2023 Z Scores'!$A$1:$K$309,11,FALSE),"Not Enough data"))</f>
        <v>-0.6216100367263232</v>
      </c>
      <c r="F1212">
        <f>IF(VLOOKUP(A1212,'Delta Z Scores'!$A$1:$N$1541,14,FALSE)&gt;2,VLOOKUP(A1212,'Delta Z Scores'!$A$1:$N$1541,13,FALSE)/VLOOKUP(A1212,'Delta Z Scores'!$A$1:$N$1541,14,FALSE),"Not Enough Data")</f>
        <v>-0.15331014717851471</v>
      </c>
      <c r="G1212">
        <f>IF(VLOOKUP(A1212,'Forecast Z Scores'!$A$1:$N$1541,14,FALSE)&gt;2,VLOOKUP(A1212,'Forecast Z Scores'!$A$1:$N$1541,13,FALSE)/VLOOKUP(A1212,'Forecast Z Scores'!$A$1:$N$1541,14,FALSE),"Not Enough Data")</f>
        <v>0.66053442113597349</v>
      </c>
      <c r="H1212">
        <v>-6.6923977486844782E-2</v>
      </c>
    </row>
    <row r="1213" spans="1:8" x14ac:dyDescent="0.35">
      <c r="A1213" t="str">
        <f t="shared" si="18"/>
        <v>18097390900_2025</v>
      </c>
      <c r="B1213">
        <v>18097390900</v>
      </c>
      <c r="C1213">
        <v>2025</v>
      </c>
      <c r="E1213">
        <f>-(IF(VLOOKUP(B1213,'2023 Z Scores'!$A$1:$K$309,11,FALSE)&gt;2,VLOOKUP(B1213,'2023 Z Scores'!$A$1:$K$309,10,FALSE)/VLOOKUP(B1213,'2023 Z Scores'!$A$1:$K$309,11,FALSE),"Not Enough data"))</f>
        <v>-0.6216100367263232</v>
      </c>
      <c r="F1213">
        <f>IF(VLOOKUP(A1213,'Delta Z Scores'!$A$1:$N$1541,14,FALSE)&gt;2,VLOOKUP(A1213,'Delta Z Scores'!$A$1:$N$1541,13,FALSE)/VLOOKUP(A1213,'Delta Z Scores'!$A$1:$N$1541,14,FALSE),"Not Enough Data")</f>
        <v>-8.4635308045900845E-2</v>
      </c>
      <c r="G1213">
        <f>IF(VLOOKUP(A1213,'Forecast Z Scores'!$A$1:$N$1541,14,FALSE)&gt;2,VLOOKUP(A1213,'Forecast Z Scores'!$A$1:$N$1541,13,FALSE)/VLOOKUP(A1213,'Forecast Z Scores'!$A$1:$N$1541,14,FALSE),"Not Enough Data")</f>
        <v>0.66783811712329944</v>
      </c>
      <c r="H1213">
        <v>-3.0760633923706371E-2</v>
      </c>
    </row>
    <row r="1214" spans="1:8" x14ac:dyDescent="0.35">
      <c r="A1214" t="str">
        <f t="shared" si="18"/>
        <v>18097390900_2026</v>
      </c>
      <c r="B1214">
        <v>18097390900</v>
      </c>
      <c r="C1214">
        <v>2026</v>
      </c>
      <c r="E1214">
        <f>-(IF(VLOOKUP(B1214,'2023 Z Scores'!$A$1:$K$309,11,FALSE)&gt;2,VLOOKUP(B1214,'2023 Z Scores'!$A$1:$K$309,10,FALSE)/VLOOKUP(B1214,'2023 Z Scores'!$A$1:$K$309,11,FALSE),"Not Enough data"))</f>
        <v>-0.6216100367263232</v>
      </c>
      <c r="F1214">
        <f>IF(VLOOKUP(A1214,'Delta Z Scores'!$A$1:$N$1541,14,FALSE)&gt;2,VLOOKUP(A1214,'Delta Z Scores'!$A$1:$N$1541,13,FALSE)/VLOOKUP(A1214,'Delta Z Scores'!$A$1:$N$1541,14,FALSE),"Not Enough Data")</f>
        <v>-0.1416106574248005</v>
      </c>
      <c r="G1214">
        <f>IF(VLOOKUP(A1214,'Forecast Z Scores'!$A$1:$N$1541,14,FALSE)&gt;2,VLOOKUP(A1214,'Forecast Z Scores'!$A$1:$N$1541,13,FALSE)/VLOOKUP(A1214,'Forecast Z Scores'!$A$1:$N$1541,14,FALSE),"Not Enough Data")</f>
        <v>0.66510649469825955</v>
      </c>
      <c r="H1214">
        <v>-5.9931214219416162E-2</v>
      </c>
    </row>
    <row r="1215" spans="1:8" x14ac:dyDescent="0.35">
      <c r="A1215" t="str">
        <f t="shared" si="18"/>
        <v>18097390900_2027</v>
      </c>
      <c r="B1215">
        <v>18097390900</v>
      </c>
      <c r="C1215">
        <v>2027</v>
      </c>
      <c r="E1215">
        <f>-(IF(VLOOKUP(B1215,'2023 Z Scores'!$A$1:$K$309,11,FALSE)&gt;2,VLOOKUP(B1215,'2023 Z Scores'!$A$1:$K$309,10,FALSE)/VLOOKUP(B1215,'2023 Z Scores'!$A$1:$K$309,11,FALSE),"Not Enough data"))</f>
        <v>-0.6216100367263232</v>
      </c>
      <c r="F1215">
        <f>IF(VLOOKUP(A1215,'Delta Z Scores'!$A$1:$N$1541,14,FALSE)&gt;2,VLOOKUP(A1215,'Delta Z Scores'!$A$1:$N$1541,13,FALSE)/VLOOKUP(A1215,'Delta Z Scores'!$A$1:$N$1541,14,FALSE),"Not Enough Data")</f>
        <v>-4.9970199168369686E-2</v>
      </c>
      <c r="G1215">
        <f>IF(VLOOKUP(A1215,'Forecast Z Scores'!$A$1:$N$1541,14,FALSE)&gt;2,VLOOKUP(A1215,'Forecast Z Scores'!$A$1:$N$1541,13,FALSE)/VLOOKUP(A1215,'Forecast Z Scores'!$A$1:$N$1541,14,FALSE),"Not Enough Data")</f>
        <v>0.6726855682666768</v>
      </c>
      <c r="H1215">
        <v>-1.2216216699096449E-2</v>
      </c>
    </row>
    <row r="1216" spans="1:8" x14ac:dyDescent="0.35">
      <c r="A1216" t="str">
        <f t="shared" si="18"/>
        <v>18097390900_2028</v>
      </c>
      <c r="B1216">
        <v>18097390900</v>
      </c>
      <c r="C1216">
        <v>2028</v>
      </c>
      <c r="E1216">
        <f>-(IF(VLOOKUP(B1216,'2023 Z Scores'!$A$1:$K$309,11,FALSE)&gt;2,VLOOKUP(B1216,'2023 Z Scores'!$A$1:$K$309,10,FALSE)/VLOOKUP(B1216,'2023 Z Scores'!$A$1:$K$309,11,FALSE),"Not Enough data"))</f>
        <v>-0.6216100367263232</v>
      </c>
      <c r="F1216">
        <f>IF(VLOOKUP(A1216,'Delta Z Scores'!$A$1:$N$1541,14,FALSE)&gt;2,VLOOKUP(A1216,'Delta Z Scores'!$A$1:$N$1541,13,FALSE)/VLOOKUP(A1216,'Delta Z Scores'!$A$1:$N$1541,14,FALSE),"Not Enough Data")</f>
        <v>-0.10472186578183143</v>
      </c>
      <c r="G1216">
        <f>IF(VLOOKUP(A1216,'Forecast Z Scores'!$A$1:$N$1541,14,FALSE)&gt;2,VLOOKUP(A1216,'Forecast Z Scores'!$A$1:$N$1541,13,FALSE)/VLOOKUP(A1216,'Forecast Z Scores'!$A$1:$N$1541,14,FALSE),"Not Enough Data")</f>
        <v>0.6768270545099917</v>
      </c>
      <c r="H1216">
        <v>-3.8556678444998591E-2</v>
      </c>
    </row>
    <row r="1217" spans="1:8" x14ac:dyDescent="0.35">
      <c r="A1217" t="str">
        <f t="shared" si="18"/>
        <v>18097391001_2024</v>
      </c>
      <c r="B1217">
        <v>18097391001</v>
      </c>
      <c r="C1217">
        <v>2024</v>
      </c>
      <c r="E1217">
        <f>-(IF(VLOOKUP(B1217,'2023 Z Scores'!$A$1:$K$309,11,FALSE)&gt;2,VLOOKUP(B1217,'2023 Z Scores'!$A$1:$K$309,10,FALSE)/VLOOKUP(B1217,'2023 Z Scores'!$A$1:$K$309,11,FALSE),"Not Enough data"))</f>
        <v>0.15560594336213246</v>
      </c>
      <c r="F1217">
        <f>IF(VLOOKUP(A1217,'Delta Z Scores'!$A$1:$N$1541,14,FALSE)&gt;2,VLOOKUP(A1217,'Delta Z Scores'!$A$1:$N$1541,13,FALSE)/VLOOKUP(A1217,'Delta Z Scores'!$A$1:$N$1541,14,FALSE),"Not Enough Data")</f>
        <v>-0.5137056864244639</v>
      </c>
      <c r="G1217">
        <f>IF(VLOOKUP(A1217,'Forecast Z Scores'!$A$1:$N$1541,14,FALSE)&gt;2,VLOOKUP(A1217,'Forecast Z Scores'!$A$1:$N$1541,13,FALSE)/VLOOKUP(A1217,'Forecast Z Scores'!$A$1:$N$1541,14,FALSE),"Not Enough Data")</f>
        <v>2.1740609882849173E-2</v>
      </c>
      <c r="H1217">
        <v>-0.21251620490098655</v>
      </c>
    </row>
    <row r="1218" spans="1:8" x14ac:dyDescent="0.35">
      <c r="A1218" t="str">
        <f t="shared" si="18"/>
        <v>18097391001_2025</v>
      </c>
      <c r="B1218">
        <v>18097391001</v>
      </c>
      <c r="C1218">
        <v>2025</v>
      </c>
      <c r="E1218">
        <f>-(IF(VLOOKUP(B1218,'2023 Z Scores'!$A$1:$K$309,11,FALSE)&gt;2,VLOOKUP(B1218,'2023 Z Scores'!$A$1:$K$309,10,FALSE)/VLOOKUP(B1218,'2023 Z Scores'!$A$1:$K$309,11,FALSE),"Not Enough data"))</f>
        <v>0.15560594336213246</v>
      </c>
      <c r="F1218">
        <f>IF(VLOOKUP(A1218,'Delta Z Scores'!$A$1:$N$1541,14,FALSE)&gt;2,VLOOKUP(A1218,'Delta Z Scores'!$A$1:$N$1541,13,FALSE)/VLOOKUP(A1218,'Delta Z Scores'!$A$1:$N$1541,14,FALSE),"Not Enough Data")</f>
        <v>-0.16979240560086617</v>
      </c>
      <c r="G1218">
        <f>IF(VLOOKUP(A1218,'Forecast Z Scores'!$A$1:$N$1541,14,FALSE)&gt;2,VLOOKUP(A1218,'Forecast Z Scores'!$A$1:$N$1541,13,FALSE)/VLOOKUP(A1218,'Forecast Z Scores'!$A$1:$N$1541,14,FALSE),"Not Enough Data")</f>
        <v>-5.5173659202919945E-2</v>
      </c>
      <c r="H1218">
        <v>-5.9788131760629956E-2</v>
      </c>
    </row>
    <row r="1219" spans="1:8" x14ac:dyDescent="0.35">
      <c r="A1219" t="str">
        <f t="shared" ref="A1219:A1282" si="19">TEXT(B1219,0)&amp;"_"&amp;TEXT(C1219,0)</f>
        <v>18097391001_2026</v>
      </c>
      <c r="B1219">
        <v>18097391001</v>
      </c>
      <c r="C1219">
        <v>2026</v>
      </c>
      <c r="E1219">
        <f>-(IF(VLOOKUP(B1219,'2023 Z Scores'!$A$1:$K$309,11,FALSE)&gt;2,VLOOKUP(B1219,'2023 Z Scores'!$A$1:$K$309,10,FALSE)/VLOOKUP(B1219,'2023 Z Scores'!$A$1:$K$309,11,FALSE),"Not Enough data"))</f>
        <v>0.15560594336213246</v>
      </c>
      <c r="F1219">
        <f>IF(VLOOKUP(A1219,'Delta Z Scores'!$A$1:$N$1541,14,FALSE)&gt;2,VLOOKUP(A1219,'Delta Z Scores'!$A$1:$N$1541,13,FALSE)/VLOOKUP(A1219,'Delta Z Scores'!$A$1:$N$1541,14,FALSE),"Not Enough Data")</f>
        <v>-0.90971898684303454</v>
      </c>
      <c r="G1219">
        <f>IF(VLOOKUP(A1219,'Forecast Z Scores'!$A$1:$N$1541,14,FALSE)&gt;2,VLOOKUP(A1219,'Forecast Z Scores'!$A$1:$N$1541,13,FALSE)/VLOOKUP(A1219,'Forecast Z Scores'!$A$1:$N$1541,14,FALSE),"Not Enough Data")</f>
        <v>-0.21651208295587207</v>
      </c>
      <c r="H1219">
        <v>-0.47008602831995216</v>
      </c>
    </row>
    <row r="1220" spans="1:8" x14ac:dyDescent="0.35">
      <c r="A1220" t="str">
        <f t="shared" si="19"/>
        <v>18097391001_2027</v>
      </c>
      <c r="B1220">
        <v>18097391001</v>
      </c>
      <c r="C1220">
        <v>2027</v>
      </c>
      <c r="E1220">
        <f>-(IF(VLOOKUP(B1220,'2023 Z Scores'!$A$1:$K$309,11,FALSE)&gt;2,VLOOKUP(B1220,'2023 Z Scores'!$A$1:$K$309,10,FALSE)/VLOOKUP(B1220,'2023 Z Scores'!$A$1:$K$309,11,FALSE),"Not Enough data"))</f>
        <v>0.15560594336213246</v>
      </c>
      <c r="F1220">
        <f>IF(VLOOKUP(A1220,'Delta Z Scores'!$A$1:$N$1541,14,FALSE)&gt;2,VLOOKUP(A1220,'Delta Z Scores'!$A$1:$N$1541,13,FALSE)/VLOOKUP(A1220,'Delta Z Scores'!$A$1:$N$1541,14,FALSE),"Not Enough Data")</f>
        <v>-0.20638045944097086</v>
      </c>
      <c r="G1220">
        <f>IF(VLOOKUP(A1220,'Forecast Z Scores'!$A$1:$N$1541,14,FALSE)&gt;2,VLOOKUP(A1220,'Forecast Z Scores'!$A$1:$N$1541,13,FALSE)/VLOOKUP(A1220,'Forecast Z Scores'!$A$1:$N$1541,14,FALSE),"Not Enough Data")</f>
        <v>-0.28159218523246293</v>
      </c>
      <c r="H1220">
        <v>-0.13468679018806806</v>
      </c>
    </row>
    <row r="1221" spans="1:8" x14ac:dyDescent="0.35">
      <c r="A1221" t="str">
        <f t="shared" si="19"/>
        <v>18097391001_2028</v>
      </c>
      <c r="B1221">
        <v>18097391001</v>
      </c>
      <c r="C1221">
        <v>2028</v>
      </c>
      <c r="E1221">
        <f>-(IF(VLOOKUP(B1221,'2023 Z Scores'!$A$1:$K$309,11,FALSE)&gt;2,VLOOKUP(B1221,'2023 Z Scores'!$A$1:$K$309,10,FALSE)/VLOOKUP(B1221,'2023 Z Scores'!$A$1:$K$309,11,FALSE),"Not Enough data"))</f>
        <v>0.15560594336213246</v>
      </c>
      <c r="F1221">
        <f>IF(VLOOKUP(A1221,'Delta Z Scores'!$A$1:$N$1541,14,FALSE)&gt;2,VLOOKUP(A1221,'Delta Z Scores'!$A$1:$N$1541,13,FALSE)/VLOOKUP(A1221,'Delta Z Scores'!$A$1:$N$1541,14,FALSE),"Not Enough Data")</f>
        <v>-0.69324343695854707</v>
      </c>
      <c r="G1221">
        <f>IF(VLOOKUP(A1221,'Forecast Z Scores'!$A$1:$N$1541,14,FALSE)&gt;2,VLOOKUP(A1221,'Forecast Z Scores'!$A$1:$N$1541,13,FALSE)/VLOOKUP(A1221,'Forecast Z Scores'!$A$1:$N$1541,14,FALSE),"Not Enough Data")</f>
        <v>-0.41635958503233239</v>
      </c>
      <c r="H1221">
        <v>-0.41181012889682356</v>
      </c>
    </row>
    <row r="1222" spans="1:8" x14ac:dyDescent="0.35">
      <c r="A1222" t="str">
        <f t="shared" si="19"/>
        <v>18097391002_2024</v>
      </c>
      <c r="B1222">
        <v>18097391002</v>
      </c>
      <c r="C1222">
        <v>2024</v>
      </c>
      <c r="E1222">
        <f>-(IF(VLOOKUP(B1222,'2023 Z Scores'!$A$1:$K$309,11,FALSE)&gt;2,VLOOKUP(B1222,'2023 Z Scores'!$A$1:$K$309,10,FALSE)/VLOOKUP(B1222,'2023 Z Scores'!$A$1:$K$309,11,FALSE),"Not Enough data"))</f>
        <v>-0.96364708923128717</v>
      </c>
      <c r="F1222">
        <f>IF(VLOOKUP(A1222,'Delta Z Scores'!$A$1:$N$1541,14,FALSE)&gt;2,VLOOKUP(A1222,'Delta Z Scores'!$A$1:$N$1541,13,FALSE)/VLOOKUP(A1222,'Delta Z Scores'!$A$1:$N$1541,14,FALSE),"Not Enough Data")</f>
        <v>1.4593990125672996E-2</v>
      </c>
      <c r="G1222">
        <f>IF(VLOOKUP(A1222,'Forecast Z Scores'!$A$1:$N$1541,14,FALSE)&gt;2,VLOOKUP(A1222,'Forecast Z Scores'!$A$1:$N$1541,13,FALSE)/VLOOKUP(A1222,'Forecast Z Scores'!$A$1:$N$1541,14,FALSE),"Not Enough Data")</f>
        <v>1.7678000013741788</v>
      </c>
      <c r="H1222">
        <v>0.2083352230985594</v>
      </c>
    </row>
    <row r="1223" spans="1:8" x14ac:dyDescent="0.35">
      <c r="A1223" t="str">
        <f t="shared" si="19"/>
        <v>18097391002_2025</v>
      </c>
      <c r="B1223">
        <v>18097391002</v>
      </c>
      <c r="C1223">
        <v>2025</v>
      </c>
      <c r="E1223">
        <f>-(IF(VLOOKUP(B1223,'2023 Z Scores'!$A$1:$K$309,11,FALSE)&gt;2,VLOOKUP(B1223,'2023 Z Scores'!$A$1:$K$309,10,FALSE)/VLOOKUP(B1223,'2023 Z Scores'!$A$1:$K$309,11,FALSE),"Not Enough data"))</f>
        <v>-0.96364708923128717</v>
      </c>
      <c r="F1223">
        <f>IF(VLOOKUP(A1223,'Delta Z Scores'!$A$1:$N$1541,14,FALSE)&gt;2,VLOOKUP(A1223,'Delta Z Scores'!$A$1:$N$1541,13,FALSE)/VLOOKUP(A1223,'Delta Z Scores'!$A$1:$N$1541,14,FALSE),"Not Enough Data")</f>
        <v>0.38061280324222196</v>
      </c>
      <c r="G1223">
        <f>IF(VLOOKUP(A1223,'Forecast Z Scores'!$A$1:$N$1541,14,FALSE)&gt;2,VLOOKUP(A1223,'Forecast Z Scores'!$A$1:$N$1541,13,FALSE)/VLOOKUP(A1223,'Forecast Z Scores'!$A$1:$N$1541,14,FALSE),"Not Enough Data")</f>
        <v>1.9509583728226918</v>
      </c>
      <c r="H1223">
        <v>0.43713422251896217</v>
      </c>
    </row>
    <row r="1224" spans="1:8" x14ac:dyDescent="0.35">
      <c r="A1224" t="str">
        <f t="shared" si="19"/>
        <v>18097391002_2026</v>
      </c>
      <c r="B1224">
        <v>18097391002</v>
      </c>
      <c r="C1224">
        <v>2026</v>
      </c>
      <c r="E1224">
        <f>-(IF(VLOOKUP(B1224,'2023 Z Scores'!$A$1:$K$309,11,FALSE)&gt;2,VLOOKUP(B1224,'2023 Z Scores'!$A$1:$K$309,10,FALSE)/VLOOKUP(B1224,'2023 Z Scores'!$A$1:$K$309,11,FALSE),"Not Enough data"))</f>
        <v>-0.96364708923128717</v>
      </c>
      <c r="F1224">
        <f>IF(VLOOKUP(A1224,'Delta Z Scores'!$A$1:$N$1541,14,FALSE)&gt;2,VLOOKUP(A1224,'Delta Z Scores'!$A$1:$N$1541,13,FALSE)/VLOOKUP(A1224,'Delta Z Scores'!$A$1:$N$1541,14,FALSE),"Not Enough Data")</f>
        <v>0.46730290996644169</v>
      </c>
      <c r="G1224">
        <f>IF(VLOOKUP(A1224,'Forecast Z Scores'!$A$1:$N$1541,14,FALSE)&gt;2,VLOOKUP(A1224,'Forecast Z Scores'!$A$1:$N$1541,13,FALSE)/VLOOKUP(A1224,'Forecast Z Scores'!$A$1:$N$1541,14,FALSE),"Not Enough Data")</f>
        <v>2.0417885919341106</v>
      </c>
      <c r="H1224">
        <v>0.50318683065892666</v>
      </c>
    </row>
    <row r="1225" spans="1:8" x14ac:dyDescent="0.35">
      <c r="A1225" t="str">
        <f t="shared" si="19"/>
        <v>18097391002_2027</v>
      </c>
      <c r="B1225">
        <v>18097391002</v>
      </c>
      <c r="C1225">
        <v>2027</v>
      </c>
      <c r="E1225">
        <f>-(IF(VLOOKUP(B1225,'2023 Z Scores'!$A$1:$K$309,11,FALSE)&gt;2,VLOOKUP(B1225,'2023 Z Scores'!$A$1:$K$309,10,FALSE)/VLOOKUP(B1225,'2023 Z Scores'!$A$1:$K$309,11,FALSE),"Not Enough data"))</f>
        <v>-0.96364708923128717</v>
      </c>
      <c r="F1225">
        <f>IF(VLOOKUP(A1225,'Delta Z Scores'!$A$1:$N$1541,14,FALSE)&gt;2,VLOOKUP(A1225,'Delta Z Scores'!$A$1:$N$1541,13,FALSE)/VLOOKUP(A1225,'Delta Z Scores'!$A$1:$N$1541,14,FALSE),"Not Enough Data")</f>
        <v>0.50400477836104418</v>
      </c>
      <c r="G1225">
        <f>IF(VLOOKUP(A1225,'Forecast Z Scores'!$A$1:$N$1541,14,FALSE)&gt;2,VLOOKUP(A1225,'Forecast Z Scores'!$A$1:$N$1541,13,FALSE)/VLOOKUP(A1225,'Forecast Z Scores'!$A$1:$N$1541,14,FALSE),"Not Enough Data")</f>
        <v>2.1577585783849114</v>
      </c>
      <c r="H1225">
        <v>0.55053026146892814</v>
      </c>
    </row>
    <row r="1226" spans="1:8" x14ac:dyDescent="0.35">
      <c r="A1226" t="str">
        <f t="shared" si="19"/>
        <v>18097391002_2028</v>
      </c>
      <c r="B1226">
        <v>18097391002</v>
      </c>
      <c r="C1226">
        <v>2028</v>
      </c>
      <c r="E1226">
        <f>-(IF(VLOOKUP(B1226,'2023 Z Scores'!$A$1:$K$309,11,FALSE)&gt;2,VLOOKUP(B1226,'2023 Z Scores'!$A$1:$K$309,10,FALSE)/VLOOKUP(B1226,'2023 Z Scores'!$A$1:$K$309,11,FALSE),"Not Enough data"))</f>
        <v>-0.96364708923128717</v>
      </c>
      <c r="F1226">
        <f>IF(VLOOKUP(A1226,'Delta Z Scores'!$A$1:$N$1541,14,FALSE)&gt;2,VLOOKUP(A1226,'Delta Z Scores'!$A$1:$N$1541,13,FALSE)/VLOOKUP(A1226,'Delta Z Scores'!$A$1:$N$1541,14,FALSE),"Not Enough Data")</f>
        <v>0.66619763039223656</v>
      </c>
      <c r="G1226">
        <f>IF(VLOOKUP(A1226,'Forecast Z Scores'!$A$1:$N$1541,14,FALSE)&gt;2,VLOOKUP(A1226,'Forecast Z Scores'!$A$1:$N$1541,13,FALSE)/VLOOKUP(A1226,'Forecast Z Scores'!$A$1:$N$1541,14,FALSE),"Not Enough Data")</f>
        <v>2.2313045872063486</v>
      </c>
      <c r="H1226">
        <v>0.65001318968988364</v>
      </c>
    </row>
    <row r="1227" spans="1:8" x14ac:dyDescent="0.35">
      <c r="A1227" t="str">
        <f t="shared" si="19"/>
        <v>18097310103_2024</v>
      </c>
      <c r="B1227">
        <v>18097310103</v>
      </c>
      <c r="C1227">
        <v>2024</v>
      </c>
      <c r="E1227">
        <f>-(IF(VLOOKUP(B1227,'2023 Z Scores'!$A$1:$K$309,11,FALSE)&gt;2,VLOOKUP(B1227,'2023 Z Scores'!$A$1:$K$309,10,FALSE)/VLOOKUP(B1227,'2023 Z Scores'!$A$1:$K$309,11,FALSE),"Not Enough data"))</f>
        <v>-1.1076819155519979</v>
      </c>
      <c r="F1227">
        <f>IF(VLOOKUP(A1227,'Delta Z Scores'!$A$1:$N$1541,14,FALSE)&gt;2,VLOOKUP(A1227,'Delta Z Scores'!$A$1:$N$1541,13,FALSE)/VLOOKUP(A1227,'Delta Z Scores'!$A$1:$N$1541,14,FALSE),"Not Enough Data")</f>
        <v>-0.14307061932209728</v>
      </c>
      <c r="G1227">
        <f>IF(VLOOKUP(A1227,'Forecast Z Scores'!$A$1:$N$1541,14,FALSE)&gt;2,VLOOKUP(A1227,'Forecast Z Scores'!$A$1:$N$1541,13,FALSE)/VLOOKUP(A1227,'Forecast Z Scores'!$A$1:$N$1541,14,FALSE),"Not Enough Data")</f>
        <v>0.97408332786450003</v>
      </c>
      <c r="H1227">
        <v>-0.10493495658292312</v>
      </c>
    </row>
    <row r="1228" spans="1:8" x14ac:dyDescent="0.35">
      <c r="A1228" t="str">
        <f t="shared" si="19"/>
        <v>18097310103_2025</v>
      </c>
      <c r="B1228">
        <v>18097310103</v>
      </c>
      <c r="C1228">
        <v>2025</v>
      </c>
      <c r="E1228">
        <f>-(IF(VLOOKUP(B1228,'2023 Z Scores'!$A$1:$K$309,11,FALSE)&gt;2,VLOOKUP(B1228,'2023 Z Scores'!$A$1:$K$309,10,FALSE)/VLOOKUP(B1228,'2023 Z Scores'!$A$1:$K$309,11,FALSE),"Not Enough data"))</f>
        <v>-1.1076819155519979</v>
      </c>
      <c r="F1228">
        <f>IF(VLOOKUP(A1228,'Delta Z Scores'!$A$1:$N$1541,14,FALSE)&gt;2,VLOOKUP(A1228,'Delta Z Scores'!$A$1:$N$1541,13,FALSE)/VLOOKUP(A1228,'Delta Z Scores'!$A$1:$N$1541,14,FALSE),"Not Enough Data")</f>
        <v>-3.3872165402033902E-2</v>
      </c>
      <c r="G1228">
        <f>IF(VLOOKUP(A1228,'Forecast Z Scores'!$A$1:$N$1541,14,FALSE)&gt;2,VLOOKUP(A1228,'Forecast Z Scores'!$A$1:$N$1541,13,FALSE)/VLOOKUP(A1228,'Forecast Z Scores'!$A$1:$N$1541,14,FALSE),"Not Enough Data")</f>
        <v>0.95727724929724956</v>
      </c>
      <c r="H1228">
        <v>-5.4537249264704046E-2</v>
      </c>
    </row>
    <row r="1229" spans="1:8" x14ac:dyDescent="0.35">
      <c r="A1229" t="str">
        <f t="shared" si="19"/>
        <v>18097310103_2026</v>
      </c>
      <c r="B1229">
        <v>18097310103</v>
      </c>
      <c r="C1229">
        <v>2026</v>
      </c>
      <c r="E1229">
        <f>-(IF(VLOOKUP(B1229,'2023 Z Scores'!$A$1:$K$309,11,FALSE)&gt;2,VLOOKUP(B1229,'2023 Z Scores'!$A$1:$K$309,10,FALSE)/VLOOKUP(B1229,'2023 Z Scores'!$A$1:$K$309,11,FALSE),"Not Enough data"))</f>
        <v>-1.1076819155519979</v>
      </c>
      <c r="F1229">
        <f>IF(VLOOKUP(A1229,'Delta Z Scores'!$A$1:$N$1541,14,FALSE)&gt;2,VLOOKUP(A1229,'Delta Z Scores'!$A$1:$N$1541,13,FALSE)/VLOOKUP(A1229,'Delta Z Scores'!$A$1:$N$1541,14,FALSE),"Not Enough Data")</f>
        <v>-5.5817304097456041E-2</v>
      </c>
      <c r="G1229">
        <f>IF(VLOOKUP(A1229,'Forecast Z Scores'!$A$1:$N$1541,14,FALSE)&gt;2,VLOOKUP(A1229,'Forecast Z Scores'!$A$1:$N$1541,13,FALSE)/VLOOKUP(A1229,'Forecast Z Scores'!$A$1:$N$1541,14,FALSE),"Not Enough Data")</f>
        <v>0.90680834582233572</v>
      </c>
      <c r="H1229">
        <v>-7.8127044481143576E-2</v>
      </c>
    </row>
    <row r="1230" spans="1:8" x14ac:dyDescent="0.35">
      <c r="A1230" t="str">
        <f t="shared" si="19"/>
        <v>18097310103_2027</v>
      </c>
      <c r="B1230">
        <v>18097310103</v>
      </c>
      <c r="C1230">
        <v>2027</v>
      </c>
      <c r="E1230">
        <f>-(IF(VLOOKUP(B1230,'2023 Z Scores'!$A$1:$K$309,11,FALSE)&gt;2,VLOOKUP(B1230,'2023 Z Scores'!$A$1:$K$309,10,FALSE)/VLOOKUP(B1230,'2023 Z Scores'!$A$1:$K$309,11,FALSE),"Not Enough data"))</f>
        <v>-1.1076819155519979</v>
      </c>
      <c r="F1230">
        <f>IF(VLOOKUP(A1230,'Delta Z Scores'!$A$1:$N$1541,14,FALSE)&gt;2,VLOOKUP(A1230,'Delta Z Scores'!$A$1:$N$1541,13,FALSE)/VLOOKUP(A1230,'Delta Z Scores'!$A$1:$N$1541,14,FALSE),"Not Enough Data")</f>
        <v>2.5360705765985505E-2</v>
      </c>
      <c r="G1230">
        <f>IF(VLOOKUP(A1230,'Forecast Z Scores'!$A$1:$N$1541,14,FALSE)&gt;2,VLOOKUP(A1230,'Forecast Z Scores'!$A$1:$N$1541,13,FALSE)/VLOOKUP(A1230,'Forecast Z Scores'!$A$1:$N$1541,14,FALSE),"Not Enough Data")</f>
        <v>0.88108982936730751</v>
      </c>
      <c r="H1230">
        <v>-4.396766866317986E-2</v>
      </c>
    </row>
    <row r="1231" spans="1:8" x14ac:dyDescent="0.35">
      <c r="A1231" t="str">
        <f t="shared" si="19"/>
        <v>18097320203_2028</v>
      </c>
      <c r="B1231">
        <v>18097320203</v>
      </c>
      <c r="C1231">
        <v>2028</v>
      </c>
      <c r="E1231">
        <f>-(IF(VLOOKUP(B1231,'2023 Z Scores'!$A$1:$K$309,11,FALSE)&gt;2,VLOOKUP(B1231,'2023 Z Scores'!$A$1:$K$309,10,FALSE)/VLOOKUP(B1231,'2023 Z Scores'!$A$1:$K$309,11,FALSE),"Not Enough data"))</f>
        <v>-0.29288268479586627</v>
      </c>
      <c r="F1231">
        <f>IF(VLOOKUP(A1231,'Delta Z Scores'!$A$1:$N$1541,14,FALSE)&gt;2,VLOOKUP(A1231,'Delta Z Scores'!$A$1:$N$1541,13,FALSE)/VLOOKUP(A1231,'Delta Z Scores'!$A$1:$N$1541,14,FALSE),"Not Enough Data")</f>
        <v>-0.11195596129078718</v>
      </c>
      <c r="G1231">
        <f>IF(VLOOKUP(A1231,'Forecast Z Scores'!$A$1:$N$1541,14,FALSE)&gt;2,VLOOKUP(A1231,'Forecast Z Scores'!$A$1:$N$1541,13,FALSE)/VLOOKUP(A1231,'Forecast Z Scores'!$A$1:$N$1541,14,FALSE),"Not Enough Data")</f>
        <v>0.3538543230250511</v>
      </c>
      <c r="H1231">
        <v>-4.0735071088097381E-2</v>
      </c>
    </row>
    <row r="1232" spans="1:8" x14ac:dyDescent="0.35">
      <c r="A1232" t="str">
        <f t="shared" si="19"/>
        <v>18097320203_2024</v>
      </c>
      <c r="B1232">
        <v>18097320203</v>
      </c>
      <c r="C1232">
        <v>2024</v>
      </c>
      <c r="E1232">
        <f>-(IF(VLOOKUP(B1232,'2023 Z Scores'!$A$1:$K$309,11,FALSE)&gt;2,VLOOKUP(B1232,'2023 Z Scores'!$A$1:$K$309,10,FALSE)/VLOOKUP(B1232,'2023 Z Scores'!$A$1:$K$309,11,FALSE),"Not Enough data"))</f>
        <v>-0.29288268479586627</v>
      </c>
      <c r="F1232">
        <f>IF(VLOOKUP(A1232,'Delta Z Scores'!$A$1:$N$1541,14,FALSE)&gt;2,VLOOKUP(A1232,'Delta Z Scores'!$A$1:$N$1541,13,FALSE)/VLOOKUP(A1232,'Delta Z Scores'!$A$1:$N$1541,14,FALSE),"Not Enough Data")</f>
        <v>0.29345518732675785</v>
      </c>
      <c r="G1232">
        <f>IF(VLOOKUP(A1232,'Forecast Z Scores'!$A$1:$N$1541,14,FALSE)&gt;2,VLOOKUP(A1232,'Forecast Z Scores'!$A$1:$N$1541,13,FALSE)/VLOOKUP(A1232,'Forecast Z Scores'!$A$1:$N$1541,14,FALSE),"Not Enough Data")</f>
        <v>0.54267220415366346</v>
      </c>
      <c r="H1232">
        <v>0.20917497350282821</v>
      </c>
    </row>
    <row r="1233" spans="1:8" x14ac:dyDescent="0.35">
      <c r="A1233" t="str">
        <f t="shared" si="19"/>
        <v>18097320203_2025</v>
      </c>
      <c r="B1233">
        <v>18097320203</v>
      </c>
      <c r="C1233">
        <v>2025</v>
      </c>
      <c r="E1233">
        <f>-(IF(VLOOKUP(B1233,'2023 Z Scores'!$A$1:$K$309,11,FALSE)&gt;2,VLOOKUP(B1233,'2023 Z Scores'!$A$1:$K$309,10,FALSE)/VLOOKUP(B1233,'2023 Z Scores'!$A$1:$K$309,11,FALSE),"Not Enough data"))</f>
        <v>-0.29288268479586627</v>
      </c>
      <c r="F1233">
        <f>IF(VLOOKUP(A1233,'Delta Z Scores'!$A$1:$N$1541,14,FALSE)&gt;2,VLOOKUP(A1233,'Delta Z Scores'!$A$1:$N$1541,13,FALSE)/VLOOKUP(A1233,'Delta Z Scores'!$A$1:$N$1541,14,FALSE),"Not Enough Data")</f>
        <v>-0.311228445838725</v>
      </c>
      <c r="G1233">
        <f>IF(VLOOKUP(A1233,'Forecast Z Scores'!$A$1:$N$1541,14,FALSE)&gt;2,VLOOKUP(A1233,'Forecast Z Scores'!$A$1:$N$1541,13,FALSE)/VLOOKUP(A1233,'Forecast Z Scores'!$A$1:$N$1541,14,FALSE),"Not Enough Data")</f>
        <v>0.47192939616045626</v>
      </c>
      <c r="H1233">
        <v>-0.110852545078215</v>
      </c>
    </row>
    <row r="1234" spans="1:8" x14ac:dyDescent="0.35">
      <c r="A1234" t="str">
        <f t="shared" si="19"/>
        <v>18097320203_2026</v>
      </c>
      <c r="B1234">
        <v>18097320203</v>
      </c>
      <c r="C1234">
        <v>2026</v>
      </c>
      <c r="E1234">
        <f>-(IF(VLOOKUP(B1234,'2023 Z Scores'!$A$1:$K$309,11,FALSE)&gt;2,VLOOKUP(B1234,'2023 Z Scores'!$A$1:$K$309,10,FALSE)/VLOOKUP(B1234,'2023 Z Scores'!$A$1:$K$309,11,FALSE),"Not Enough data"))</f>
        <v>-0.29288268479586627</v>
      </c>
      <c r="F1234">
        <f>IF(VLOOKUP(A1234,'Delta Z Scores'!$A$1:$N$1541,14,FALSE)&gt;2,VLOOKUP(A1234,'Delta Z Scores'!$A$1:$N$1541,13,FALSE)/VLOOKUP(A1234,'Delta Z Scores'!$A$1:$N$1541,14,FALSE),"Not Enough Data")</f>
        <v>-0.12096089214642661</v>
      </c>
      <c r="G1234">
        <f>IF(VLOOKUP(A1234,'Forecast Z Scores'!$A$1:$N$1541,14,FALSE)&gt;2,VLOOKUP(A1234,'Forecast Z Scores'!$A$1:$N$1541,13,FALSE)/VLOOKUP(A1234,'Forecast Z Scores'!$A$1:$N$1541,14,FALSE),"Not Enough Data")</f>
        <v>0.44459312242369836</v>
      </c>
      <c r="H1234">
        <v>-2.255283666625528E-2</v>
      </c>
    </row>
    <row r="1235" spans="1:8" x14ac:dyDescent="0.35">
      <c r="A1235" t="str">
        <f t="shared" si="19"/>
        <v>18097320203_2027</v>
      </c>
      <c r="B1235">
        <v>18097320203</v>
      </c>
      <c r="C1235">
        <v>2027</v>
      </c>
      <c r="E1235">
        <f>-(IF(VLOOKUP(B1235,'2023 Z Scores'!$A$1:$K$309,11,FALSE)&gt;2,VLOOKUP(B1235,'2023 Z Scores'!$A$1:$K$309,10,FALSE)/VLOOKUP(B1235,'2023 Z Scores'!$A$1:$K$309,11,FALSE),"Not Enough data"))</f>
        <v>-0.29288268479586627</v>
      </c>
      <c r="F1235">
        <f>IF(VLOOKUP(A1235,'Delta Z Scores'!$A$1:$N$1541,14,FALSE)&gt;2,VLOOKUP(A1235,'Delta Z Scores'!$A$1:$N$1541,13,FALSE)/VLOOKUP(A1235,'Delta Z Scores'!$A$1:$N$1541,14,FALSE),"Not Enough Data")</f>
        <v>-0.25082673453509996</v>
      </c>
      <c r="G1235">
        <f>IF(VLOOKUP(A1235,'Forecast Z Scores'!$A$1:$N$1541,14,FALSE)&gt;2,VLOOKUP(A1235,'Forecast Z Scores'!$A$1:$N$1541,13,FALSE)/VLOOKUP(A1235,'Forecast Z Scores'!$A$1:$N$1541,14,FALSE),"Not Enough Data")</f>
        <v>0.38461133916457557</v>
      </c>
      <c r="H1235">
        <v>-0.10248120367537265</v>
      </c>
    </row>
    <row r="1236" spans="1:8" x14ac:dyDescent="0.35">
      <c r="A1236" t="str">
        <f t="shared" si="19"/>
        <v>18097320204_2028</v>
      </c>
      <c r="B1236">
        <v>18097320204</v>
      </c>
      <c r="C1236">
        <v>2028</v>
      </c>
      <c r="E1236">
        <f>-(IF(VLOOKUP(B1236,'2023 Z Scores'!$A$1:$K$309,11,FALSE)&gt;2,VLOOKUP(B1236,'2023 Z Scores'!$A$1:$K$309,10,FALSE)/VLOOKUP(B1236,'2023 Z Scores'!$A$1:$K$309,11,FALSE),"Not Enough data"))</f>
        <v>0.26821797180767104</v>
      </c>
      <c r="F1236">
        <f>IF(VLOOKUP(A1236,'Delta Z Scores'!$A$1:$N$1541,14,FALSE)&gt;2,VLOOKUP(A1236,'Delta Z Scores'!$A$1:$N$1541,13,FALSE)/VLOOKUP(A1236,'Delta Z Scores'!$A$1:$N$1541,14,FALSE),"Not Enough Data")</f>
        <v>-0.36938454089789802</v>
      </c>
      <c r="G1236">
        <f>IF(VLOOKUP(A1236,'Forecast Z Scores'!$A$1:$N$1541,14,FALSE)&gt;2,VLOOKUP(A1236,'Forecast Z Scores'!$A$1:$N$1541,13,FALSE)/VLOOKUP(A1236,'Forecast Z Scores'!$A$1:$N$1541,14,FALSE),"Not Enough Data")</f>
        <v>-0.33021852869279472</v>
      </c>
      <c r="H1236">
        <v>-0.20019240967022991</v>
      </c>
    </row>
    <row r="1237" spans="1:8" x14ac:dyDescent="0.35">
      <c r="A1237" t="str">
        <f t="shared" si="19"/>
        <v>18097320204_2024</v>
      </c>
      <c r="B1237">
        <v>18097320204</v>
      </c>
      <c r="C1237">
        <v>2024</v>
      </c>
      <c r="E1237">
        <f>-(IF(VLOOKUP(B1237,'2023 Z Scores'!$A$1:$K$309,11,FALSE)&gt;2,VLOOKUP(B1237,'2023 Z Scores'!$A$1:$K$309,10,FALSE)/VLOOKUP(B1237,'2023 Z Scores'!$A$1:$K$309,11,FALSE),"Not Enough data"))</f>
        <v>0.26821797180767104</v>
      </c>
      <c r="F1237">
        <f>IF(VLOOKUP(A1237,'Delta Z Scores'!$A$1:$N$1541,14,FALSE)&gt;2,VLOOKUP(A1237,'Delta Z Scores'!$A$1:$N$1541,13,FALSE)/VLOOKUP(A1237,'Delta Z Scores'!$A$1:$N$1541,14,FALSE),"Not Enough Data")</f>
        <v>-0.12425470436761821</v>
      </c>
      <c r="G1237">
        <f>IF(VLOOKUP(A1237,'Forecast Z Scores'!$A$1:$N$1541,14,FALSE)&gt;2,VLOOKUP(A1237,'Forecast Z Scores'!$A$1:$N$1541,13,FALSE)/VLOOKUP(A1237,'Forecast Z Scores'!$A$1:$N$1541,14,FALSE),"Not Enough Data")</f>
        <v>-0.16677469363418043</v>
      </c>
      <c r="H1237">
        <v>-3.6766532640436445E-2</v>
      </c>
    </row>
    <row r="1238" spans="1:8" x14ac:dyDescent="0.35">
      <c r="A1238" t="str">
        <f t="shared" si="19"/>
        <v>18097320204_2025</v>
      </c>
      <c r="B1238">
        <v>18097320204</v>
      </c>
      <c r="C1238">
        <v>2025</v>
      </c>
      <c r="E1238">
        <f>-(IF(VLOOKUP(B1238,'2023 Z Scores'!$A$1:$K$309,11,FALSE)&gt;2,VLOOKUP(B1238,'2023 Z Scores'!$A$1:$K$309,10,FALSE)/VLOOKUP(B1238,'2023 Z Scores'!$A$1:$K$309,11,FALSE),"Not Enough data"))</f>
        <v>0.26821797180767104</v>
      </c>
      <c r="F1238">
        <f>IF(VLOOKUP(A1238,'Delta Z Scores'!$A$1:$N$1541,14,FALSE)&gt;2,VLOOKUP(A1238,'Delta Z Scores'!$A$1:$N$1541,13,FALSE)/VLOOKUP(A1238,'Delta Z Scores'!$A$1:$N$1541,14,FALSE),"Not Enough Data")</f>
        <v>-0.28072953993212046</v>
      </c>
      <c r="G1238">
        <f>IF(VLOOKUP(A1238,'Forecast Z Scores'!$A$1:$N$1541,14,FALSE)&gt;2,VLOOKUP(A1238,'Forecast Z Scores'!$A$1:$N$1541,13,FALSE)/VLOOKUP(A1238,'Forecast Z Scores'!$A$1:$N$1541,14,FALSE),"Not Enough Data")</f>
        <v>-0.21405708500240558</v>
      </c>
      <c r="H1238">
        <v>-0.12682454826474387</v>
      </c>
    </row>
    <row r="1239" spans="1:8" x14ac:dyDescent="0.35">
      <c r="A1239" t="str">
        <f t="shared" si="19"/>
        <v>18097320204_2026</v>
      </c>
      <c r="B1239">
        <v>18097320204</v>
      </c>
      <c r="C1239">
        <v>2026</v>
      </c>
      <c r="E1239">
        <f>-(IF(VLOOKUP(B1239,'2023 Z Scores'!$A$1:$K$309,11,FALSE)&gt;2,VLOOKUP(B1239,'2023 Z Scores'!$A$1:$K$309,10,FALSE)/VLOOKUP(B1239,'2023 Z Scores'!$A$1:$K$309,11,FALSE),"Not Enough data"))</f>
        <v>0.26821797180767104</v>
      </c>
      <c r="F1239">
        <f>IF(VLOOKUP(A1239,'Delta Z Scores'!$A$1:$N$1541,14,FALSE)&gt;2,VLOOKUP(A1239,'Delta Z Scores'!$A$1:$N$1541,13,FALSE)/VLOOKUP(A1239,'Delta Z Scores'!$A$1:$N$1541,14,FALSE),"Not Enough Data")</f>
        <v>-0.4290595902964508</v>
      </c>
      <c r="G1239">
        <f>IF(VLOOKUP(A1239,'Forecast Z Scores'!$A$1:$N$1541,14,FALSE)&gt;2,VLOOKUP(A1239,'Forecast Z Scores'!$A$1:$N$1541,13,FALSE)/VLOOKUP(A1239,'Forecast Z Scores'!$A$1:$N$1541,14,FALSE),"Not Enough Data")</f>
        <v>-0.26094134157866977</v>
      </c>
      <c r="H1239">
        <v>-0.21271063759097511</v>
      </c>
    </row>
    <row r="1240" spans="1:8" x14ac:dyDescent="0.35">
      <c r="A1240" t="str">
        <f t="shared" si="19"/>
        <v>18097320205_2027</v>
      </c>
      <c r="B1240">
        <v>18097320205</v>
      </c>
      <c r="C1240">
        <v>2027</v>
      </c>
      <c r="E1240">
        <f>-(IF(VLOOKUP(B1240,'2023 Z Scores'!$A$1:$K$309,11,FALSE)&gt;2,VLOOKUP(B1240,'2023 Z Scores'!$A$1:$K$309,10,FALSE)/VLOOKUP(B1240,'2023 Z Scores'!$A$1:$K$309,11,FALSE),"Not Enough data"))</f>
        <v>-1.530940406917094E-2</v>
      </c>
      <c r="F1240">
        <f>IF(VLOOKUP(A1240,'Delta Z Scores'!$A$1:$N$1541,14,FALSE)&gt;2,VLOOKUP(A1240,'Delta Z Scores'!$A$1:$N$1541,13,FALSE)/VLOOKUP(A1240,'Delta Z Scores'!$A$1:$N$1541,14,FALSE),"Not Enough Data")</f>
        <v>9.6289728478676451E-2</v>
      </c>
      <c r="G1240">
        <f>IF(VLOOKUP(A1240,'Forecast Z Scores'!$A$1:$N$1541,14,FALSE)&gt;2,VLOOKUP(A1240,'Forecast Z Scores'!$A$1:$N$1541,13,FALSE)/VLOOKUP(A1240,'Forecast Z Scores'!$A$1:$N$1541,14,FALSE),"Not Enough Data")</f>
        <v>0.58351399755253441</v>
      </c>
      <c r="H1240">
        <v>0.1901960126101791</v>
      </c>
    </row>
    <row r="1241" spans="1:8" x14ac:dyDescent="0.35">
      <c r="A1241" t="str">
        <f t="shared" si="19"/>
        <v>18097320205_2028</v>
      </c>
      <c r="B1241">
        <v>18097320205</v>
      </c>
      <c r="C1241">
        <v>2028</v>
      </c>
      <c r="E1241">
        <f>-(IF(VLOOKUP(B1241,'2023 Z Scores'!$A$1:$K$309,11,FALSE)&gt;2,VLOOKUP(B1241,'2023 Z Scores'!$A$1:$K$309,10,FALSE)/VLOOKUP(B1241,'2023 Z Scores'!$A$1:$K$309,11,FALSE),"Not Enough data"))</f>
        <v>-1.530940406917094E-2</v>
      </c>
      <c r="F1241">
        <f>IF(VLOOKUP(A1241,'Delta Z Scores'!$A$1:$N$1541,14,FALSE)&gt;2,VLOOKUP(A1241,'Delta Z Scores'!$A$1:$N$1541,13,FALSE)/VLOOKUP(A1241,'Delta Z Scores'!$A$1:$N$1541,14,FALSE),"Not Enough Data")</f>
        <v>0.50576651306758547</v>
      </c>
      <c r="G1241">
        <f>IF(VLOOKUP(A1241,'Forecast Z Scores'!$A$1:$N$1541,14,FALSE)&gt;2,VLOOKUP(A1241,'Forecast Z Scores'!$A$1:$N$1541,13,FALSE)/VLOOKUP(A1241,'Forecast Z Scores'!$A$1:$N$1541,14,FALSE),"Not Enough Data")</f>
        <v>0.72699576978031666</v>
      </c>
      <c r="H1241">
        <v>0.43080484796157914</v>
      </c>
    </row>
    <row r="1242" spans="1:8" x14ac:dyDescent="0.35">
      <c r="A1242" t="str">
        <f t="shared" si="19"/>
        <v>18097320205_2024</v>
      </c>
      <c r="B1242">
        <v>18097320205</v>
      </c>
      <c r="C1242">
        <v>2024</v>
      </c>
      <c r="E1242">
        <f>-(IF(VLOOKUP(B1242,'2023 Z Scores'!$A$1:$K$309,11,FALSE)&gt;2,VLOOKUP(B1242,'2023 Z Scores'!$A$1:$K$309,10,FALSE)/VLOOKUP(B1242,'2023 Z Scores'!$A$1:$K$309,11,FALSE),"Not Enough data"))</f>
        <v>-1.530940406917094E-2</v>
      </c>
      <c r="F1242">
        <f>IF(VLOOKUP(A1242,'Delta Z Scores'!$A$1:$N$1541,14,FALSE)&gt;2,VLOOKUP(A1242,'Delta Z Scores'!$A$1:$N$1541,13,FALSE)/VLOOKUP(A1242,'Delta Z Scores'!$A$1:$N$1541,14,FALSE),"Not Enough Data")</f>
        <v>0.52195496274696906</v>
      </c>
      <c r="G1242">
        <f>IF(VLOOKUP(A1242,'Forecast Z Scores'!$A$1:$N$1541,14,FALSE)&gt;2,VLOOKUP(A1242,'Forecast Z Scores'!$A$1:$N$1541,13,FALSE)/VLOOKUP(A1242,'Forecast Z Scores'!$A$1:$N$1541,14,FALSE),"Not Enough Data")</f>
        <v>0.47568905680721585</v>
      </c>
      <c r="H1242">
        <v>0.37607239455799574</v>
      </c>
    </row>
    <row r="1243" spans="1:8" x14ac:dyDescent="0.35">
      <c r="A1243" t="str">
        <f t="shared" si="19"/>
        <v>18097320205_2025</v>
      </c>
      <c r="B1243">
        <v>18097320205</v>
      </c>
      <c r="C1243">
        <v>2025</v>
      </c>
      <c r="E1243">
        <f>-(IF(VLOOKUP(B1243,'2023 Z Scores'!$A$1:$K$309,11,FALSE)&gt;2,VLOOKUP(B1243,'2023 Z Scores'!$A$1:$K$309,10,FALSE)/VLOOKUP(B1243,'2023 Z Scores'!$A$1:$K$309,11,FALSE),"Not Enough data"))</f>
        <v>-1.530940406917094E-2</v>
      </c>
      <c r="F1243">
        <f>IF(VLOOKUP(A1243,'Delta Z Scores'!$A$1:$N$1541,14,FALSE)&gt;2,VLOOKUP(A1243,'Delta Z Scores'!$A$1:$N$1541,13,FALSE)/VLOOKUP(A1243,'Delta Z Scores'!$A$1:$N$1541,14,FALSE),"Not Enough Data")</f>
        <v>2.8237133975889915E-2</v>
      </c>
      <c r="G1243">
        <f>IF(VLOOKUP(A1243,'Forecast Z Scores'!$A$1:$N$1541,14,FALSE)&gt;2,VLOOKUP(A1243,'Forecast Z Scores'!$A$1:$N$1541,13,FALSE)/VLOOKUP(A1243,'Forecast Z Scores'!$A$1:$N$1541,14,FALSE),"Not Enough Data")</f>
        <v>0.43658276002019358</v>
      </c>
      <c r="H1243">
        <v>0.11943690597570063</v>
      </c>
    </row>
    <row r="1244" spans="1:8" x14ac:dyDescent="0.35">
      <c r="A1244" t="str">
        <f t="shared" si="19"/>
        <v>18097320205_2026</v>
      </c>
      <c r="B1244">
        <v>18097320205</v>
      </c>
      <c r="C1244">
        <v>2026</v>
      </c>
      <c r="E1244">
        <f>-(IF(VLOOKUP(B1244,'2023 Z Scores'!$A$1:$K$309,11,FALSE)&gt;2,VLOOKUP(B1244,'2023 Z Scores'!$A$1:$K$309,10,FALSE)/VLOOKUP(B1244,'2023 Z Scores'!$A$1:$K$309,11,FALSE),"Not Enough data"))</f>
        <v>-1.530940406917094E-2</v>
      </c>
      <c r="F1244">
        <f>IF(VLOOKUP(A1244,'Delta Z Scores'!$A$1:$N$1541,14,FALSE)&gt;2,VLOOKUP(A1244,'Delta Z Scores'!$A$1:$N$1541,13,FALSE)/VLOOKUP(A1244,'Delta Z Scores'!$A$1:$N$1541,14,FALSE),"Not Enough Data")</f>
        <v>0.67105760889453692</v>
      </c>
      <c r="G1244">
        <f>IF(VLOOKUP(A1244,'Forecast Z Scores'!$A$1:$N$1541,14,FALSE)&gt;2,VLOOKUP(A1244,'Forecast Z Scores'!$A$1:$N$1541,13,FALSE)/VLOOKUP(A1244,'Forecast Z Scores'!$A$1:$N$1541,14,FALSE),"Not Enough Data")</f>
        <v>0.59635063673669619</v>
      </c>
      <c r="H1244">
        <v>0.48078911261414975</v>
      </c>
    </row>
    <row r="1245" spans="1:8" x14ac:dyDescent="0.35">
      <c r="A1245" t="str">
        <f t="shared" si="19"/>
        <v>18097320303_2027</v>
      </c>
      <c r="B1245">
        <v>18097320303</v>
      </c>
      <c r="C1245">
        <v>2027</v>
      </c>
      <c r="E1245">
        <f>-(IF(VLOOKUP(B1245,'2023 Z Scores'!$A$1:$K$309,11,FALSE)&gt;2,VLOOKUP(B1245,'2023 Z Scores'!$A$1:$K$309,10,FALSE)/VLOOKUP(B1245,'2023 Z Scores'!$A$1:$K$309,11,FALSE),"Not Enough data"))</f>
        <v>3.6940138797655599E-2</v>
      </c>
      <c r="F1245">
        <f>IF(VLOOKUP(A1245,'Delta Z Scores'!$A$1:$N$1541,14,FALSE)&gt;2,VLOOKUP(A1245,'Delta Z Scores'!$A$1:$N$1541,13,FALSE)/VLOOKUP(A1245,'Delta Z Scores'!$A$1:$N$1541,14,FALSE),"Not Enough Data")</f>
        <v>0.80244594883885045</v>
      </c>
      <c r="G1245">
        <f>IF(VLOOKUP(A1245,'Forecast Z Scores'!$A$1:$N$1541,14,FALSE)&gt;2,VLOOKUP(A1245,'Forecast Z Scores'!$A$1:$N$1541,13,FALSE)/VLOOKUP(A1245,'Forecast Z Scores'!$A$1:$N$1541,14,FALSE),"Not Enough Data")</f>
        <v>0.55383038084548497</v>
      </c>
      <c r="H1245">
        <v>0.54891560433021036</v>
      </c>
    </row>
    <row r="1246" spans="1:8" x14ac:dyDescent="0.35">
      <c r="A1246" t="str">
        <f t="shared" si="19"/>
        <v>18097320303_2028</v>
      </c>
      <c r="B1246">
        <v>18097320303</v>
      </c>
      <c r="C1246">
        <v>2028</v>
      </c>
      <c r="E1246">
        <f>-(IF(VLOOKUP(B1246,'2023 Z Scores'!$A$1:$K$309,11,FALSE)&gt;2,VLOOKUP(B1246,'2023 Z Scores'!$A$1:$K$309,10,FALSE)/VLOOKUP(B1246,'2023 Z Scores'!$A$1:$K$309,11,FALSE),"Not Enough data"))</f>
        <v>3.6940138797655599E-2</v>
      </c>
      <c r="F1246">
        <f>IF(VLOOKUP(A1246,'Delta Z Scores'!$A$1:$N$1541,14,FALSE)&gt;2,VLOOKUP(A1246,'Delta Z Scores'!$A$1:$N$1541,13,FALSE)/VLOOKUP(A1246,'Delta Z Scores'!$A$1:$N$1541,14,FALSE),"Not Enough Data")</f>
        <v>0.5069255651907455</v>
      </c>
      <c r="G1246">
        <f>IF(VLOOKUP(A1246,'Forecast Z Scores'!$A$1:$N$1541,14,FALSE)&gt;2,VLOOKUP(A1246,'Forecast Z Scores'!$A$1:$N$1541,13,FALSE)/VLOOKUP(A1246,'Forecast Z Scores'!$A$1:$N$1541,14,FALSE),"Not Enough Data")</f>
        <v>0.4879629584362602</v>
      </c>
      <c r="H1246">
        <v>0.38468855690385168</v>
      </c>
    </row>
    <row r="1247" spans="1:8" x14ac:dyDescent="0.35">
      <c r="A1247" t="str">
        <f t="shared" si="19"/>
        <v>18097320303_2024</v>
      </c>
      <c r="B1247">
        <v>18097320303</v>
      </c>
      <c r="C1247">
        <v>2024</v>
      </c>
      <c r="E1247">
        <f>-(IF(VLOOKUP(B1247,'2023 Z Scores'!$A$1:$K$309,11,FALSE)&gt;2,VLOOKUP(B1247,'2023 Z Scores'!$A$1:$K$309,10,FALSE)/VLOOKUP(B1247,'2023 Z Scores'!$A$1:$K$309,11,FALSE),"Not Enough data"))</f>
        <v>3.6940138797655599E-2</v>
      </c>
      <c r="F1247">
        <f>IF(VLOOKUP(A1247,'Delta Z Scores'!$A$1:$N$1541,14,FALSE)&gt;2,VLOOKUP(A1247,'Delta Z Scores'!$A$1:$N$1541,13,FALSE)/VLOOKUP(A1247,'Delta Z Scores'!$A$1:$N$1541,14,FALSE),"Not Enough Data")</f>
        <v>0.62239076037002672</v>
      </c>
      <c r="G1247">
        <f>IF(VLOOKUP(A1247,'Forecast Z Scores'!$A$1:$N$1541,14,FALSE)&gt;2,VLOOKUP(A1247,'Forecast Z Scores'!$A$1:$N$1541,13,FALSE)/VLOOKUP(A1247,'Forecast Z Scores'!$A$1:$N$1541,14,FALSE),"Not Enough Data")</f>
        <v>0.61185069987049823</v>
      </c>
      <c r="H1247">
        <v>0.47339308985205181</v>
      </c>
    </row>
    <row r="1248" spans="1:8" x14ac:dyDescent="0.35">
      <c r="A1248" t="str">
        <f t="shared" si="19"/>
        <v>18097320303_2025</v>
      </c>
      <c r="B1248">
        <v>18097320303</v>
      </c>
      <c r="C1248">
        <v>2025</v>
      </c>
      <c r="E1248">
        <f>-(IF(VLOOKUP(B1248,'2023 Z Scores'!$A$1:$K$309,11,FALSE)&gt;2,VLOOKUP(B1248,'2023 Z Scores'!$A$1:$K$309,10,FALSE)/VLOOKUP(B1248,'2023 Z Scores'!$A$1:$K$309,11,FALSE),"Not Enough data"))</f>
        <v>3.6940138797655599E-2</v>
      </c>
      <c r="F1248">
        <f>IF(VLOOKUP(A1248,'Delta Z Scores'!$A$1:$N$1541,14,FALSE)&gt;2,VLOOKUP(A1248,'Delta Z Scores'!$A$1:$N$1541,13,FALSE)/VLOOKUP(A1248,'Delta Z Scores'!$A$1:$N$1541,14,FALSE),"Not Enough Data")</f>
        <v>0.38262021043328198</v>
      </c>
      <c r="G1248">
        <f>IF(VLOOKUP(A1248,'Forecast Z Scores'!$A$1:$N$1541,14,FALSE)&gt;2,VLOOKUP(A1248,'Forecast Z Scores'!$A$1:$N$1541,13,FALSE)/VLOOKUP(A1248,'Forecast Z Scores'!$A$1:$N$1541,14,FALSE),"Not Enough Data")</f>
        <v>0.61669938236841049</v>
      </c>
      <c r="H1248">
        <v>0.35471998550815753</v>
      </c>
    </row>
    <row r="1249" spans="1:8" x14ac:dyDescent="0.35">
      <c r="A1249" t="str">
        <f t="shared" si="19"/>
        <v>18097320303_2026</v>
      </c>
      <c r="B1249">
        <v>18097320303</v>
      </c>
      <c r="C1249">
        <v>2026</v>
      </c>
      <c r="E1249">
        <f>-(IF(VLOOKUP(B1249,'2023 Z Scores'!$A$1:$K$309,11,FALSE)&gt;2,VLOOKUP(B1249,'2023 Z Scores'!$A$1:$K$309,10,FALSE)/VLOOKUP(B1249,'2023 Z Scores'!$A$1:$K$309,11,FALSE),"Not Enough data"))</f>
        <v>3.6940138797655599E-2</v>
      </c>
      <c r="F1249">
        <f>IF(VLOOKUP(A1249,'Delta Z Scores'!$A$1:$N$1541,14,FALSE)&gt;2,VLOOKUP(A1249,'Delta Z Scores'!$A$1:$N$1541,13,FALSE)/VLOOKUP(A1249,'Delta Z Scores'!$A$1:$N$1541,14,FALSE),"Not Enough Data")</f>
        <v>0.41496589653809912</v>
      </c>
      <c r="G1249">
        <f>IF(VLOOKUP(A1249,'Forecast Z Scores'!$A$1:$N$1541,14,FALSE)&gt;2,VLOOKUP(A1249,'Forecast Z Scores'!$A$1:$N$1541,13,FALSE)/VLOOKUP(A1249,'Forecast Z Scores'!$A$1:$N$1541,14,FALSE),"Not Enough Data")</f>
        <v>0.59369549972377689</v>
      </c>
      <c r="H1249">
        <v>0.36514185789940767</v>
      </c>
    </row>
    <row r="1250" spans="1:8" x14ac:dyDescent="0.35">
      <c r="A1250" t="str">
        <f t="shared" si="19"/>
        <v>18097320304_2027</v>
      </c>
      <c r="B1250">
        <v>18097320304</v>
      </c>
      <c r="C1250">
        <v>2027</v>
      </c>
      <c r="E1250">
        <f>-(IF(VLOOKUP(B1250,'2023 Z Scores'!$A$1:$K$309,11,FALSE)&gt;2,VLOOKUP(B1250,'2023 Z Scores'!$A$1:$K$309,10,FALSE)/VLOOKUP(B1250,'2023 Z Scores'!$A$1:$K$309,11,FALSE),"Not Enough data"))</f>
        <v>-0.85816813570513051</v>
      </c>
      <c r="F1250">
        <f>IF(VLOOKUP(A1250,'Delta Z Scores'!$A$1:$N$1541,14,FALSE)&gt;2,VLOOKUP(A1250,'Delta Z Scores'!$A$1:$N$1541,13,FALSE)/VLOOKUP(A1250,'Delta Z Scores'!$A$1:$N$1541,14,FALSE),"Not Enough Data")</f>
        <v>-0.1196836755923459</v>
      </c>
      <c r="G1250">
        <f>IF(VLOOKUP(A1250,'Forecast Z Scores'!$A$1:$N$1541,14,FALSE)&gt;2,VLOOKUP(A1250,'Forecast Z Scores'!$A$1:$N$1541,13,FALSE)/VLOOKUP(A1250,'Forecast Z Scores'!$A$1:$N$1541,14,FALSE),"Not Enough Data")</f>
        <v>0.82763179711876045</v>
      </c>
      <c r="H1250">
        <v>-6.7475922442765457E-2</v>
      </c>
    </row>
    <row r="1251" spans="1:8" x14ac:dyDescent="0.35">
      <c r="A1251" t="str">
        <f t="shared" si="19"/>
        <v>18097320304_2028</v>
      </c>
      <c r="B1251">
        <v>18097320304</v>
      </c>
      <c r="C1251">
        <v>2028</v>
      </c>
      <c r="E1251">
        <f>-(IF(VLOOKUP(B1251,'2023 Z Scores'!$A$1:$K$309,11,FALSE)&gt;2,VLOOKUP(B1251,'2023 Z Scores'!$A$1:$K$309,10,FALSE)/VLOOKUP(B1251,'2023 Z Scores'!$A$1:$K$309,11,FALSE),"Not Enough data"))</f>
        <v>-0.85816813570513051</v>
      </c>
      <c r="F1251">
        <f>IF(VLOOKUP(A1251,'Delta Z Scores'!$A$1:$N$1541,14,FALSE)&gt;2,VLOOKUP(A1251,'Delta Z Scores'!$A$1:$N$1541,13,FALSE)/VLOOKUP(A1251,'Delta Z Scores'!$A$1:$N$1541,14,FALSE),"Not Enough Data")</f>
        <v>7.8623632436376018E-2</v>
      </c>
      <c r="G1251">
        <f>IF(VLOOKUP(A1251,'Forecast Z Scores'!$A$1:$N$1541,14,FALSE)&gt;2,VLOOKUP(A1251,'Forecast Z Scores'!$A$1:$N$1541,13,FALSE)/VLOOKUP(A1251,'Forecast Z Scores'!$A$1:$N$1541,14,FALSE),"Not Enough Data")</f>
        <v>0.78372732574309334</v>
      </c>
      <c r="H1251">
        <v>2.0701613727678703E-2</v>
      </c>
    </row>
    <row r="1252" spans="1:8" x14ac:dyDescent="0.35">
      <c r="A1252" t="str">
        <f t="shared" si="19"/>
        <v>18097320304_2024</v>
      </c>
      <c r="B1252">
        <v>18097320304</v>
      </c>
      <c r="C1252">
        <v>2024</v>
      </c>
      <c r="E1252">
        <f>-(IF(VLOOKUP(B1252,'2023 Z Scores'!$A$1:$K$309,11,FALSE)&gt;2,VLOOKUP(B1252,'2023 Z Scores'!$A$1:$K$309,10,FALSE)/VLOOKUP(B1252,'2023 Z Scores'!$A$1:$K$309,11,FALSE),"Not Enough data"))</f>
        <v>-0.85816813570513051</v>
      </c>
      <c r="F1252">
        <f>IF(VLOOKUP(A1252,'Delta Z Scores'!$A$1:$N$1541,14,FALSE)&gt;2,VLOOKUP(A1252,'Delta Z Scores'!$A$1:$N$1541,13,FALSE)/VLOOKUP(A1252,'Delta Z Scores'!$A$1:$N$1541,14,FALSE),"Not Enough Data")</f>
        <v>0.22112225354245099</v>
      </c>
      <c r="G1252">
        <f>IF(VLOOKUP(A1252,'Forecast Z Scores'!$A$1:$N$1541,14,FALSE)&gt;2,VLOOKUP(A1252,'Forecast Z Scores'!$A$1:$N$1541,13,FALSE)/VLOOKUP(A1252,'Forecast Z Scores'!$A$1:$N$1541,14,FALSE),"Not Enough Data")</f>
        <v>0.94989795429547141</v>
      </c>
      <c r="H1252">
        <v>0.13349358141881074</v>
      </c>
    </row>
    <row r="1253" spans="1:8" x14ac:dyDescent="0.35">
      <c r="A1253" t="str">
        <f t="shared" si="19"/>
        <v>18097320304_2025</v>
      </c>
      <c r="B1253">
        <v>18097320304</v>
      </c>
      <c r="C1253">
        <v>2025</v>
      </c>
      <c r="E1253">
        <f>-(IF(VLOOKUP(B1253,'2023 Z Scores'!$A$1:$K$309,11,FALSE)&gt;2,VLOOKUP(B1253,'2023 Z Scores'!$A$1:$K$309,10,FALSE)/VLOOKUP(B1253,'2023 Z Scores'!$A$1:$K$309,11,FALSE),"Not Enough data"))</f>
        <v>-0.85816813570513051</v>
      </c>
      <c r="F1253">
        <f>IF(VLOOKUP(A1253,'Delta Z Scores'!$A$1:$N$1541,14,FALSE)&gt;2,VLOOKUP(A1253,'Delta Z Scores'!$A$1:$N$1541,13,FALSE)/VLOOKUP(A1253,'Delta Z Scores'!$A$1:$N$1541,14,FALSE),"Not Enough Data")</f>
        <v>-0.17532205309810012</v>
      </c>
      <c r="G1253">
        <f>IF(VLOOKUP(A1253,'Forecast Z Scores'!$A$1:$N$1541,14,FALSE)&gt;2,VLOOKUP(A1253,'Forecast Z Scores'!$A$1:$N$1541,13,FALSE)/VLOOKUP(A1253,'Forecast Z Scores'!$A$1:$N$1541,14,FALSE),"Not Enough Data")</f>
        <v>0.90755518440565797</v>
      </c>
      <c r="H1253">
        <v>-7.5314264373918194E-2</v>
      </c>
    </row>
    <row r="1254" spans="1:8" x14ac:dyDescent="0.35">
      <c r="A1254" t="str">
        <f t="shared" si="19"/>
        <v>18097322600_2026</v>
      </c>
      <c r="B1254">
        <v>18097322600</v>
      </c>
      <c r="C1254">
        <v>2026</v>
      </c>
      <c r="E1254">
        <f>-(IF(VLOOKUP(B1254,'2023 Z Scores'!$A$1:$K$309,11,FALSE)&gt;2,VLOOKUP(B1254,'2023 Z Scores'!$A$1:$K$309,10,FALSE)/VLOOKUP(B1254,'2023 Z Scores'!$A$1:$K$309,11,FALSE),"Not Enough data"))</f>
        <v>1.186335425564206</v>
      </c>
      <c r="F1254">
        <f>IF(VLOOKUP(A1254,'Delta Z Scores'!$A$1:$N$1541,14,FALSE)&gt;2,VLOOKUP(A1254,'Delta Z Scores'!$A$1:$N$1541,13,FALSE)/VLOOKUP(A1254,'Delta Z Scores'!$A$1:$N$1541,14,FALSE),"Not Enough Data")</f>
        <v>-3.9650995841665405E-2</v>
      </c>
      <c r="G1254">
        <f>IF(VLOOKUP(A1254,'Forecast Z Scores'!$A$1:$N$1541,14,FALSE)&gt;2,VLOOKUP(A1254,'Forecast Z Scores'!$A$1:$N$1541,13,FALSE)/VLOOKUP(A1254,'Forecast Z Scores'!$A$1:$N$1541,14,FALSE),"Not Enough Data")</f>
        <v>-0.8771238542132096</v>
      </c>
      <c r="H1254">
        <v>5.7477394916916391E-2</v>
      </c>
    </row>
    <row r="1255" spans="1:8" x14ac:dyDescent="0.35">
      <c r="A1255" t="str">
        <f t="shared" si="19"/>
        <v>18097322600_2027</v>
      </c>
      <c r="B1255">
        <v>18097322600</v>
      </c>
      <c r="C1255">
        <v>2027</v>
      </c>
      <c r="E1255">
        <f>-(IF(VLOOKUP(B1255,'2023 Z Scores'!$A$1:$K$309,11,FALSE)&gt;2,VLOOKUP(B1255,'2023 Z Scores'!$A$1:$K$309,10,FALSE)/VLOOKUP(B1255,'2023 Z Scores'!$A$1:$K$309,11,FALSE),"Not Enough data"))</f>
        <v>1.186335425564206</v>
      </c>
      <c r="F1255">
        <f>IF(VLOOKUP(A1255,'Delta Z Scores'!$A$1:$N$1541,14,FALSE)&gt;2,VLOOKUP(A1255,'Delta Z Scores'!$A$1:$N$1541,13,FALSE)/VLOOKUP(A1255,'Delta Z Scores'!$A$1:$N$1541,14,FALSE),"Not Enough Data")</f>
        <v>-0.10554904590989855</v>
      </c>
      <c r="G1255">
        <f>IF(VLOOKUP(A1255,'Forecast Z Scores'!$A$1:$N$1541,14,FALSE)&gt;2,VLOOKUP(A1255,'Forecast Z Scores'!$A$1:$N$1541,13,FALSE)/VLOOKUP(A1255,'Forecast Z Scores'!$A$1:$N$1541,14,FALSE),"Not Enough Data")</f>
        <v>-0.87719498211063784</v>
      </c>
      <c r="H1255">
        <v>2.4510587908442794E-2</v>
      </c>
    </row>
    <row r="1256" spans="1:8" x14ac:dyDescent="0.35">
      <c r="A1256" t="str">
        <f t="shared" si="19"/>
        <v>18097322600_2028</v>
      </c>
      <c r="B1256">
        <v>18097322600</v>
      </c>
      <c r="C1256">
        <v>2028</v>
      </c>
      <c r="E1256">
        <f>-(IF(VLOOKUP(B1256,'2023 Z Scores'!$A$1:$K$309,11,FALSE)&gt;2,VLOOKUP(B1256,'2023 Z Scores'!$A$1:$K$309,10,FALSE)/VLOOKUP(B1256,'2023 Z Scores'!$A$1:$K$309,11,FALSE),"Not Enough data"))</f>
        <v>1.186335425564206</v>
      </c>
      <c r="F1256">
        <f>IF(VLOOKUP(A1256,'Delta Z Scores'!$A$1:$N$1541,14,FALSE)&gt;2,VLOOKUP(A1256,'Delta Z Scores'!$A$1:$N$1541,13,FALSE)/VLOOKUP(A1256,'Delta Z Scores'!$A$1:$N$1541,14,FALSE),"Not Enough Data")</f>
        <v>-0.12702359180796174</v>
      </c>
      <c r="G1256">
        <f>IF(VLOOKUP(A1256,'Forecast Z Scores'!$A$1:$N$1541,14,FALSE)&gt;2,VLOOKUP(A1256,'Forecast Z Scores'!$A$1:$N$1541,13,FALSE)/VLOOKUP(A1256,'Forecast Z Scores'!$A$1:$N$1541,14,FALSE),"Not Enough Data")</f>
        <v>-0.86025546162233213</v>
      </c>
      <c r="H1256">
        <v>1.8008195081487599E-2</v>
      </c>
    </row>
    <row r="1257" spans="1:8" x14ac:dyDescent="0.35">
      <c r="A1257" t="str">
        <f t="shared" si="19"/>
        <v>18097322600_2024</v>
      </c>
      <c r="B1257">
        <v>18097322600</v>
      </c>
      <c r="C1257">
        <v>2024</v>
      </c>
      <c r="E1257">
        <f>-(IF(VLOOKUP(B1257,'2023 Z Scores'!$A$1:$K$309,11,FALSE)&gt;2,VLOOKUP(B1257,'2023 Z Scores'!$A$1:$K$309,10,FALSE)/VLOOKUP(B1257,'2023 Z Scores'!$A$1:$K$309,11,FALSE),"Not Enough data"))</f>
        <v>1.186335425564206</v>
      </c>
      <c r="F1257">
        <f>IF(VLOOKUP(A1257,'Delta Z Scores'!$A$1:$N$1541,14,FALSE)&gt;2,VLOOKUP(A1257,'Delta Z Scores'!$A$1:$N$1541,13,FALSE)/VLOOKUP(A1257,'Delta Z Scores'!$A$1:$N$1541,14,FALSE),"Not Enough Data")</f>
        <v>0.72913827611258852</v>
      </c>
      <c r="G1257">
        <f>IF(VLOOKUP(A1257,'Forecast Z Scores'!$A$1:$N$1541,14,FALSE)&gt;2,VLOOKUP(A1257,'Forecast Z Scores'!$A$1:$N$1541,13,FALSE)/VLOOKUP(A1257,'Forecast Z Scores'!$A$1:$N$1541,14,FALSE),"Not Enough Data")</f>
        <v>-0.85271254040457445</v>
      </c>
      <c r="H1257">
        <v>0.44797485934620218</v>
      </c>
    </row>
    <row r="1258" spans="1:8" x14ac:dyDescent="0.35">
      <c r="A1258" t="str">
        <f t="shared" si="19"/>
        <v>18097330203_2025</v>
      </c>
      <c r="B1258">
        <v>18097330203</v>
      </c>
      <c r="C1258">
        <v>2025</v>
      </c>
      <c r="E1258">
        <f>-(IF(VLOOKUP(B1258,'2023 Z Scores'!$A$1:$K$309,11,FALSE)&gt;2,VLOOKUP(B1258,'2023 Z Scores'!$A$1:$K$309,10,FALSE)/VLOOKUP(B1258,'2023 Z Scores'!$A$1:$K$309,11,FALSE),"Not Enough data"))</f>
        <v>-1.2407673869520779</v>
      </c>
      <c r="F1258">
        <f>IF(VLOOKUP(A1258,'Delta Z Scores'!$A$1:$N$1541,14,FALSE)&gt;2,VLOOKUP(A1258,'Delta Z Scores'!$A$1:$N$1541,13,FALSE)/VLOOKUP(A1258,'Delta Z Scores'!$A$1:$N$1541,14,FALSE),"Not Enough Data")</f>
        <v>0.29218826147648908</v>
      </c>
      <c r="G1258">
        <f>IF(VLOOKUP(A1258,'Forecast Z Scores'!$A$1:$N$1541,14,FALSE)&gt;2,VLOOKUP(A1258,'Forecast Z Scores'!$A$1:$N$1541,13,FALSE)/VLOOKUP(A1258,'Forecast Z Scores'!$A$1:$N$1541,14,FALSE),"Not Enough Data")</f>
        <v>1.5938470476310971</v>
      </c>
      <c r="H1258">
        <v>0.23436404590799931</v>
      </c>
    </row>
    <row r="1259" spans="1:8" x14ac:dyDescent="0.35">
      <c r="A1259" t="str">
        <f t="shared" si="19"/>
        <v>18097330203_2026</v>
      </c>
      <c r="B1259">
        <v>18097330203</v>
      </c>
      <c r="C1259">
        <v>2026</v>
      </c>
      <c r="E1259">
        <f>-(IF(VLOOKUP(B1259,'2023 Z Scores'!$A$1:$K$309,11,FALSE)&gt;2,VLOOKUP(B1259,'2023 Z Scores'!$A$1:$K$309,10,FALSE)/VLOOKUP(B1259,'2023 Z Scores'!$A$1:$K$309,11,FALSE),"Not Enough data"))</f>
        <v>-1.2407673869520779</v>
      </c>
      <c r="F1259">
        <f>IF(VLOOKUP(A1259,'Delta Z Scores'!$A$1:$N$1541,14,FALSE)&gt;2,VLOOKUP(A1259,'Delta Z Scores'!$A$1:$N$1541,13,FALSE)/VLOOKUP(A1259,'Delta Z Scores'!$A$1:$N$1541,14,FALSE),"Not Enough Data")</f>
        <v>0.46052672694690955</v>
      </c>
      <c r="G1259">
        <f>IF(VLOOKUP(A1259,'Forecast Z Scores'!$A$1:$N$1541,14,FALSE)&gt;2,VLOOKUP(A1259,'Forecast Z Scores'!$A$1:$N$1541,13,FALSE)/VLOOKUP(A1259,'Forecast Z Scores'!$A$1:$N$1541,14,FALSE),"Not Enough Data")</f>
        <v>1.5995439481534499</v>
      </c>
      <c r="H1259">
        <v>0.31995750377379772</v>
      </c>
    </row>
    <row r="1260" spans="1:8" x14ac:dyDescent="0.35">
      <c r="A1260" t="str">
        <f t="shared" si="19"/>
        <v>18097330203_2027</v>
      </c>
      <c r="B1260">
        <v>18097330203</v>
      </c>
      <c r="C1260">
        <v>2027</v>
      </c>
      <c r="E1260">
        <f>-(IF(VLOOKUP(B1260,'2023 Z Scores'!$A$1:$K$309,11,FALSE)&gt;2,VLOOKUP(B1260,'2023 Z Scores'!$A$1:$K$309,10,FALSE)/VLOOKUP(B1260,'2023 Z Scores'!$A$1:$K$309,11,FALSE),"Not Enough data"))</f>
        <v>-1.2407673869520779</v>
      </c>
      <c r="F1260">
        <f>IF(VLOOKUP(A1260,'Delta Z Scores'!$A$1:$N$1541,14,FALSE)&gt;2,VLOOKUP(A1260,'Delta Z Scores'!$A$1:$N$1541,13,FALSE)/VLOOKUP(A1260,'Delta Z Scores'!$A$1:$N$1541,14,FALSE),"Not Enough Data")</f>
        <v>0.38806887701124226</v>
      </c>
      <c r="G1260">
        <f>IF(VLOOKUP(A1260,'Forecast Z Scores'!$A$1:$N$1541,14,FALSE)&gt;2,VLOOKUP(A1260,'Forecast Z Scores'!$A$1:$N$1541,13,FALSE)/VLOOKUP(A1260,'Forecast Z Scores'!$A$1:$N$1541,14,FALSE),"Not Enough Data")</f>
        <v>1.581258238843992</v>
      </c>
      <c r="H1260">
        <v>0.27915715147859965</v>
      </c>
    </row>
    <row r="1261" spans="1:8" x14ac:dyDescent="0.35">
      <c r="A1261" t="str">
        <f t="shared" si="19"/>
        <v>18097330203_2028</v>
      </c>
      <c r="B1261">
        <v>18097330203</v>
      </c>
      <c r="C1261">
        <v>2028</v>
      </c>
      <c r="E1261">
        <f>-(IF(VLOOKUP(B1261,'2023 Z Scores'!$A$1:$K$309,11,FALSE)&gt;2,VLOOKUP(B1261,'2023 Z Scores'!$A$1:$K$309,10,FALSE)/VLOOKUP(B1261,'2023 Z Scores'!$A$1:$K$309,11,FALSE),"Not Enough data"))</f>
        <v>-1.2407673869520779</v>
      </c>
      <c r="F1261">
        <f>IF(VLOOKUP(A1261,'Delta Z Scores'!$A$1:$N$1541,14,FALSE)&gt;2,VLOOKUP(A1261,'Delta Z Scores'!$A$1:$N$1541,13,FALSE)/VLOOKUP(A1261,'Delta Z Scores'!$A$1:$N$1541,14,FALSE),"Not Enough Data")</f>
        <v>0.5455292090011753</v>
      </c>
      <c r="G1261">
        <f>IF(VLOOKUP(A1261,'Forecast Z Scores'!$A$1:$N$1541,14,FALSE)&gt;2,VLOOKUP(A1261,'Forecast Z Scores'!$A$1:$N$1541,13,FALSE)/VLOOKUP(A1261,'Forecast Z Scores'!$A$1:$N$1541,14,FALSE),"Not Enough Data")</f>
        <v>1.5622047490272906</v>
      </c>
      <c r="H1261">
        <v>0.35312394501939082</v>
      </c>
    </row>
    <row r="1262" spans="1:8" x14ac:dyDescent="0.35">
      <c r="A1262" t="str">
        <f t="shared" si="19"/>
        <v>18097330203_2024</v>
      </c>
      <c r="B1262">
        <v>18097330203</v>
      </c>
      <c r="C1262">
        <v>2024</v>
      </c>
      <c r="E1262">
        <f>-(IF(VLOOKUP(B1262,'2023 Z Scores'!$A$1:$K$309,11,FALSE)&gt;2,VLOOKUP(B1262,'2023 Z Scores'!$A$1:$K$309,10,FALSE)/VLOOKUP(B1262,'2023 Z Scores'!$A$1:$K$309,11,FALSE),"Not Enough data"))</f>
        <v>-1.2407673869520779</v>
      </c>
      <c r="F1262">
        <f>IF(VLOOKUP(A1262,'Delta Z Scores'!$A$1:$N$1541,14,FALSE)&gt;2,VLOOKUP(A1262,'Delta Z Scores'!$A$1:$N$1541,13,FALSE)/VLOOKUP(A1262,'Delta Z Scores'!$A$1:$N$1541,14,FALSE),"Not Enough Data")</f>
        <v>0.15302761159565478</v>
      </c>
      <c r="G1262">
        <f>IF(VLOOKUP(A1262,'Forecast Z Scores'!$A$1:$N$1541,14,FALSE)&gt;2,VLOOKUP(A1262,'Forecast Z Scores'!$A$1:$N$1541,13,FALSE)/VLOOKUP(A1262,'Forecast Z Scores'!$A$1:$N$1541,14,FALSE),"Not Enough Data")</f>
        <v>1.6007621011352184</v>
      </c>
      <c r="H1262">
        <v>0.16651248434361254</v>
      </c>
    </row>
    <row r="1263" spans="1:8" x14ac:dyDescent="0.35">
      <c r="A1263" t="str">
        <f t="shared" si="19"/>
        <v>18097330206_2025</v>
      </c>
      <c r="B1263">
        <v>18097330206</v>
      </c>
      <c r="C1263">
        <v>2025</v>
      </c>
      <c r="E1263">
        <f>-(IF(VLOOKUP(B1263,'2023 Z Scores'!$A$1:$K$309,11,FALSE)&gt;2,VLOOKUP(B1263,'2023 Z Scores'!$A$1:$K$309,10,FALSE)/VLOOKUP(B1263,'2023 Z Scores'!$A$1:$K$309,11,FALSE),"Not Enough data"))</f>
        <v>-0.80150273033986497</v>
      </c>
      <c r="F1263">
        <f>IF(VLOOKUP(A1263,'Delta Z Scores'!$A$1:$N$1541,14,FALSE)&gt;2,VLOOKUP(A1263,'Delta Z Scores'!$A$1:$N$1541,13,FALSE)/VLOOKUP(A1263,'Delta Z Scores'!$A$1:$N$1541,14,FALSE),"Not Enough Data")</f>
        <v>-0.30909060158495327</v>
      </c>
      <c r="G1263">
        <f>IF(VLOOKUP(A1263,'Forecast Z Scores'!$A$1:$N$1541,14,FALSE)&gt;2,VLOOKUP(A1263,'Forecast Z Scores'!$A$1:$N$1541,13,FALSE)/VLOOKUP(A1263,'Forecast Z Scores'!$A$1:$N$1541,14,FALSE),"Not Enough Data")</f>
        <v>0.64241199151442663</v>
      </c>
      <c r="H1263">
        <v>-0.19431798549883622</v>
      </c>
    </row>
    <row r="1264" spans="1:8" x14ac:dyDescent="0.35">
      <c r="A1264" t="str">
        <f t="shared" si="19"/>
        <v>18097330206_2026</v>
      </c>
      <c r="B1264">
        <v>18097330206</v>
      </c>
      <c r="C1264">
        <v>2026</v>
      </c>
      <c r="E1264">
        <f>-(IF(VLOOKUP(B1264,'2023 Z Scores'!$A$1:$K$309,11,FALSE)&gt;2,VLOOKUP(B1264,'2023 Z Scores'!$A$1:$K$309,10,FALSE)/VLOOKUP(B1264,'2023 Z Scores'!$A$1:$K$309,11,FALSE),"Not Enough data"))</f>
        <v>-0.80150273033986497</v>
      </c>
      <c r="F1264">
        <f>IF(VLOOKUP(A1264,'Delta Z Scores'!$A$1:$N$1541,14,FALSE)&gt;2,VLOOKUP(A1264,'Delta Z Scores'!$A$1:$N$1541,13,FALSE)/VLOOKUP(A1264,'Delta Z Scores'!$A$1:$N$1541,14,FALSE),"Not Enough Data")</f>
        <v>-0.31436049447595665</v>
      </c>
      <c r="G1264">
        <f>IF(VLOOKUP(A1264,'Forecast Z Scores'!$A$1:$N$1541,14,FALSE)&gt;2,VLOOKUP(A1264,'Forecast Z Scores'!$A$1:$N$1541,13,FALSE)/VLOOKUP(A1264,'Forecast Z Scores'!$A$1:$N$1541,14,FALSE),"Not Enough Data")</f>
        <v>0.58889699297790388</v>
      </c>
      <c r="H1264">
        <v>-0.2103316815784686</v>
      </c>
    </row>
    <row r="1265" spans="1:8" x14ac:dyDescent="0.35">
      <c r="A1265" t="str">
        <f t="shared" si="19"/>
        <v>18097330206_2027</v>
      </c>
      <c r="B1265">
        <v>18097330206</v>
      </c>
      <c r="C1265">
        <v>2027</v>
      </c>
      <c r="E1265">
        <f>-(IF(VLOOKUP(B1265,'2023 Z Scores'!$A$1:$K$309,11,FALSE)&gt;2,VLOOKUP(B1265,'2023 Z Scores'!$A$1:$K$309,10,FALSE)/VLOOKUP(B1265,'2023 Z Scores'!$A$1:$K$309,11,FALSE),"Not Enough data"))</f>
        <v>-0.80150273033986497</v>
      </c>
      <c r="F1265">
        <f>IF(VLOOKUP(A1265,'Delta Z Scores'!$A$1:$N$1541,14,FALSE)&gt;2,VLOOKUP(A1265,'Delta Z Scores'!$A$1:$N$1541,13,FALSE)/VLOOKUP(A1265,'Delta Z Scores'!$A$1:$N$1541,14,FALSE),"Not Enough Data")</f>
        <v>-0.20690150773904245</v>
      </c>
      <c r="G1265">
        <f>IF(VLOOKUP(A1265,'Forecast Z Scores'!$A$1:$N$1541,14,FALSE)&gt;2,VLOOKUP(A1265,'Forecast Z Scores'!$A$1:$N$1541,13,FALSE)/VLOOKUP(A1265,'Forecast Z Scores'!$A$1:$N$1541,14,FALSE),"Not Enough Data")</f>
        <v>0.5543256591531377</v>
      </c>
      <c r="H1265">
        <v>-0.16524502166620303</v>
      </c>
    </row>
    <row r="1266" spans="1:8" x14ac:dyDescent="0.35">
      <c r="A1266" t="str">
        <f t="shared" si="19"/>
        <v>18097330206_2028</v>
      </c>
      <c r="B1266">
        <v>18097330206</v>
      </c>
      <c r="C1266">
        <v>2028</v>
      </c>
      <c r="E1266">
        <f>-(IF(VLOOKUP(B1266,'2023 Z Scores'!$A$1:$K$309,11,FALSE)&gt;2,VLOOKUP(B1266,'2023 Z Scores'!$A$1:$K$309,10,FALSE)/VLOOKUP(B1266,'2023 Z Scores'!$A$1:$K$309,11,FALSE),"Not Enough data"))</f>
        <v>-0.80150273033986497</v>
      </c>
      <c r="F1266">
        <f>IF(VLOOKUP(A1266,'Delta Z Scores'!$A$1:$N$1541,14,FALSE)&gt;2,VLOOKUP(A1266,'Delta Z Scores'!$A$1:$N$1541,13,FALSE)/VLOOKUP(A1266,'Delta Z Scores'!$A$1:$N$1541,14,FALSE),"Not Enough Data")</f>
        <v>-0.15857247908742694</v>
      </c>
      <c r="G1266">
        <f>IF(VLOOKUP(A1266,'Forecast Z Scores'!$A$1:$N$1541,14,FALSE)&gt;2,VLOOKUP(A1266,'Forecast Z Scores'!$A$1:$N$1541,13,FALSE)/VLOOKUP(A1266,'Forecast Z Scores'!$A$1:$N$1541,14,FALSE),"Not Enough Data")</f>
        <v>0.50302914184572955</v>
      </c>
      <c r="H1266">
        <v>-0.15390463666724732</v>
      </c>
    </row>
    <row r="1267" spans="1:8" x14ac:dyDescent="0.35">
      <c r="A1267" t="str">
        <f t="shared" si="19"/>
        <v>18097330206_2024</v>
      </c>
      <c r="B1267">
        <v>18097330206</v>
      </c>
      <c r="C1267">
        <v>2024</v>
      </c>
      <c r="E1267">
        <f>-(IF(VLOOKUP(B1267,'2023 Z Scores'!$A$1:$K$309,11,FALSE)&gt;2,VLOOKUP(B1267,'2023 Z Scores'!$A$1:$K$309,10,FALSE)/VLOOKUP(B1267,'2023 Z Scores'!$A$1:$K$309,11,FALSE),"Not Enough data"))</f>
        <v>-0.80150273033986497</v>
      </c>
      <c r="F1267">
        <f>IF(VLOOKUP(A1267,'Delta Z Scores'!$A$1:$N$1541,14,FALSE)&gt;2,VLOOKUP(A1267,'Delta Z Scores'!$A$1:$N$1541,13,FALSE)/VLOOKUP(A1267,'Delta Z Scores'!$A$1:$N$1541,14,FALSE),"Not Enough Data")</f>
        <v>-0.49616565612813829</v>
      </c>
      <c r="G1267">
        <f>IF(VLOOKUP(A1267,'Forecast Z Scores'!$A$1:$N$1541,14,FALSE)&gt;2,VLOOKUP(A1267,'Forecast Z Scores'!$A$1:$N$1541,13,FALSE)/VLOOKUP(A1267,'Forecast Z Scores'!$A$1:$N$1541,14,FALSE),"Not Enough Data")</f>
        <v>0.66961973182359158</v>
      </c>
      <c r="H1267">
        <v>-0.28105357769313749</v>
      </c>
    </row>
    <row r="1268" spans="1:8" x14ac:dyDescent="0.35">
      <c r="A1268" t="str">
        <f t="shared" si="19"/>
        <v>18097330208_2025</v>
      </c>
      <c r="B1268">
        <v>18097330208</v>
      </c>
      <c r="C1268">
        <v>2025</v>
      </c>
      <c r="E1268">
        <f>-(IF(VLOOKUP(B1268,'2023 Z Scores'!$A$1:$K$309,11,FALSE)&gt;2,VLOOKUP(B1268,'2023 Z Scores'!$A$1:$K$309,10,FALSE)/VLOOKUP(B1268,'2023 Z Scores'!$A$1:$K$309,11,FALSE),"Not Enough data"))</f>
        <v>-0.7532251908542591</v>
      </c>
      <c r="F1268">
        <f>IF(VLOOKUP(A1268,'Delta Z Scores'!$A$1:$N$1541,14,FALSE)&gt;2,VLOOKUP(A1268,'Delta Z Scores'!$A$1:$N$1541,13,FALSE)/VLOOKUP(A1268,'Delta Z Scores'!$A$1:$N$1541,14,FALSE),"Not Enough Data")</f>
        <v>-0.20429173895054475</v>
      </c>
      <c r="G1268">
        <f>IF(VLOOKUP(A1268,'Forecast Z Scores'!$A$1:$N$1541,14,FALSE)&gt;2,VLOOKUP(A1268,'Forecast Z Scores'!$A$1:$N$1541,13,FALSE)/VLOOKUP(A1268,'Forecast Z Scores'!$A$1:$N$1541,14,FALSE),"Not Enough Data")</f>
        <v>0.51020030010262785</v>
      </c>
      <c r="H1268">
        <v>-0.16290209216318019</v>
      </c>
    </row>
    <row r="1269" spans="1:8" x14ac:dyDescent="0.35">
      <c r="A1269" t="str">
        <f t="shared" si="19"/>
        <v>18097330208_2026</v>
      </c>
      <c r="B1269">
        <v>18097330208</v>
      </c>
      <c r="C1269">
        <v>2026</v>
      </c>
      <c r="E1269">
        <f>-(IF(VLOOKUP(B1269,'2023 Z Scores'!$A$1:$K$309,11,FALSE)&gt;2,VLOOKUP(B1269,'2023 Z Scores'!$A$1:$K$309,10,FALSE)/VLOOKUP(B1269,'2023 Z Scores'!$A$1:$K$309,11,FALSE),"Not Enough data"))</f>
        <v>-0.7532251908542591</v>
      </c>
      <c r="F1269">
        <f>IF(VLOOKUP(A1269,'Delta Z Scores'!$A$1:$N$1541,14,FALSE)&gt;2,VLOOKUP(A1269,'Delta Z Scores'!$A$1:$N$1541,13,FALSE)/VLOOKUP(A1269,'Delta Z Scores'!$A$1:$N$1541,14,FALSE),"Not Enough Data")</f>
        <v>-0.18818023806516559</v>
      </c>
      <c r="G1269">
        <f>IF(VLOOKUP(A1269,'Forecast Z Scores'!$A$1:$N$1541,14,FALSE)&gt;2,VLOOKUP(A1269,'Forecast Z Scores'!$A$1:$N$1541,13,FALSE)/VLOOKUP(A1269,'Forecast Z Scores'!$A$1:$N$1541,14,FALSE),"Not Enough Data")</f>
        <v>0.46206606297387082</v>
      </c>
      <c r="H1269">
        <v>-0.16687990100267985</v>
      </c>
    </row>
    <row r="1270" spans="1:8" x14ac:dyDescent="0.35">
      <c r="A1270" t="str">
        <f t="shared" si="19"/>
        <v>18097330208_2027</v>
      </c>
      <c r="B1270">
        <v>18097330208</v>
      </c>
      <c r="C1270">
        <v>2027</v>
      </c>
      <c r="E1270">
        <f>-(IF(VLOOKUP(B1270,'2023 Z Scores'!$A$1:$K$309,11,FALSE)&gt;2,VLOOKUP(B1270,'2023 Z Scores'!$A$1:$K$309,10,FALSE)/VLOOKUP(B1270,'2023 Z Scores'!$A$1:$K$309,11,FALSE),"Not Enough data"))</f>
        <v>-0.7532251908542591</v>
      </c>
      <c r="F1270">
        <f>IF(VLOOKUP(A1270,'Delta Z Scores'!$A$1:$N$1541,14,FALSE)&gt;2,VLOOKUP(A1270,'Delta Z Scores'!$A$1:$N$1541,13,FALSE)/VLOOKUP(A1270,'Delta Z Scores'!$A$1:$N$1541,14,FALSE),"Not Enough Data")</f>
        <v>-0.20289338722078196</v>
      </c>
      <c r="G1270">
        <f>IF(VLOOKUP(A1270,'Forecast Z Scores'!$A$1:$N$1541,14,FALSE)&gt;2,VLOOKUP(A1270,'Forecast Z Scores'!$A$1:$N$1541,13,FALSE)/VLOOKUP(A1270,'Forecast Z Scores'!$A$1:$N$1541,14,FALSE),"Not Enough Data")</f>
        <v>0.42480177944024372</v>
      </c>
      <c r="H1270">
        <v>-0.18355254646389482</v>
      </c>
    </row>
    <row r="1271" spans="1:8" x14ac:dyDescent="0.35">
      <c r="A1271" t="str">
        <f t="shared" si="19"/>
        <v>18097330208_2028</v>
      </c>
      <c r="B1271">
        <v>18097330208</v>
      </c>
      <c r="C1271">
        <v>2028</v>
      </c>
      <c r="E1271">
        <f>-(IF(VLOOKUP(B1271,'2023 Z Scores'!$A$1:$K$309,11,FALSE)&gt;2,VLOOKUP(B1271,'2023 Z Scores'!$A$1:$K$309,10,FALSE)/VLOOKUP(B1271,'2023 Z Scores'!$A$1:$K$309,11,FALSE),"Not Enough data"))</f>
        <v>-0.7532251908542591</v>
      </c>
      <c r="F1271">
        <f>IF(VLOOKUP(A1271,'Delta Z Scores'!$A$1:$N$1541,14,FALSE)&gt;2,VLOOKUP(A1271,'Delta Z Scores'!$A$1:$N$1541,13,FALSE)/VLOOKUP(A1271,'Delta Z Scores'!$A$1:$N$1541,14,FALSE),"Not Enough Data")</f>
        <v>-0.1702970837296299</v>
      </c>
      <c r="G1271">
        <f>IF(VLOOKUP(A1271,'Forecast Z Scores'!$A$1:$N$1541,14,FALSE)&gt;2,VLOOKUP(A1271,'Forecast Z Scores'!$A$1:$N$1541,13,FALSE)/VLOOKUP(A1271,'Forecast Z Scores'!$A$1:$N$1541,14,FALSE),"Not Enough Data")</f>
        <v>0.37989875209826068</v>
      </c>
      <c r="H1271">
        <v>-0.17848015155381455</v>
      </c>
    </row>
    <row r="1272" spans="1:8" x14ac:dyDescent="0.35">
      <c r="A1272" t="str">
        <f t="shared" si="19"/>
        <v>18097330208_2024</v>
      </c>
      <c r="B1272">
        <v>18097330208</v>
      </c>
      <c r="C1272">
        <v>2024</v>
      </c>
      <c r="E1272">
        <f>-(IF(VLOOKUP(B1272,'2023 Z Scores'!$A$1:$K$309,11,FALSE)&gt;2,VLOOKUP(B1272,'2023 Z Scores'!$A$1:$K$309,10,FALSE)/VLOOKUP(B1272,'2023 Z Scores'!$A$1:$K$309,11,FALSE),"Not Enough data"))</f>
        <v>-0.7532251908542591</v>
      </c>
      <c r="F1272">
        <f>IF(VLOOKUP(A1272,'Delta Z Scores'!$A$1:$N$1541,14,FALSE)&gt;2,VLOOKUP(A1272,'Delta Z Scores'!$A$1:$N$1541,13,FALSE)/VLOOKUP(A1272,'Delta Z Scores'!$A$1:$N$1541,14,FALSE),"Not Enough Data")</f>
        <v>-0.31006544127033792</v>
      </c>
      <c r="G1272">
        <f>IF(VLOOKUP(A1272,'Forecast Z Scores'!$A$1:$N$1541,14,FALSE)&gt;2,VLOOKUP(A1272,'Forecast Z Scores'!$A$1:$N$1541,13,FALSE)/VLOOKUP(A1272,'Forecast Z Scores'!$A$1:$N$1541,14,FALSE),"Not Enough Data")</f>
        <v>0.53864434607833123</v>
      </c>
      <c r="H1272">
        <v>-0.20867793182915093</v>
      </c>
    </row>
    <row r="1273" spans="1:8" x14ac:dyDescent="0.35">
      <c r="A1273" t="str">
        <f t="shared" si="19"/>
        <v>18097330209_2025</v>
      </c>
      <c r="B1273">
        <v>18097330209</v>
      </c>
      <c r="C1273">
        <v>2025</v>
      </c>
      <c r="E1273">
        <f>-(IF(VLOOKUP(B1273,'2023 Z Scores'!$A$1:$K$309,11,FALSE)&gt;2,VLOOKUP(B1273,'2023 Z Scores'!$A$1:$K$309,10,FALSE)/VLOOKUP(B1273,'2023 Z Scores'!$A$1:$K$309,11,FALSE),"Not Enough data"))</f>
        <v>-0.49822995352169597</v>
      </c>
      <c r="F1273">
        <f>IF(VLOOKUP(A1273,'Delta Z Scores'!$A$1:$N$1541,14,FALSE)&gt;2,VLOOKUP(A1273,'Delta Z Scores'!$A$1:$N$1541,13,FALSE)/VLOOKUP(A1273,'Delta Z Scores'!$A$1:$N$1541,14,FALSE),"Not Enough Data")</f>
        <v>-0.18903878614396774</v>
      </c>
      <c r="G1273">
        <f>IF(VLOOKUP(A1273,'Forecast Z Scores'!$A$1:$N$1541,14,FALSE)&gt;2,VLOOKUP(A1273,'Forecast Z Scores'!$A$1:$N$1541,13,FALSE)/VLOOKUP(A1273,'Forecast Z Scores'!$A$1:$N$1541,14,FALSE),"Not Enough Data")</f>
        <v>0.28884708776511964</v>
      </c>
      <c r="H1273">
        <v>-0.14686510951112797</v>
      </c>
    </row>
    <row r="1274" spans="1:8" x14ac:dyDescent="0.35">
      <c r="A1274" t="str">
        <f t="shared" si="19"/>
        <v>18097330209_2026</v>
      </c>
      <c r="B1274">
        <v>18097330209</v>
      </c>
      <c r="C1274">
        <v>2026</v>
      </c>
      <c r="E1274">
        <f>-(IF(VLOOKUP(B1274,'2023 Z Scores'!$A$1:$K$309,11,FALSE)&gt;2,VLOOKUP(B1274,'2023 Z Scores'!$A$1:$K$309,10,FALSE)/VLOOKUP(B1274,'2023 Z Scores'!$A$1:$K$309,11,FALSE),"Not Enough data"))</f>
        <v>-0.49822995352169597</v>
      </c>
      <c r="F1274">
        <f>IF(VLOOKUP(A1274,'Delta Z Scores'!$A$1:$N$1541,14,FALSE)&gt;2,VLOOKUP(A1274,'Delta Z Scores'!$A$1:$N$1541,13,FALSE)/VLOOKUP(A1274,'Delta Z Scores'!$A$1:$N$1541,14,FALSE),"Not Enough Data")</f>
        <v>-0.17114083459343568</v>
      </c>
      <c r="G1274">
        <f>IF(VLOOKUP(A1274,'Forecast Z Scores'!$A$1:$N$1541,14,FALSE)&gt;2,VLOOKUP(A1274,'Forecast Z Scores'!$A$1:$N$1541,13,FALSE)/VLOOKUP(A1274,'Forecast Z Scores'!$A$1:$N$1541,14,FALSE),"Not Enough Data")</f>
        <v>0.2762731555328426</v>
      </c>
      <c r="H1274">
        <v>-0.1410596167939312</v>
      </c>
    </row>
    <row r="1275" spans="1:8" x14ac:dyDescent="0.35">
      <c r="A1275" t="str">
        <f t="shared" si="19"/>
        <v>18097330209_2027</v>
      </c>
      <c r="B1275">
        <v>18097330209</v>
      </c>
      <c r="C1275">
        <v>2027</v>
      </c>
      <c r="E1275">
        <f>-(IF(VLOOKUP(B1275,'2023 Z Scores'!$A$1:$K$309,11,FALSE)&gt;2,VLOOKUP(B1275,'2023 Z Scores'!$A$1:$K$309,10,FALSE)/VLOOKUP(B1275,'2023 Z Scores'!$A$1:$K$309,11,FALSE),"Not Enough data"))</f>
        <v>-0.49822995352169597</v>
      </c>
      <c r="F1275">
        <f>IF(VLOOKUP(A1275,'Delta Z Scores'!$A$1:$N$1541,14,FALSE)&gt;2,VLOOKUP(A1275,'Delta Z Scores'!$A$1:$N$1541,13,FALSE)/VLOOKUP(A1275,'Delta Z Scores'!$A$1:$N$1541,14,FALSE),"Not Enough Data")</f>
        <v>-9.7854458200237443E-2</v>
      </c>
      <c r="G1275">
        <f>IF(VLOOKUP(A1275,'Forecast Z Scores'!$A$1:$N$1541,14,FALSE)&gt;2,VLOOKUP(A1275,'Forecast Z Scores'!$A$1:$N$1541,13,FALSE)/VLOOKUP(A1275,'Forecast Z Scores'!$A$1:$N$1541,14,FALSE),"Not Enough Data")</f>
        <v>0.26878257522246451</v>
      </c>
      <c r="H1275">
        <v>-0.10628907367492658</v>
      </c>
    </row>
    <row r="1276" spans="1:8" x14ac:dyDescent="0.35">
      <c r="A1276" t="str">
        <f t="shared" si="19"/>
        <v>18097330209_2028</v>
      </c>
      <c r="B1276">
        <v>18097330209</v>
      </c>
      <c r="C1276">
        <v>2028</v>
      </c>
      <c r="E1276">
        <f>-(IF(VLOOKUP(B1276,'2023 Z Scores'!$A$1:$K$309,11,FALSE)&gt;2,VLOOKUP(B1276,'2023 Z Scores'!$A$1:$K$309,10,FALSE)/VLOOKUP(B1276,'2023 Z Scores'!$A$1:$K$309,11,FALSE),"Not Enough data"))</f>
        <v>-0.49822995352169597</v>
      </c>
      <c r="F1276">
        <f>IF(VLOOKUP(A1276,'Delta Z Scores'!$A$1:$N$1541,14,FALSE)&gt;2,VLOOKUP(A1276,'Delta Z Scores'!$A$1:$N$1541,13,FALSE)/VLOOKUP(A1276,'Delta Z Scores'!$A$1:$N$1541,14,FALSE),"Not Enough Data")</f>
        <v>1.6360081919989499E-3</v>
      </c>
      <c r="G1276">
        <f>IF(VLOOKUP(A1276,'Forecast Z Scores'!$A$1:$N$1541,14,FALSE)&gt;2,VLOOKUP(A1276,'Forecast Z Scores'!$A$1:$N$1541,13,FALSE)/VLOOKUP(A1276,'Forecast Z Scores'!$A$1:$N$1541,14,FALSE),"Not Enough Data")</f>
        <v>0.2635521887991813</v>
      </c>
      <c r="H1276">
        <v>-5.7851437084629198E-2</v>
      </c>
    </row>
    <row r="1277" spans="1:8" x14ac:dyDescent="0.35">
      <c r="A1277" t="str">
        <f t="shared" si="19"/>
        <v>18097330213_2024</v>
      </c>
      <c r="B1277">
        <v>18097330213</v>
      </c>
      <c r="C1277">
        <v>2024</v>
      </c>
      <c r="E1277">
        <f>-(IF(VLOOKUP(B1277,'2023 Z Scores'!$A$1:$K$309,11,FALSE)&gt;2,VLOOKUP(B1277,'2023 Z Scores'!$A$1:$K$309,10,FALSE)/VLOOKUP(B1277,'2023 Z Scores'!$A$1:$K$309,11,FALSE),"Not Enough data"))</f>
        <v>-0.28296943445644074</v>
      </c>
      <c r="F1277">
        <f>IF(VLOOKUP(A1277,'Delta Z Scores'!$A$1:$N$1541,14,FALSE)&gt;2,VLOOKUP(A1277,'Delta Z Scores'!$A$1:$N$1541,13,FALSE)/VLOOKUP(A1277,'Delta Z Scores'!$A$1:$N$1541,14,FALSE),"Not Enough Data")</f>
        <v>-0.1100218627214071</v>
      </c>
      <c r="G1277">
        <f>IF(VLOOKUP(A1277,'Forecast Z Scores'!$A$1:$N$1541,14,FALSE)&gt;2,VLOOKUP(A1277,'Forecast Z Scores'!$A$1:$N$1541,13,FALSE)/VLOOKUP(A1277,'Forecast Z Scores'!$A$1:$N$1541,14,FALSE),"Not Enough Data")</f>
        <v>0.4350007030586362</v>
      </c>
      <c r="H1277">
        <v>-1.7003114210154685E-2</v>
      </c>
    </row>
    <row r="1278" spans="1:8" x14ac:dyDescent="0.35">
      <c r="A1278" t="str">
        <f t="shared" si="19"/>
        <v>18097330213_2025</v>
      </c>
      <c r="B1278">
        <v>18097330213</v>
      </c>
      <c r="C1278">
        <v>2025</v>
      </c>
      <c r="E1278">
        <f>-(IF(VLOOKUP(B1278,'2023 Z Scores'!$A$1:$K$309,11,FALSE)&gt;2,VLOOKUP(B1278,'2023 Z Scores'!$A$1:$K$309,10,FALSE)/VLOOKUP(B1278,'2023 Z Scores'!$A$1:$K$309,11,FALSE),"Not Enough data"))</f>
        <v>-0.28296943445644074</v>
      </c>
      <c r="F1278">
        <f>IF(VLOOKUP(A1278,'Delta Z Scores'!$A$1:$N$1541,14,FALSE)&gt;2,VLOOKUP(A1278,'Delta Z Scores'!$A$1:$N$1541,13,FALSE)/VLOOKUP(A1278,'Delta Z Scores'!$A$1:$N$1541,14,FALSE),"Not Enough Data")</f>
        <v>-0.19634590249190237</v>
      </c>
      <c r="G1278">
        <f>IF(VLOOKUP(A1278,'Forecast Z Scores'!$A$1:$N$1541,14,FALSE)&gt;2,VLOOKUP(A1278,'Forecast Z Scores'!$A$1:$N$1541,13,FALSE)/VLOOKUP(A1278,'Forecast Z Scores'!$A$1:$N$1541,14,FALSE),"Not Enough Data")</f>
        <v>0.45937443953212598</v>
      </c>
      <c r="H1278">
        <v>-5.4071699977029875E-2</v>
      </c>
    </row>
    <row r="1279" spans="1:8" x14ac:dyDescent="0.35">
      <c r="A1279" t="str">
        <f t="shared" si="19"/>
        <v>18097330213_2026</v>
      </c>
      <c r="B1279">
        <v>18097330213</v>
      </c>
      <c r="C1279">
        <v>2026</v>
      </c>
      <c r="E1279">
        <f>-(IF(VLOOKUP(B1279,'2023 Z Scores'!$A$1:$K$309,11,FALSE)&gt;2,VLOOKUP(B1279,'2023 Z Scores'!$A$1:$K$309,10,FALSE)/VLOOKUP(B1279,'2023 Z Scores'!$A$1:$K$309,11,FALSE),"Not Enough data"))</f>
        <v>-0.28296943445644074</v>
      </c>
      <c r="F1279">
        <f>IF(VLOOKUP(A1279,'Delta Z Scores'!$A$1:$N$1541,14,FALSE)&gt;2,VLOOKUP(A1279,'Delta Z Scores'!$A$1:$N$1541,13,FALSE)/VLOOKUP(A1279,'Delta Z Scores'!$A$1:$N$1541,14,FALSE),"Not Enough Data")</f>
        <v>-0.21687476982376147</v>
      </c>
      <c r="G1279">
        <f>IF(VLOOKUP(A1279,'Forecast Z Scores'!$A$1:$N$1541,14,FALSE)&gt;2,VLOOKUP(A1279,'Forecast Z Scores'!$A$1:$N$1541,13,FALSE)/VLOOKUP(A1279,'Forecast Z Scores'!$A$1:$N$1541,14,FALSE),"Not Enough Data")</f>
        <v>0.4777950654587409</v>
      </c>
      <c r="H1279">
        <v>-5.9730977161305696E-2</v>
      </c>
    </row>
    <row r="1280" spans="1:8" x14ac:dyDescent="0.35">
      <c r="A1280" t="str">
        <f t="shared" si="19"/>
        <v>18097330213_2027</v>
      </c>
      <c r="B1280">
        <v>18097330213</v>
      </c>
      <c r="C1280">
        <v>2027</v>
      </c>
      <c r="E1280">
        <f>-(IF(VLOOKUP(B1280,'2023 Z Scores'!$A$1:$K$309,11,FALSE)&gt;2,VLOOKUP(B1280,'2023 Z Scores'!$A$1:$K$309,10,FALSE)/VLOOKUP(B1280,'2023 Z Scores'!$A$1:$K$309,11,FALSE),"Not Enough data"))</f>
        <v>-0.28296943445644074</v>
      </c>
      <c r="F1280">
        <f>IF(VLOOKUP(A1280,'Delta Z Scores'!$A$1:$N$1541,14,FALSE)&gt;2,VLOOKUP(A1280,'Delta Z Scores'!$A$1:$N$1541,13,FALSE)/VLOOKUP(A1280,'Delta Z Scores'!$A$1:$N$1541,14,FALSE),"Not Enough Data")</f>
        <v>-0.30058702107673602</v>
      </c>
      <c r="G1280">
        <f>IF(VLOOKUP(A1280,'Forecast Z Scores'!$A$1:$N$1541,14,FALSE)&gt;2,VLOOKUP(A1280,'Forecast Z Scores'!$A$1:$N$1541,13,FALSE)/VLOOKUP(A1280,'Forecast Z Scores'!$A$1:$N$1541,14,FALSE),"Not Enough Data")</f>
        <v>0.50465854114862907</v>
      </c>
      <c r="H1280">
        <v>-9.4871233865320925E-2</v>
      </c>
    </row>
    <row r="1281" spans="1:8" x14ac:dyDescent="0.35">
      <c r="A1281" t="str">
        <f t="shared" si="19"/>
        <v>18097330213_2028</v>
      </c>
      <c r="B1281">
        <v>18097330213</v>
      </c>
      <c r="C1281">
        <v>2028</v>
      </c>
      <c r="E1281">
        <f>-(IF(VLOOKUP(B1281,'2023 Z Scores'!$A$1:$K$309,11,FALSE)&gt;2,VLOOKUP(B1281,'2023 Z Scores'!$A$1:$K$309,10,FALSE)/VLOOKUP(B1281,'2023 Z Scores'!$A$1:$K$309,11,FALSE),"Not Enough data"))</f>
        <v>-0.28296943445644074</v>
      </c>
      <c r="F1281">
        <f>IF(VLOOKUP(A1281,'Delta Z Scores'!$A$1:$N$1541,14,FALSE)&gt;2,VLOOKUP(A1281,'Delta Z Scores'!$A$1:$N$1541,13,FALSE)/VLOOKUP(A1281,'Delta Z Scores'!$A$1:$N$1541,14,FALSE),"Not Enough Data")</f>
        <v>-0.33827604964807362</v>
      </c>
      <c r="G1281">
        <f>IF(VLOOKUP(A1281,'Forecast Z Scores'!$A$1:$N$1541,14,FALSE)&gt;2,VLOOKUP(A1281,'Forecast Z Scores'!$A$1:$N$1541,13,FALSE)/VLOOKUP(A1281,'Forecast Z Scores'!$A$1:$N$1541,14,FALSE),"Not Enough Data")</f>
        <v>0.52151646090383752</v>
      </c>
      <c r="H1281">
        <v>-0.10950126821218761</v>
      </c>
    </row>
    <row r="1282" spans="1:8" x14ac:dyDescent="0.35">
      <c r="A1282" t="str">
        <f t="shared" si="19"/>
        <v>18097330700_2024</v>
      </c>
      <c r="B1282">
        <v>18097330700</v>
      </c>
      <c r="C1282">
        <v>2024</v>
      </c>
      <c r="E1282">
        <f>-(IF(VLOOKUP(B1282,'2023 Z Scores'!$A$1:$K$309,11,FALSE)&gt;2,VLOOKUP(B1282,'2023 Z Scores'!$A$1:$K$309,10,FALSE)/VLOOKUP(B1282,'2023 Z Scores'!$A$1:$K$309,11,FALSE),"Not Enough data"))</f>
        <v>2.4402048866951343E-2</v>
      </c>
      <c r="F1282">
        <f>IF(VLOOKUP(A1282,'Delta Z Scores'!$A$1:$N$1541,14,FALSE)&gt;2,VLOOKUP(A1282,'Delta Z Scores'!$A$1:$N$1541,13,FALSE)/VLOOKUP(A1282,'Delta Z Scores'!$A$1:$N$1541,14,FALSE),"Not Enough Data")</f>
        <v>1.5951761812450667</v>
      </c>
      <c r="G1282">
        <f>IF(VLOOKUP(A1282,'Forecast Z Scores'!$A$1:$N$1541,14,FALSE)&gt;2,VLOOKUP(A1282,'Forecast Z Scores'!$A$1:$N$1541,13,FALSE)/VLOOKUP(A1282,'Forecast Z Scores'!$A$1:$N$1541,14,FALSE),"Not Enough Data")</f>
        <v>0.81197564867657523</v>
      </c>
      <c r="H1282">
        <v>1.0066825150084151</v>
      </c>
    </row>
    <row r="1283" spans="1:8" x14ac:dyDescent="0.35">
      <c r="A1283" t="str">
        <f t="shared" ref="A1283:A1346" si="20">TEXT(B1283,0)&amp;"_"&amp;TEXT(C1283,0)</f>
        <v>18097330700_2025</v>
      </c>
      <c r="B1283">
        <v>18097330700</v>
      </c>
      <c r="C1283">
        <v>2025</v>
      </c>
      <c r="E1283">
        <f>-(IF(VLOOKUP(B1283,'2023 Z Scores'!$A$1:$K$309,11,FALSE)&gt;2,VLOOKUP(B1283,'2023 Z Scores'!$A$1:$K$309,10,FALSE)/VLOOKUP(B1283,'2023 Z Scores'!$A$1:$K$309,11,FALSE),"Not Enough data"))</f>
        <v>2.4402048866951343E-2</v>
      </c>
      <c r="F1283">
        <f>IF(VLOOKUP(A1283,'Delta Z Scores'!$A$1:$N$1541,14,FALSE)&gt;2,VLOOKUP(A1283,'Delta Z Scores'!$A$1:$N$1541,13,FALSE)/VLOOKUP(A1283,'Delta Z Scores'!$A$1:$N$1541,14,FALSE),"Not Enough Data")</f>
        <v>0.3041232751325042</v>
      </c>
      <c r="G1283">
        <f>IF(VLOOKUP(A1283,'Forecast Z Scores'!$A$1:$N$1541,14,FALSE)&gt;2,VLOOKUP(A1283,'Forecast Z Scores'!$A$1:$N$1541,13,FALSE)/VLOOKUP(A1283,'Forecast Z Scores'!$A$1:$N$1541,14,FALSE),"Not Enough Data")</f>
        <v>0.75564704013318607</v>
      </c>
      <c r="H1283">
        <v>0.34707390981628644</v>
      </c>
    </row>
    <row r="1284" spans="1:8" x14ac:dyDescent="0.35">
      <c r="A1284" t="str">
        <f t="shared" si="20"/>
        <v>18097330700_2026</v>
      </c>
      <c r="B1284">
        <v>18097330700</v>
      </c>
      <c r="C1284">
        <v>2026</v>
      </c>
      <c r="E1284">
        <f>-(IF(VLOOKUP(B1284,'2023 Z Scores'!$A$1:$K$309,11,FALSE)&gt;2,VLOOKUP(B1284,'2023 Z Scores'!$A$1:$K$309,10,FALSE)/VLOOKUP(B1284,'2023 Z Scores'!$A$1:$K$309,11,FALSE),"Not Enough data"))</f>
        <v>2.4402048866951343E-2</v>
      </c>
      <c r="F1284">
        <f>IF(VLOOKUP(A1284,'Delta Z Scores'!$A$1:$N$1541,14,FALSE)&gt;2,VLOOKUP(A1284,'Delta Z Scores'!$A$1:$N$1541,13,FALSE)/VLOOKUP(A1284,'Delta Z Scores'!$A$1:$N$1541,14,FALSE),"Not Enough Data")</f>
        <v>0.32014436469330698</v>
      </c>
      <c r="G1284">
        <f>IF(VLOOKUP(A1284,'Forecast Z Scores'!$A$1:$N$1541,14,FALSE)&gt;2,VLOOKUP(A1284,'Forecast Z Scores'!$A$1:$N$1541,13,FALSE)/VLOOKUP(A1284,'Forecast Z Scores'!$A$1:$N$1541,14,FALSE),"Not Enough Data")</f>
        <v>0.67660481618446722</v>
      </c>
      <c r="H1284">
        <v>0.33532389860950812</v>
      </c>
    </row>
    <row r="1285" spans="1:8" x14ac:dyDescent="0.35">
      <c r="A1285" t="str">
        <f t="shared" si="20"/>
        <v>18097330700_2027</v>
      </c>
      <c r="B1285">
        <v>18097330700</v>
      </c>
      <c r="C1285">
        <v>2027</v>
      </c>
      <c r="E1285">
        <f>-(IF(VLOOKUP(B1285,'2023 Z Scores'!$A$1:$K$309,11,FALSE)&gt;2,VLOOKUP(B1285,'2023 Z Scores'!$A$1:$K$309,10,FALSE)/VLOOKUP(B1285,'2023 Z Scores'!$A$1:$K$309,11,FALSE),"Not Enough data"))</f>
        <v>2.4402048866951343E-2</v>
      </c>
      <c r="F1285">
        <f>IF(VLOOKUP(A1285,'Delta Z Scores'!$A$1:$N$1541,14,FALSE)&gt;2,VLOOKUP(A1285,'Delta Z Scores'!$A$1:$N$1541,13,FALSE)/VLOOKUP(A1285,'Delta Z Scores'!$A$1:$N$1541,14,FALSE),"Not Enough Data")</f>
        <v>0.33658754412734915</v>
      </c>
      <c r="G1285">
        <f>IF(VLOOKUP(A1285,'Forecast Z Scores'!$A$1:$N$1541,14,FALSE)&gt;2,VLOOKUP(A1285,'Forecast Z Scores'!$A$1:$N$1541,13,FALSE)/VLOOKUP(A1285,'Forecast Z Scores'!$A$1:$N$1541,14,FALSE),"Not Enough Data")</f>
        <v>0.58430571119144947</v>
      </c>
      <c r="H1285">
        <v>0.32047071207827477</v>
      </c>
    </row>
    <row r="1286" spans="1:8" x14ac:dyDescent="0.35">
      <c r="A1286" t="str">
        <f t="shared" si="20"/>
        <v>18097340109_2028</v>
      </c>
      <c r="B1286">
        <v>18097340109</v>
      </c>
      <c r="C1286">
        <v>2028</v>
      </c>
      <c r="E1286">
        <f>-(IF(VLOOKUP(B1286,'2023 Z Scores'!$A$1:$K$309,11,FALSE)&gt;2,VLOOKUP(B1286,'2023 Z Scores'!$A$1:$K$309,10,FALSE)/VLOOKUP(B1286,'2023 Z Scores'!$A$1:$K$309,11,FALSE),"Not Enough data"))</f>
        <v>0.63271825393598158</v>
      </c>
      <c r="F1286">
        <f>IF(VLOOKUP(A1286,'Delta Z Scores'!$A$1:$N$1541,14,FALSE)&gt;2,VLOOKUP(A1286,'Delta Z Scores'!$A$1:$N$1541,13,FALSE)/VLOOKUP(A1286,'Delta Z Scores'!$A$1:$N$1541,14,FALSE),"Not Enough Data")</f>
        <v>7.2146531084502754E-3</v>
      </c>
      <c r="G1286">
        <f>IF(VLOOKUP(A1286,'Forecast Z Scores'!$A$1:$N$1541,14,FALSE)&gt;2,VLOOKUP(A1286,'Forecast Z Scores'!$A$1:$N$1541,13,FALSE)/VLOOKUP(A1286,'Forecast Z Scores'!$A$1:$N$1541,14,FALSE),"Not Enough Data")</f>
        <v>-0.67565959654397789</v>
      </c>
      <c r="H1286">
        <v>-7.1280090977739463E-3</v>
      </c>
    </row>
    <row r="1287" spans="1:8" x14ac:dyDescent="0.35">
      <c r="A1287" t="str">
        <f t="shared" si="20"/>
        <v>18097340109_2024</v>
      </c>
      <c r="B1287">
        <v>18097340109</v>
      </c>
      <c r="C1287">
        <v>2024</v>
      </c>
      <c r="E1287">
        <f>-(IF(VLOOKUP(B1287,'2023 Z Scores'!$A$1:$K$309,11,FALSE)&gt;2,VLOOKUP(B1287,'2023 Z Scores'!$A$1:$K$309,10,FALSE)/VLOOKUP(B1287,'2023 Z Scores'!$A$1:$K$309,11,FALSE),"Not Enough data"))</f>
        <v>0.63271825393598158</v>
      </c>
      <c r="F1287">
        <f>IF(VLOOKUP(A1287,'Delta Z Scores'!$A$1:$N$1541,14,FALSE)&gt;2,VLOOKUP(A1287,'Delta Z Scores'!$A$1:$N$1541,13,FALSE)/VLOOKUP(A1287,'Delta Z Scores'!$A$1:$N$1541,14,FALSE),"Not Enough Data")</f>
        <v>-3.2427832781612154E-2</v>
      </c>
      <c r="G1287">
        <f>IF(VLOOKUP(A1287,'Forecast Z Scores'!$A$1:$N$1541,14,FALSE)&gt;2,VLOOKUP(A1287,'Forecast Z Scores'!$A$1:$N$1541,13,FALSE)/VLOOKUP(A1287,'Forecast Z Scores'!$A$1:$N$1541,14,FALSE),"Not Enough Data")</f>
        <v>-0.59352071013809715</v>
      </c>
      <c r="H1287">
        <v>-6.4145304413349702E-3</v>
      </c>
    </row>
    <row r="1288" spans="1:8" x14ac:dyDescent="0.35">
      <c r="A1288" t="str">
        <f t="shared" si="20"/>
        <v>18097340109_2025</v>
      </c>
      <c r="B1288">
        <v>18097340109</v>
      </c>
      <c r="C1288">
        <v>2025</v>
      </c>
      <c r="E1288">
        <f>-(IF(VLOOKUP(B1288,'2023 Z Scores'!$A$1:$K$309,11,FALSE)&gt;2,VLOOKUP(B1288,'2023 Z Scores'!$A$1:$K$309,10,FALSE)/VLOOKUP(B1288,'2023 Z Scores'!$A$1:$K$309,11,FALSE),"Not Enough data"))</f>
        <v>0.63271825393598158</v>
      </c>
      <c r="F1288">
        <f>IF(VLOOKUP(A1288,'Delta Z Scores'!$A$1:$N$1541,14,FALSE)&gt;2,VLOOKUP(A1288,'Delta Z Scores'!$A$1:$N$1541,13,FALSE)/VLOOKUP(A1288,'Delta Z Scores'!$A$1:$N$1541,14,FALSE),"Not Enough Data")</f>
        <v>-0.33884348189363095</v>
      </c>
      <c r="G1288">
        <f>IF(VLOOKUP(A1288,'Forecast Z Scores'!$A$1:$N$1541,14,FALSE)&gt;2,VLOOKUP(A1288,'Forecast Z Scores'!$A$1:$N$1541,13,FALSE)/VLOOKUP(A1288,'Forecast Z Scores'!$A$1:$N$1541,14,FALSE),"Not Enough Data")</f>
        <v>-0.64074647103155669</v>
      </c>
      <c r="H1288">
        <v>-0.17142879522070922</v>
      </c>
    </row>
    <row r="1289" spans="1:8" x14ac:dyDescent="0.35">
      <c r="A1289" t="str">
        <f t="shared" si="20"/>
        <v>18097340109_2026</v>
      </c>
      <c r="B1289">
        <v>18097340109</v>
      </c>
      <c r="C1289">
        <v>2026</v>
      </c>
      <c r="E1289">
        <f>-(IF(VLOOKUP(B1289,'2023 Z Scores'!$A$1:$K$309,11,FALSE)&gt;2,VLOOKUP(B1289,'2023 Z Scores'!$A$1:$K$309,10,FALSE)/VLOOKUP(B1289,'2023 Z Scores'!$A$1:$K$309,11,FALSE),"Not Enough data"))</f>
        <v>0.63271825393598158</v>
      </c>
      <c r="F1289">
        <f>IF(VLOOKUP(A1289,'Delta Z Scores'!$A$1:$N$1541,14,FALSE)&gt;2,VLOOKUP(A1289,'Delta Z Scores'!$A$1:$N$1541,13,FALSE)/VLOOKUP(A1289,'Delta Z Scores'!$A$1:$N$1541,14,FALSE),"Not Enough Data")</f>
        <v>-0.10437896864287093</v>
      </c>
      <c r="G1289">
        <f>IF(VLOOKUP(A1289,'Forecast Z Scores'!$A$1:$N$1541,14,FALSE)&gt;2,VLOOKUP(A1289,'Forecast Z Scores'!$A$1:$N$1541,13,FALSE)/VLOOKUP(A1289,'Forecast Z Scores'!$A$1:$N$1541,14,FALSE),"Not Enough Data")</f>
        <v>-0.64850311780896175</v>
      </c>
      <c r="H1289">
        <v>-5.6135700289680512E-2</v>
      </c>
    </row>
    <row r="1290" spans="1:8" x14ac:dyDescent="0.35">
      <c r="A1290" t="str">
        <f t="shared" si="20"/>
        <v>18097340300_2027</v>
      </c>
      <c r="B1290">
        <v>18097340300</v>
      </c>
      <c r="C1290">
        <v>2027</v>
      </c>
      <c r="E1290">
        <f>-(IF(VLOOKUP(B1290,'2023 Z Scores'!$A$1:$K$309,11,FALSE)&gt;2,VLOOKUP(B1290,'2023 Z Scores'!$A$1:$K$309,10,FALSE)/VLOOKUP(B1290,'2023 Z Scores'!$A$1:$K$309,11,FALSE),"Not Enough data"))</f>
        <v>0.30714171157904502</v>
      </c>
      <c r="F1290">
        <f>IF(VLOOKUP(A1290,'Delta Z Scores'!$A$1:$N$1541,14,FALSE)&gt;2,VLOOKUP(A1290,'Delta Z Scores'!$A$1:$N$1541,13,FALSE)/VLOOKUP(A1290,'Delta Z Scores'!$A$1:$N$1541,14,FALSE),"Not Enough Data")</f>
        <v>-1.0156310225678689</v>
      </c>
      <c r="G1290">
        <f>IF(VLOOKUP(A1290,'Forecast Z Scores'!$A$1:$N$1541,14,FALSE)&gt;2,VLOOKUP(A1290,'Forecast Z Scores'!$A$1:$N$1541,13,FALSE)/VLOOKUP(A1290,'Forecast Z Scores'!$A$1:$N$1541,14,FALSE),"Not Enough Data")</f>
        <v>-0.2710939854626776</v>
      </c>
      <c r="H1290">
        <v>-0.49880357975484257</v>
      </c>
    </row>
    <row r="1291" spans="1:8" x14ac:dyDescent="0.35">
      <c r="A1291" t="str">
        <f t="shared" si="20"/>
        <v>18097340300_2028</v>
      </c>
      <c r="B1291">
        <v>18097340300</v>
      </c>
      <c r="C1291">
        <v>2028</v>
      </c>
      <c r="E1291">
        <f>-(IF(VLOOKUP(B1291,'2023 Z Scores'!$A$1:$K$309,11,FALSE)&gt;2,VLOOKUP(B1291,'2023 Z Scores'!$A$1:$K$309,10,FALSE)/VLOOKUP(B1291,'2023 Z Scores'!$A$1:$K$309,11,FALSE),"Not Enough data"))</f>
        <v>0.30714171157904502</v>
      </c>
      <c r="F1291">
        <f>IF(VLOOKUP(A1291,'Delta Z Scores'!$A$1:$N$1541,14,FALSE)&gt;2,VLOOKUP(A1291,'Delta Z Scores'!$A$1:$N$1541,13,FALSE)/VLOOKUP(A1291,'Delta Z Scores'!$A$1:$N$1541,14,FALSE),"Not Enough Data")</f>
        <v>-1.2671860602006078</v>
      </c>
      <c r="G1291">
        <f>IF(VLOOKUP(A1291,'Forecast Z Scores'!$A$1:$N$1541,14,FALSE)&gt;2,VLOOKUP(A1291,'Forecast Z Scores'!$A$1:$N$1541,13,FALSE)/VLOOKUP(A1291,'Forecast Z Scores'!$A$1:$N$1541,14,FALSE),"Not Enough Data")</f>
        <v>-0.29558645616962104</v>
      </c>
      <c r="H1291">
        <v>-0.63070421624794781</v>
      </c>
    </row>
    <row r="1292" spans="1:8" x14ac:dyDescent="0.35">
      <c r="A1292" t="str">
        <f t="shared" si="20"/>
        <v>18097340300_2024</v>
      </c>
      <c r="B1292">
        <v>18097340300</v>
      </c>
      <c r="C1292">
        <v>2024</v>
      </c>
      <c r="E1292">
        <f>-(IF(VLOOKUP(B1292,'2023 Z Scores'!$A$1:$K$309,11,FALSE)&gt;2,VLOOKUP(B1292,'2023 Z Scores'!$A$1:$K$309,10,FALSE)/VLOOKUP(B1292,'2023 Z Scores'!$A$1:$K$309,11,FALSE),"Not Enough data"))</f>
        <v>0.30714171157904502</v>
      </c>
      <c r="F1292">
        <f>IF(VLOOKUP(A1292,'Delta Z Scores'!$A$1:$N$1541,14,FALSE)&gt;2,VLOOKUP(A1292,'Delta Z Scores'!$A$1:$N$1541,13,FALSE)/VLOOKUP(A1292,'Delta Z Scores'!$A$1:$N$1541,14,FALSE),"Not Enough Data")</f>
        <v>1.4875052916030127</v>
      </c>
      <c r="G1292">
        <f>IF(VLOOKUP(A1292,'Forecast Z Scores'!$A$1:$N$1541,14,FALSE)&gt;2,VLOOKUP(A1292,'Forecast Z Scores'!$A$1:$N$1541,13,FALSE)/VLOOKUP(A1292,'Forecast Z Scores'!$A$1:$N$1541,14,FALSE),"Not Enough Data")</f>
        <v>-0.17870945961938847</v>
      </c>
      <c r="H1292">
        <v>0.77586070879142055</v>
      </c>
    </row>
    <row r="1293" spans="1:8" x14ac:dyDescent="0.35">
      <c r="A1293" t="str">
        <f t="shared" si="20"/>
        <v>18097340300_2025</v>
      </c>
      <c r="B1293">
        <v>18097340300</v>
      </c>
      <c r="C1293">
        <v>2025</v>
      </c>
      <c r="E1293">
        <f>-(IF(VLOOKUP(B1293,'2023 Z Scores'!$A$1:$K$309,11,FALSE)&gt;2,VLOOKUP(B1293,'2023 Z Scores'!$A$1:$K$309,10,FALSE)/VLOOKUP(B1293,'2023 Z Scores'!$A$1:$K$309,11,FALSE),"Not Enough data"))</f>
        <v>0.30714171157904502</v>
      </c>
      <c r="F1293">
        <f>IF(VLOOKUP(A1293,'Delta Z Scores'!$A$1:$N$1541,14,FALSE)&gt;2,VLOOKUP(A1293,'Delta Z Scores'!$A$1:$N$1541,13,FALSE)/VLOOKUP(A1293,'Delta Z Scores'!$A$1:$N$1541,14,FALSE),"Not Enough Data")</f>
        <v>-0.77845734111510434</v>
      </c>
      <c r="G1293">
        <f>IF(VLOOKUP(A1293,'Forecast Z Scores'!$A$1:$N$1541,14,FALSE)&gt;2,VLOOKUP(A1293,'Forecast Z Scores'!$A$1:$N$1541,13,FALSE)/VLOOKUP(A1293,'Forecast Z Scores'!$A$1:$N$1541,14,FALSE),"Not Enough Data")</f>
        <v>-0.20515845202956048</v>
      </c>
      <c r="H1293">
        <v>-0.36373285567018099</v>
      </c>
    </row>
    <row r="1294" spans="1:8" x14ac:dyDescent="0.35">
      <c r="A1294" t="str">
        <f t="shared" si="20"/>
        <v>18097340902_2026</v>
      </c>
      <c r="B1294">
        <v>18097340902</v>
      </c>
      <c r="C1294">
        <v>2026</v>
      </c>
      <c r="E1294">
        <f>-(IF(VLOOKUP(B1294,'2023 Z Scores'!$A$1:$K$309,11,FALSE)&gt;2,VLOOKUP(B1294,'2023 Z Scores'!$A$1:$K$309,10,FALSE)/VLOOKUP(B1294,'2023 Z Scores'!$A$1:$K$309,11,FALSE),"Not Enough data"))</f>
        <v>1.2560412318077429E-2</v>
      </c>
      <c r="F1294">
        <f>IF(VLOOKUP(A1294,'Delta Z Scores'!$A$1:$N$1541,14,FALSE)&gt;2,VLOOKUP(A1294,'Delta Z Scores'!$A$1:$N$1541,13,FALSE)/VLOOKUP(A1294,'Delta Z Scores'!$A$1:$N$1541,14,FALSE),"Not Enough Data")</f>
        <v>-0.11827580896421908</v>
      </c>
      <c r="G1294">
        <f>IF(VLOOKUP(A1294,'Forecast Z Scores'!$A$1:$N$1541,14,FALSE)&gt;2,VLOOKUP(A1294,'Forecast Z Scores'!$A$1:$N$1541,13,FALSE)/VLOOKUP(A1294,'Forecast Z Scores'!$A$1:$N$1541,14,FALSE),"Not Enough Data")</f>
        <v>-5.2253243800222615E-2</v>
      </c>
      <c r="H1294">
        <v>-6.9061112352645837E-2</v>
      </c>
    </row>
    <row r="1295" spans="1:8" x14ac:dyDescent="0.35">
      <c r="A1295" t="str">
        <f t="shared" si="20"/>
        <v>18097340902_2027</v>
      </c>
      <c r="B1295">
        <v>18097340902</v>
      </c>
      <c r="C1295">
        <v>2027</v>
      </c>
      <c r="E1295">
        <f>-(IF(VLOOKUP(B1295,'2023 Z Scores'!$A$1:$K$309,11,FALSE)&gt;2,VLOOKUP(B1295,'2023 Z Scores'!$A$1:$K$309,10,FALSE)/VLOOKUP(B1295,'2023 Z Scores'!$A$1:$K$309,11,FALSE),"Not Enough data"))</f>
        <v>1.2560412318077429E-2</v>
      </c>
      <c r="F1295">
        <f>IF(VLOOKUP(A1295,'Delta Z Scores'!$A$1:$N$1541,14,FALSE)&gt;2,VLOOKUP(A1295,'Delta Z Scores'!$A$1:$N$1541,13,FALSE)/VLOOKUP(A1295,'Delta Z Scores'!$A$1:$N$1541,14,FALSE),"Not Enough Data")</f>
        <v>0.25309258395844147</v>
      </c>
      <c r="G1295">
        <f>IF(VLOOKUP(A1295,'Forecast Z Scores'!$A$1:$N$1541,14,FALSE)&gt;2,VLOOKUP(A1295,'Forecast Z Scores'!$A$1:$N$1541,13,FALSE)/VLOOKUP(A1295,'Forecast Z Scores'!$A$1:$N$1541,14,FALSE),"Not Enough Data")</f>
        <v>2.5369866015405584E-3</v>
      </c>
      <c r="H1295">
        <v>0.13032064170912525</v>
      </c>
    </row>
    <row r="1296" spans="1:8" x14ac:dyDescent="0.35">
      <c r="A1296" t="str">
        <f t="shared" si="20"/>
        <v>18097340902_2028</v>
      </c>
      <c r="B1296">
        <v>18097340902</v>
      </c>
      <c r="C1296">
        <v>2028</v>
      </c>
      <c r="E1296">
        <f>-(IF(VLOOKUP(B1296,'2023 Z Scores'!$A$1:$K$309,11,FALSE)&gt;2,VLOOKUP(B1296,'2023 Z Scores'!$A$1:$K$309,10,FALSE)/VLOOKUP(B1296,'2023 Z Scores'!$A$1:$K$309,11,FALSE),"Not Enough data"))</f>
        <v>1.2560412318077429E-2</v>
      </c>
      <c r="F1296">
        <f>IF(VLOOKUP(A1296,'Delta Z Scores'!$A$1:$N$1541,14,FALSE)&gt;2,VLOOKUP(A1296,'Delta Z Scores'!$A$1:$N$1541,13,FALSE)/VLOOKUP(A1296,'Delta Z Scores'!$A$1:$N$1541,14,FALSE),"Not Enough Data")</f>
        <v>-8.1190419764637284E-2</v>
      </c>
      <c r="G1296">
        <f>IF(VLOOKUP(A1296,'Forecast Z Scores'!$A$1:$N$1541,14,FALSE)&gt;2,VLOOKUP(A1296,'Forecast Z Scores'!$A$1:$N$1541,13,FALSE)/VLOOKUP(A1296,'Forecast Z Scores'!$A$1:$N$1541,14,FALSE),"Not Enough Data")</f>
        <v>-6.0744526207636707E-3</v>
      </c>
      <c r="H1296">
        <v>-3.8973719957990205E-2</v>
      </c>
    </row>
    <row r="1297" spans="1:8" x14ac:dyDescent="0.35">
      <c r="A1297" t="str">
        <f t="shared" si="20"/>
        <v>18097340902_2024</v>
      </c>
      <c r="B1297">
        <v>18097340902</v>
      </c>
      <c r="C1297">
        <v>2024</v>
      </c>
      <c r="E1297">
        <f>-(IF(VLOOKUP(B1297,'2023 Z Scores'!$A$1:$K$309,11,FALSE)&gt;2,VLOOKUP(B1297,'2023 Z Scores'!$A$1:$K$309,10,FALSE)/VLOOKUP(B1297,'2023 Z Scores'!$A$1:$K$309,11,FALSE),"Not Enough data"))</f>
        <v>1.2560412318077429E-2</v>
      </c>
      <c r="F1297">
        <f>IF(VLOOKUP(A1297,'Delta Z Scores'!$A$1:$N$1541,14,FALSE)&gt;2,VLOOKUP(A1297,'Delta Z Scores'!$A$1:$N$1541,13,FALSE)/VLOOKUP(A1297,'Delta Z Scores'!$A$1:$N$1541,14,FALSE),"Not Enough Data")</f>
        <v>9.9055384864202456E-2</v>
      </c>
      <c r="G1297">
        <f>IF(VLOOKUP(A1297,'Forecast Z Scores'!$A$1:$N$1541,14,FALSE)&gt;2,VLOOKUP(A1297,'Forecast Z Scores'!$A$1:$N$1541,13,FALSE)/VLOOKUP(A1297,'Forecast Z Scores'!$A$1:$N$1541,14,FALSE),"Not Enough Data")</f>
        <v>-8.4086204359173577E-2</v>
      </c>
      <c r="H1297">
        <v>3.1646244421827188E-2</v>
      </c>
    </row>
    <row r="1298" spans="1:8" x14ac:dyDescent="0.35">
      <c r="A1298" t="str">
        <f t="shared" si="20"/>
        <v>18097341700_2025</v>
      </c>
      <c r="B1298">
        <v>18097341700</v>
      </c>
      <c r="C1298">
        <v>2025</v>
      </c>
      <c r="E1298">
        <f>-(IF(VLOOKUP(B1298,'2023 Z Scores'!$A$1:$K$309,11,FALSE)&gt;2,VLOOKUP(B1298,'2023 Z Scores'!$A$1:$K$309,10,FALSE)/VLOOKUP(B1298,'2023 Z Scores'!$A$1:$K$309,11,FALSE),"Not Enough data"))</f>
        <v>0.56709223237530981</v>
      </c>
      <c r="F1298">
        <f>IF(VLOOKUP(A1298,'Delta Z Scores'!$A$1:$N$1541,14,FALSE)&gt;2,VLOOKUP(A1298,'Delta Z Scores'!$A$1:$N$1541,13,FALSE)/VLOOKUP(A1298,'Delta Z Scores'!$A$1:$N$1541,14,FALSE),"Not Enough Data")</f>
        <v>-0.5940543439946413</v>
      </c>
      <c r="G1298">
        <f>IF(VLOOKUP(A1298,'Forecast Z Scores'!$A$1:$N$1541,14,FALSE)&gt;2,VLOOKUP(A1298,'Forecast Z Scores'!$A$1:$N$1541,13,FALSE)/VLOOKUP(A1298,'Forecast Z Scores'!$A$1:$N$1541,14,FALSE),"Not Enough Data")</f>
        <v>-0.29599040009033972</v>
      </c>
      <c r="H1298">
        <v>-0.22925171392607813</v>
      </c>
    </row>
    <row r="1299" spans="1:8" x14ac:dyDescent="0.35">
      <c r="A1299" t="str">
        <f t="shared" si="20"/>
        <v>18097341700_2026</v>
      </c>
      <c r="B1299">
        <v>18097341700</v>
      </c>
      <c r="C1299">
        <v>2026</v>
      </c>
      <c r="E1299">
        <f>-(IF(VLOOKUP(B1299,'2023 Z Scores'!$A$1:$K$309,11,FALSE)&gt;2,VLOOKUP(B1299,'2023 Z Scores'!$A$1:$K$309,10,FALSE)/VLOOKUP(B1299,'2023 Z Scores'!$A$1:$K$309,11,FALSE),"Not Enough data"))</f>
        <v>0.56709223237530981</v>
      </c>
      <c r="F1299">
        <f>IF(VLOOKUP(A1299,'Delta Z Scores'!$A$1:$N$1541,14,FALSE)&gt;2,VLOOKUP(A1299,'Delta Z Scores'!$A$1:$N$1541,13,FALSE)/VLOOKUP(A1299,'Delta Z Scores'!$A$1:$N$1541,14,FALSE),"Not Enough Data")</f>
        <v>0.1986879875492249</v>
      </c>
      <c r="G1299">
        <f>IF(VLOOKUP(A1299,'Forecast Z Scores'!$A$1:$N$1541,14,FALSE)&gt;2,VLOOKUP(A1299,'Forecast Z Scores'!$A$1:$N$1541,13,FALSE)/VLOOKUP(A1299,'Forecast Z Scores'!$A$1:$N$1541,14,FALSE),"Not Enough Data")</f>
        <v>-0.29389750752076832</v>
      </c>
      <c r="H1299">
        <v>0.16764267498824781</v>
      </c>
    </row>
    <row r="1300" spans="1:8" x14ac:dyDescent="0.35">
      <c r="A1300" t="str">
        <f t="shared" si="20"/>
        <v>18097341700_2027</v>
      </c>
      <c r="B1300">
        <v>18097341700</v>
      </c>
      <c r="C1300">
        <v>2027</v>
      </c>
      <c r="E1300">
        <f>-(IF(VLOOKUP(B1300,'2023 Z Scores'!$A$1:$K$309,11,FALSE)&gt;2,VLOOKUP(B1300,'2023 Z Scores'!$A$1:$K$309,10,FALSE)/VLOOKUP(B1300,'2023 Z Scores'!$A$1:$K$309,11,FALSE),"Not Enough data"))</f>
        <v>0.56709223237530981</v>
      </c>
      <c r="F1300">
        <f>IF(VLOOKUP(A1300,'Delta Z Scores'!$A$1:$N$1541,14,FALSE)&gt;2,VLOOKUP(A1300,'Delta Z Scores'!$A$1:$N$1541,13,FALSE)/VLOOKUP(A1300,'Delta Z Scores'!$A$1:$N$1541,14,FALSE),"Not Enough Data")</f>
        <v>-0.58712511580747317</v>
      </c>
      <c r="G1300">
        <f>IF(VLOOKUP(A1300,'Forecast Z Scores'!$A$1:$N$1541,14,FALSE)&gt;2,VLOOKUP(A1300,'Forecast Z Scores'!$A$1:$N$1541,13,FALSE)/VLOOKUP(A1300,'Forecast Z Scores'!$A$1:$N$1541,14,FALSE),"Not Enough Data")</f>
        <v>-0.29788580660623093</v>
      </c>
      <c r="H1300">
        <v>-0.22626095146146685</v>
      </c>
    </row>
    <row r="1301" spans="1:8" x14ac:dyDescent="0.35">
      <c r="A1301" t="str">
        <f t="shared" si="20"/>
        <v>18097341700_2028</v>
      </c>
      <c r="B1301">
        <v>18097341700</v>
      </c>
      <c r="C1301">
        <v>2028</v>
      </c>
      <c r="E1301">
        <f>-(IF(VLOOKUP(B1301,'2023 Z Scores'!$A$1:$K$309,11,FALSE)&gt;2,VLOOKUP(B1301,'2023 Z Scores'!$A$1:$K$309,10,FALSE)/VLOOKUP(B1301,'2023 Z Scores'!$A$1:$K$309,11,FALSE),"Not Enough data"))</f>
        <v>0.56709223237530981</v>
      </c>
      <c r="F1301">
        <f>IF(VLOOKUP(A1301,'Delta Z Scores'!$A$1:$N$1541,14,FALSE)&gt;2,VLOOKUP(A1301,'Delta Z Scores'!$A$1:$N$1541,13,FALSE)/VLOOKUP(A1301,'Delta Z Scores'!$A$1:$N$1541,14,FALSE),"Not Enough Data")</f>
        <v>0.14058150690895904</v>
      </c>
      <c r="G1301">
        <f>IF(VLOOKUP(A1301,'Forecast Z Scores'!$A$1:$N$1541,14,FALSE)&gt;2,VLOOKUP(A1301,'Forecast Z Scores'!$A$1:$N$1541,13,FALSE)/VLOOKUP(A1301,'Forecast Z Scores'!$A$1:$N$1541,14,FALSE),"Not Enough Data")</f>
        <v>-0.29127206075117085</v>
      </c>
      <c r="H1301">
        <v>0.13924579636051426</v>
      </c>
    </row>
    <row r="1302" spans="1:8" x14ac:dyDescent="0.35">
      <c r="A1302" t="str">
        <f t="shared" si="20"/>
        <v>18097354200_2024</v>
      </c>
      <c r="B1302">
        <v>18097354200</v>
      </c>
      <c r="C1302">
        <v>2024</v>
      </c>
      <c r="E1302">
        <f>-(IF(VLOOKUP(B1302,'2023 Z Scores'!$A$1:$K$309,11,FALSE)&gt;2,VLOOKUP(B1302,'2023 Z Scores'!$A$1:$K$309,10,FALSE)/VLOOKUP(B1302,'2023 Z Scores'!$A$1:$K$309,11,FALSE),"Not Enough data"))</f>
        <v>-0.49440206706606649</v>
      </c>
      <c r="F1302">
        <f>IF(VLOOKUP(A1302,'Delta Z Scores'!$A$1:$N$1541,14,FALSE)&gt;2,VLOOKUP(A1302,'Delta Z Scores'!$A$1:$N$1541,13,FALSE)/VLOOKUP(A1302,'Delta Z Scores'!$A$1:$N$1541,14,FALSE),"Not Enough Data")</f>
        <v>0.15665630734020886</v>
      </c>
      <c r="G1302">
        <f>IF(VLOOKUP(A1302,'Forecast Z Scores'!$A$1:$N$1541,14,FALSE)&gt;2,VLOOKUP(A1302,'Forecast Z Scores'!$A$1:$N$1541,13,FALSE)/VLOOKUP(A1302,'Forecast Z Scores'!$A$1:$N$1541,14,FALSE),"Not Enough Data")</f>
        <v>0.58662693141502498</v>
      </c>
      <c r="H1302">
        <v>0.10138436975734405</v>
      </c>
    </row>
    <row r="1303" spans="1:8" x14ac:dyDescent="0.35">
      <c r="A1303" t="str">
        <f t="shared" si="20"/>
        <v>18097354200_2025</v>
      </c>
      <c r="B1303">
        <v>18097354200</v>
      </c>
      <c r="C1303">
        <v>2025</v>
      </c>
      <c r="E1303">
        <f>-(IF(VLOOKUP(B1303,'2023 Z Scores'!$A$1:$K$309,11,FALSE)&gt;2,VLOOKUP(B1303,'2023 Z Scores'!$A$1:$K$309,10,FALSE)/VLOOKUP(B1303,'2023 Z Scores'!$A$1:$K$309,11,FALSE),"Not Enough data"))</f>
        <v>-0.49440206706606649</v>
      </c>
      <c r="F1303">
        <f>IF(VLOOKUP(A1303,'Delta Z Scores'!$A$1:$N$1541,14,FALSE)&gt;2,VLOOKUP(A1303,'Delta Z Scores'!$A$1:$N$1541,13,FALSE)/VLOOKUP(A1303,'Delta Z Scores'!$A$1:$N$1541,14,FALSE),"Not Enough Data")</f>
        <v>-1.7124114237641274E-2</v>
      </c>
      <c r="G1303">
        <f>IF(VLOOKUP(A1303,'Forecast Z Scores'!$A$1:$N$1541,14,FALSE)&gt;2,VLOOKUP(A1303,'Forecast Z Scores'!$A$1:$N$1541,13,FALSE)/VLOOKUP(A1303,'Forecast Z Scores'!$A$1:$N$1541,14,FALSE),"Not Enough Data")</f>
        <v>0.57751148342540348</v>
      </c>
      <c r="H1303">
        <v>1.2215296971013617E-2</v>
      </c>
    </row>
    <row r="1304" spans="1:8" x14ac:dyDescent="0.35">
      <c r="A1304" t="str">
        <f t="shared" si="20"/>
        <v>18097354200_2026</v>
      </c>
      <c r="B1304">
        <v>18097354200</v>
      </c>
      <c r="C1304">
        <v>2026</v>
      </c>
      <c r="E1304">
        <f>-(IF(VLOOKUP(B1304,'2023 Z Scores'!$A$1:$K$309,11,FALSE)&gt;2,VLOOKUP(B1304,'2023 Z Scores'!$A$1:$K$309,10,FALSE)/VLOOKUP(B1304,'2023 Z Scores'!$A$1:$K$309,11,FALSE),"Not Enough data"))</f>
        <v>-0.49440206706606649</v>
      </c>
      <c r="F1304">
        <f>IF(VLOOKUP(A1304,'Delta Z Scores'!$A$1:$N$1541,14,FALSE)&gt;2,VLOOKUP(A1304,'Delta Z Scores'!$A$1:$N$1541,13,FALSE)/VLOOKUP(A1304,'Delta Z Scores'!$A$1:$N$1541,14,FALSE),"Not Enough Data")</f>
        <v>-1.9994930079000921E-2</v>
      </c>
      <c r="G1304">
        <f>IF(VLOOKUP(A1304,'Forecast Z Scores'!$A$1:$N$1541,14,FALSE)&gt;2,VLOOKUP(A1304,'Forecast Z Scores'!$A$1:$N$1541,13,FALSE)/VLOOKUP(A1304,'Forecast Z Scores'!$A$1:$N$1541,14,FALSE),"Not Enough Data")</f>
        <v>0.55829828369099499</v>
      </c>
      <c r="H1304">
        <v>5.9765891167316565E-3</v>
      </c>
    </row>
    <row r="1305" spans="1:8" x14ac:dyDescent="0.35">
      <c r="A1305" t="str">
        <f t="shared" si="20"/>
        <v>18097354200_2027</v>
      </c>
      <c r="B1305">
        <v>18097354200</v>
      </c>
      <c r="C1305">
        <v>2027</v>
      </c>
      <c r="E1305">
        <f>-(IF(VLOOKUP(B1305,'2023 Z Scores'!$A$1:$K$309,11,FALSE)&gt;2,VLOOKUP(B1305,'2023 Z Scores'!$A$1:$K$309,10,FALSE)/VLOOKUP(B1305,'2023 Z Scores'!$A$1:$K$309,11,FALSE),"Not Enough data"))</f>
        <v>-0.49440206706606649</v>
      </c>
      <c r="F1305">
        <f>IF(VLOOKUP(A1305,'Delta Z Scores'!$A$1:$N$1541,14,FALSE)&gt;2,VLOOKUP(A1305,'Delta Z Scores'!$A$1:$N$1541,13,FALSE)/VLOOKUP(A1305,'Delta Z Scores'!$A$1:$N$1541,14,FALSE),"Not Enough Data")</f>
        <v>2.544766149808373E-2</v>
      </c>
      <c r="G1305">
        <f>IF(VLOOKUP(A1305,'Forecast Z Scores'!$A$1:$N$1541,14,FALSE)&gt;2,VLOOKUP(A1305,'Forecast Z Scores'!$A$1:$N$1541,13,FALSE)/VLOOKUP(A1305,'Forecast Z Scores'!$A$1:$N$1541,14,FALSE),"Not Enough Data")</f>
        <v>0.54044957626476953</v>
      </c>
      <c r="H1305">
        <v>2.4235708048717636E-2</v>
      </c>
    </row>
    <row r="1306" spans="1:8" x14ac:dyDescent="0.35">
      <c r="A1306" t="str">
        <f t="shared" si="20"/>
        <v>18097357600_2028</v>
      </c>
      <c r="B1306">
        <v>18097357600</v>
      </c>
      <c r="C1306">
        <v>2028</v>
      </c>
      <c r="E1306">
        <f>-(IF(VLOOKUP(B1306,'2023 Z Scores'!$A$1:$K$309,11,FALSE)&gt;2,VLOOKUP(B1306,'2023 Z Scores'!$A$1:$K$309,10,FALSE)/VLOOKUP(B1306,'2023 Z Scores'!$A$1:$K$309,11,FALSE),"Not Enough data"))</f>
        <v>0.84371506250994555</v>
      </c>
      <c r="F1306">
        <f>IF(VLOOKUP(A1306,'Delta Z Scores'!$A$1:$N$1541,14,FALSE)&gt;2,VLOOKUP(A1306,'Delta Z Scores'!$A$1:$N$1541,13,FALSE)/VLOOKUP(A1306,'Delta Z Scores'!$A$1:$N$1541,14,FALSE),"Not Enough Data")</f>
        <v>-0.14016370473123074</v>
      </c>
      <c r="G1306">
        <f>IF(VLOOKUP(A1306,'Forecast Z Scores'!$A$1:$N$1541,14,FALSE)&gt;2,VLOOKUP(A1306,'Forecast Z Scores'!$A$1:$N$1541,13,FALSE)/VLOOKUP(A1306,'Forecast Z Scores'!$A$1:$N$1541,14,FALSE),"Not Enough Data")</f>
        <v>-0.41568391330337684</v>
      </c>
      <c r="H1306">
        <v>3.6925934936026805E-2</v>
      </c>
    </row>
    <row r="1307" spans="1:8" x14ac:dyDescent="0.35">
      <c r="A1307" t="str">
        <f t="shared" si="20"/>
        <v>18097357600_2024</v>
      </c>
      <c r="B1307">
        <v>18097357600</v>
      </c>
      <c r="C1307">
        <v>2024</v>
      </c>
      <c r="E1307">
        <f>-(IF(VLOOKUP(B1307,'2023 Z Scores'!$A$1:$K$309,11,FALSE)&gt;2,VLOOKUP(B1307,'2023 Z Scores'!$A$1:$K$309,10,FALSE)/VLOOKUP(B1307,'2023 Z Scores'!$A$1:$K$309,11,FALSE),"Not Enough data"))</f>
        <v>0.84371506250994555</v>
      </c>
      <c r="F1307">
        <f>IF(VLOOKUP(A1307,'Delta Z Scores'!$A$1:$N$1541,14,FALSE)&gt;2,VLOOKUP(A1307,'Delta Z Scores'!$A$1:$N$1541,13,FALSE)/VLOOKUP(A1307,'Delta Z Scores'!$A$1:$N$1541,14,FALSE),"Not Enough Data")</f>
        <v>0.24451584263489368</v>
      </c>
      <c r="G1307">
        <f>IF(VLOOKUP(A1307,'Forecast Z Scores'!$A$1:$N$1541,14,FALSE)&gt;2,VLOOKUP(A1307,'Forecast Z Scores'!$A$1:$N$1541,13,FALSE)/VLOOKUP(A1307,'Forecast Z Scores'!$A$1:$N$1541,14,FALSE),"Not Enough Data")</f>
        <v>-0.36121028815988587</v>
      </c>
      <c r="H1307">
        <v>0.24288411490496176</v>
      </c>
    </row>
    <row r="1308" spans="1:8" x14ac:dyDescent="0.35">
      <c r="A1308" t="str">
        <f t="shared" si="20"/>
        <v>18097357600_2025</v>
      </c>
      <c r="B1308">
        <v>18097357600</v>
      </c>
      <c r="C1308">
        <v>2025</v>
      </c>
      <c r="E1308">
        <f>-(IF(VLOOKUP(B1308,'2023 Z Scores'!$A$1:$K$309,11,FALSE)&gt;2,VLOOKUP(B1308,'2023 Z Scores'!$A$1:$K$309,10,FALSE)/VLOOKUP(B1308,'2023 Z Scores'!$A$1:$K$309,11,FALSE),"Not Enough data"))</f>
        <v>0.84371506250994555</v>
      </c>
      <c r="F1308">
        <f>IF(VLOOKUP(A1308,'Delta Z Scores'!$A$1:$N$1541,14,FALSE)&gt;2,VLOOKUP(A1308,'Delta Z Scores'!$A$1:$N$1541,13,FALSE)/VLOOKUP(A1308,'Delta Z Scores'!$A$1:$N$1541,14,FALSE),"Not Enough Data")</f>
        <v>-0.17806718478938416</v>
      </c>
      <c r="G1308">
        <f>IF(VLOOKUP(A1308,'Forecast Z Scores'!$A$1:$N$1541,14,FALSE)&gt;2,VLOOKUP(A1308,'Forecast Z Scores'!$A$1:$N$1541,13,FALSE)/VLOOKUP(A1308,'Forecast Z Scores'!$A$1:$N$1541,14,FALSE),"Not Enough Data")</f>
        <v>-0.3787656736580492</v>
      </c>
      <c r="H1308">
        <v>2.7203754818281994E-2</v>
      </c>
    </row>
    <row r="1309" spans="1:8" x14ac:dyDescent="0.35">
      <c r="A1309" t="str">
        <f t="shared" si="20"/>
        <v>18097357600_2026</v>
      </c>
      <c r="B1309">
        <v>18097357600</v>
      </c>
      <c r="C1309">
        <v>2026</v>
      </c>
      <c r="E1309">
        <f>-(IF(VLOOKUP(B1309,'2023 Z Scores'!$A$1:$K$309,11,FALSE)&gt;2,VLOOKUP(B1309,'2023 Z Scores'!$A$1:$K$309,10,FALSE)/VLOOKUP(B1309,'2023 Z Scores'!$A$1:$K$309,11,FALSE),"Not Enough data"))</f>
        <v>0.84371506250994555</v>
      </c>
      <c r="F1309">
        <f>IF(VLOOKUP(A1309,'Delta Z Scores'!$A$1:$N$1541,14,FALSE)&gt;2,VLOOKUP(A1309,'Delta Z Scores'!$A$1:$N$1541,13,FALSE)/VLOOKUP(A1309,'Delta Z Scores'!$A$1:$N$1541,14,FALSE),"Not Enough Data")</f>
        <v>-0.16101969750906875</v>
      </c>
      <c r="G1309">
        <f>IF(VLOOKUP(A1309,'Forecast Z Scores'!$A$1:$N$1541,14,FALSE)&gt;2,VLOOKUP(A1309,'Forecast Z Scores'!$A$1:$N$1541,13,FALSE)/VLOOKUP(A1309,'Forecast Z Scores'!$A$1:$N$1541,14,FALSE),"Not Enough Data")</f>
        <v>-0.39577157377080202</v>
      </c>
      <c r="H1309">
        <v>3.1476023430251493E-2</v>
      </c>
    </row>
    <row r="1310" spans="1:8" x14ac:dyDescent="0.35">
      <c r="A1310" t="str">
        <f t="shared" si="20"/>
        <v>18097361400_2027</v>
      </c>
      <c r="B1310">
        <v>18097361400</v>
      </c>
      <c r="C1310">
        <v>2027</v>
      </c>
      <c r="E1310">
        <f>-(IF(VLOOKUP(B1310,'2023 Z Scores'!$A$1:$K$309,11,FALSE)&gt;2,VLOOKUP(B1310,'2023 Z Scores'!$A$1:$K$309,10,FALSE)/VLOOKUP(B1310,'2023 Z Scores'!$A$1:$K$309,11,FALSE),"Not Enough data"))</f>
        <v>0.14138565011579049</v>
      </c>
      <c r="F1310">
        <f>IF(VLOOKUP(A1310,'Delta Z Scores'!$A$1:$N$1541,14,FALSE)&gt;2,VLOOKUP(A1310,'Delta Z Scores'!$A$1:$N$1541,13,FALSE)/VLOOKUP(A1310,'Delta Z Scores'!$A$1:$N$1541,14,FALSE),"Not Enough Data")</f>
        <v>-3.6903504830019619E-2</v>
      </c>
      <c r="G1310">
        <f>IF(VLOOKUP(A1310,'Forecast Z Scores'!$A$1:$N$1541,14,FALSE)&gt;2,VLOOKUP(A1310,'Forecast Z Scores'!$A$1:$N$1541,13,FALSE)/VLOOKUP(A1310,'Forecast Z Scores'!$A$1:$N$1541,14,FALSE),"Not Enough Data")</f>
        <v>5.223425029394946E-3</v>
      </c>
      <c r="H1310">
        <v>1.820051637128655E-2</v>
      </c>
    </row>
    <row r="1311" spans="1:8" x14ac:dyDescent="0.35">
      <c r="A1311" t="str">
        <f t="shared" si="20"/>
        <v>18097361400_2028</v>
      </c>
      <c r="B1311">
        <v>18097361400</v>
      </c>
      <c r="C1311">
        <v>2028</v>
      </c>
      <c r="E1311">
        <f>-(IF(VLOOKUP(B1311,'2023 Z Scores'!$A$1:$K$309,11,FALSE)&gt;2,VLOOKUP(B1311,'2023 Z Scores'!$A$1:$K$309,10,FALSE)/VLOOKUP(B1311,'2023 Z Scores'!$A$1:$K$309,11,FALSE),"Not Enough data"))</f>
        <v>0.14138565011579049</v>
      </c>
      <c r="F1311">
        <f>IF(VLOOKUP(A1311,'Delta Z Scores'!$A$1:$N$1541,14,FALSE)&gt;2,VLOOKUP(A1311,'Delta Z Scores'!$A$1:$N$1541,13,FALSE)/VLOOKUP(A1311,'Delta Z Scores'!$A$1:$N$1541,14,FALSE),"Not Enough Data")</f>
        <v>-0.11278653942985253</v>
      </c>
      <c r="G1311">
        <f>IF(VLOOKUP(A1311,'Forecast Z Scores'!$A$1:$N$1541,14,FALSE)&gt;2,VLOOKUP(A1311,'Forecast Z Scores'!$A$1:$N$1541,13,FALSE)/VLOOKUP(A1311,'Forecast Z Scores'!$A$1:$N$1541,14,FALSE),"Not Enough Data")</f>
        <v>-8.7046608824050689E-4</v>
      </c>
      <c r="H1311">
        <v>-2.1264473708038772E-2</v>
      </c>
    </row>
    <row r="1312" spans="1:8" x14ac:dyDescent="0.35">
      <c r="A1312" t="str">
        <f t="shared" si="20"/>
        <v>18097361400_2024</v>
      </c>
      <c r="B1312">
        <v>18097361400</v>
      </c>
      <c r="C1312">
        <v>2024</v>
      </c>
      <c r="E1312">
        <f>-(IF(VLOOKUP(B1312,'2023 Z Scores'!$A$1:$K$309,11,FALSE)&gt;2,VLOOKUP(B1312,'2023 Z Scores'!$A$1:$K$309,10,FALSE)/VLOOKUP(B1312,'2023 Z Scores'!$A$1:$K$309,11,FALSE),"Not Enough data"))</f>
        <v>0.14138565011579049</v>
      </c>
      <c r="F1312">
        <f>IF(VLOOKUP(A1312,'Delta Z Scores'!$A$1:$N$1541,14,FALSE)&gt;2,VLOOKUP(A1312,'Delta Z Scores'!$A$1:$N$1541,13,FALSE)/VLOOKUP(A1312,'Delta Z Scores'!$A$1:$N$1541,14,FALSE),"Not Enough Data")</f>
        <v>0.10777881535322811</v>
      </c>
      <c r="G1312">
        <f>IF(VLOOKUP(A1312,'Forecast Z Scores'!$A$1:$N$1541,14,FALSE)&gt;2,VLOOKUP(A1312,'Forecast Z Scores'!$A$1:$N$1541,13,FALSE)/VLOOKUP(A1312,'Forecast Z Scores'!$A$1:$N$1541,14,FALSE),"Not Enough Data")</f>
        <v>2.4226624041368928E-2</v>
      </c>
      <c r="H1312">
        <v>9.5292476215903921E-2</v>
      </c>
    </row>
    <row r="1313" spans="1:8" x14ac:dyDescent="0.35">
      <c r="A1313" t="str">
        <f t="shared" si="20"/>
        <v>18097361400_2025</v>
      </c>
      <c r="B1313">
        <v>18097361400</v>
      </c>
      <c r="C1313">
        <v>2025</v>
      </c>
      <c r="E1313">
        <f>-(IF(VLOOKUP(B1313,'2023 Z Scores'!$A$1:$K$309,11,FALSE)&gt;2,VLOOKUP(B1313,'2023 Z Scores'!$A$1:$K$309,10,FALSE)/VLOOKUP(B1313,'2023 Z Scores'!$A$1:$K$309,11,FALSE),"Not Enough data"))</f>
        <v>0.14138565011579049</v>
      </c>
      <c r="F1313">
        <f>IF(VLOOKUP(A1313,'Delta Z Scores'!$A$1:$N$1541,14,FALSE)&gt;2,VLOOKUP(A1313,'Delta Z Scores'!$A$1:$N$1541,13,FALSE)/VLOOKUP(A1313,'Delta Z Scores'!$A$1:$N$1541,14,FALSE),"Not Enough Data")</f>
        <v>3.4562511521504954E-2</v>
      </c>
      <c r="G1313">
        <f>IF(VLOOKUP(A1313,'Forecast Z Scores'!$A$1:$N$1541,14,FALSE)&gt;2,VLOOKUP(A1313,'Forecast Z Scores'!$A$1:$N$1541,13,FALSE)/VLOOKUP(A1313,'Forecast Z Scores'!$A$1:$N$1541,14,FALSE),"Not Enough Data")</f>
        <v>1.9749227035794892E-2</v>
      </c>
      <c r="H1313">
        <v>5.7564975048648825E-2</v>
      </c>
    </row>
    <row r="1314" spans="1:8" x14ac:dyDescent="0.35">
      <c r="A1314" t="str">
        <f t="shared" si="20"/>
        <v>18097361600_2026</v>
      </c>
      <c r="B1314">
        <v>18097361600</v>
      </c>
      <c r="C1314">
        <v>2026</v>
      </c>
      <c r="E1314">
        <f>-(IF(VLOOKUP(B1314,'2023 Z Scores'!$A$1:$K$309,11,FALSE)&gt;2,VLOOKUP(B1314,'2023 Z Scores'!$A$1:$K$309,10,FALSE)/VLOOKUP(B1314,'2023 Z Scores'!$A$1:$K$309,11,FALSE),"Not Enough data"))</f>
        <v>-0.42257776071354691</v>
      </c>
      <c r="F1314">
        <f>IF(VLOOKUP(A1314,'Delta Z Scores'!$A$1:$N$1541,14,FALSE)&gt;2,VLOOKUP(A1314,'Delta Z Scores'!$A$1:$N$1541,13,FALSE)/VLOOKUP(A1314,'Delta Z Scores'!$A$1:$N$1541,14,FALSE),"Not Enough Data")</f>
        <v>0.25386520449252653</v>
      </c>
      <c r="G1314">
        <f>IF(VLOOKUP(A1314,'Forecast Z Scores'!$A$1:$N$1541,14,FALSE)&gt;2,VLOOKUP(A1314,'Forecast Z Scores'!$A$1:$N$1541,13,FALSE)/VLOOKUP(A1314,'Forecast Z Scores'!$A$1:$N$1541,14,FALSE),"Not Enough Data")</f>
        <v>-4.751263716552049E-2</v>
      </c>
      <c r="H1314">
        <v>9.4100027764964095E-3</v>
      </c>
    </row>
    <row r="1315" spans="1:8" x14ac:dyDescent="0.35">
      <c r="A1315" t="str">
        <f t="shared" si="20"/>
        <v>18097361600_2027</v>
      </c>
      <c r="B1315">
        <v>18097361600</v>
      </c>
      <c r="C1315">
        <v>2027</v>
      </c>
      <c r="E1315">
        <f>-(IF(VLOOKUP(B1315,'2023 Z Scores'!$A$1:$K$309,11,FALSE)&gt;2,VLOOKUP(B1315,'2023 Z Scores'!$A$1:$K$309,10,FALSE)/VLOOKUP(B1315,'2023 Z Scores'!$A$1:$K$309,11,FALSE),"Not Enough data"))</f>
        <v>-0.42257776071354691</v>
      </c>
      <c r="F1315">
        <f>IF(VLOOKUP(A1315,'Delta Z Scores'!$A$1:$N$1541,14,FALSE)&gt;2,VLOOKUP(A1315,'Delta Z Scores'!$A$1:$N$1541,13,FALSE)/VLOOKUP(A1315,'Delta Z Scores'!$A$1:$N$1541,14,FALSE),"Not Enough Data")</f>
        <v>-0.1075633918079431</v>
      </c>
      <c r="G1315">
        <f>IF(VLOOKUP(A1315,'Forecast Z Scores'!$A$1:$N$1541,14,FALSE)&gt;2,VLOOKUP(A1315,'Forecast Z Scores'!$A$1:$N$1541,13,FALSE)/VLOOKUP(A1315,'Forecast Z Scores'!$A$1:$N$1541,14,FALSE),"Not Enough Data")</f>
        <v>-7.5885020489373359E-2</v>
      </c>
      <c r="H1315">
        <v>-0.17839739120470161</v>
      </c>
    </row>
    <row r="1316" spans="1:8" x14ac:dyDescent="0.35">
      <c r="A1316" t="str">
        <f t="shared" si="20"/>
        <v>18097361600_2028</v>
      </c>
      <c r="B1316">
        <v>18097361600</v>
      </c>
      <c r="C1316">
        <v>2028</v>
      </c>
      <c r="E1316">
        <f>-(IF(VLOOKUP(B1316,'2023 Z Scores'!$A$1:$K$309,11,FALSE)&gt;2,VLOOKUP(B1316,'2023 Z Scores'!$A$1:$K$309,10,FALSE)/VLOOKUP(B1316,'2023 Z Scores'!$A$1:$K$309,11,FALSE),"Not Enough data"))</f>
        <v>-0.42257776071354691</v>
      </c>
      <c r="F1316">
        <f>IF(VLOOKUP(A1316,'Delta Z Scores'!$A$1:$N$1541,14,FALSE)&gt;2,VLOOKUP(A1316,'Delta Z Scores'!$A$1:$N$1541,13,FALSE)/VLOOKUP(A1316,'Delta Z Scores'!$A$1:$N$1541,14,FALSE),"Not Enough Data")</f>
        <v>0.2760038210718439</v>
      </c>
      <c r="G1316">
        <f>IF(VLOOKUP(A1316,'Forecast Z Scores'!$A$1:$N$1541,14,FALSE)&gt;2,VLOOKUP(A1316,'Forecast Z Scores'!$A$1:$N$1541,13,FALSE)/VLOOKUP(A1316,'Forecast Z Scores'!$A$1:$N$1541,14,FALSE),"Not Enough Data")</f>
        <v>-0.10983387585150858</v>
      </c>
      <c r="H1316">
        <v>4.8990013946580702E-3</v>
      </c>
    </row>
    <row r="1317" spans="1:8" x14ac:dyDescent="0.35">
      <c r="A1317" t="str">
        <f t="shared" si="20"/>
        <v>18097361600_2024</v>
      </c>
      <c r="B1317">
        <v>18097361600</v>
      </c>
      <c r="C1317">
        <v>2024</v>
      </c>
      <c r="E1317">
        <f>-(IF(VLOOKUP(B1317,'2023 Z Scores'!$A$1:$K$309,11,FALSE)&gt;2,VLOOKUP(B1317,'2023 Z Scores'!$A$1:$K$309,10,FALSE)/VLOOKUP(B1317,'2023 Z Scores'!$A$1:$K$309,11,FALSE),"Not Enough data"))</f>
        <v>-0.42257776071354691</v>
      </c>
      <c r="F1317">
        <f>IF(VLOOKUP(A1317,'Delta Z Scores'!$A$1:$N$1541,14,FALSE)&gt;2,VLOOKUP(A1317,'Delta Z Scores'!$A$1:$N$1541,13,FALSE)/VLOOKUP(A1317,'Delta Z Scores'!$A$1:$N$1541,14,FALSE),"Not Enough Data")</f>
        <v>-0.61354178639075729</v>
      </c>
      <c r="G1317">
        <f>IF(VLOOKUP(A1317,'Forecast Z Scores'!$A$1:$N$1541,14,FALSE)&gt;2,VLOOKUP(A1317,'Forecast Z Scores'!$A$1:$N$1541,13,FALSE)/VLOOKUP(A1317,'Forecast Z Scores'!$A$1:$N$1541,14,FALSE),"Not Enough Data")</f>
        <v>2.1286608365111117E-2</v>
      </c>
      <c r="H1317">
        <v>-0.40709368128248757</v>
      </c>
    </row>
    <row r="1318" spans="1:8" x14ac:dyDescent="0.35">
      <c r="A1318" t="str">
        <f t="shared" si="20"/>
        <v>18097370202_2025</v>
      </c>
      <c r="B1318">
        <v>18097370202</v>
      </c>
      <c r="C1318">
        <v>2025</v>
      </c>
      <c r="E1318">
        <f>-(IF(VLOOKUP(B1318,'2023 Z Scores'!$A$1:$K$309,11,FALSE)&gt;2,VLOOKUP(B1318,'2023 Z Scores'!$A$1:$K$309,10,FALSE)/VLOOKUP(B1318,'2023 Z Scores'!$A$1:$K$309,11,FALSE),"Not Enough data"))</f>
        <v>0.19609981847695854</v>
      </c>
      <c r="F1318">
        <f>IF(VLOOKUP(A1318,'Delta Z Scores'!$A$1:$N$1541,14,FALSE)&gt;2,VLOOKUP(A1318,'Delta Z Scores'!$A$1:$N$1541,13,FALSE)/VLOOKUP(A1318,'Delta Z Scores'!$A$1:$N$1541,14,FALSE),"Not Enough Data")</f>
        <v>-0.1942807041724732</v>
      </c>
      <c r="G1318">
        <f>IF(VLOOKUP(A1318,'Forecast Z Scores'!$A$1:$N$1541,14,FALSE)&gt;2,VLOOKUP(A1318,'Forecast Z Scores'!$A$1:$N$1541,13,FALSE)/VLOOKUP(A1318,'Forecast Z Scores'!$A$1:$N$1541,14,FALSE),"Not Enough Data")</f>
        <v>-0.1683531303781487</v>
      </c>
      <c r="H1318">
        <v>-9.0203680061534147E-2</v>
      </c>
    </row>
    <row r="1319" spans="1:8" x14ac:dyDescent="0.35">
      <c r="A1319" t="str">
        <f t="shared" si="20"/>
        <v>18097370202_2026</v>
      </c>
      <c r="B1319">
        <v>18097370202</v>
      </c>
      <c r="C1319">
        <v>2026</v>
      </c>
      <c r="E1319">
        <f>-(IF(VLOOKUP(B1319,'2023 Z Scores'!$A$1:$K$309,11,FALSE)&gt;2,VLOOKUP(B1319,'2023 Z Scores'!$A$1:$K$309,10,FALSE)/VLOOKUP(B1319,'2023 Z Scores'!$A$1:$K$309,11,FALSE),"Not Enough data"))</f>
        <v>0.19609981847695854</v>
      </c>
      <c r="F1319">
        <f>IF(VLOOKUP(A1319,'Delta Z Scores'!$A$1:$N$1541,14,FALSE)&gt;2,VLOOKUP(A1319,'Delta Z Scores'!$A$1:$N$1541,13,FALSE)/VLOOKUP(A1319,'Delta Z Scores'!$A$1:$N$1541,14,FALSE),"Not Enough Data")</f>
        <v>-0.13986005531889384</v>
      </c>
      <c r="G1319">
        <f>IF(VLOOKUP(A1319,'Forecast Z Scores'!$A$1:$N$1541,14,FALSE)&gt;2,VLOOKUP(A1319,'Forecast Z Scores'!$A$1:$N$1541,13,FALSE)/VLOOKUP(A1319,'Forecast Z Scores'!$A$1:$N$1541,14,FALSE),"Not Enough Data")</f>
        <v>-0.17967395240421732</v>
      </c>
      <c r="H1319">
        <v>-6.5823561141261616E-2</v>
      </c>
    </row>
    <row r="1320" spans="1:8" x14ac:dyDescent="0.35">
      <c r="A1320" t="str">
        <f t="shared" si="20"/>
        <v>18097370202_2027</v>
      </c>
      <c r="B1320">
        <v>18097370202</v>
      </c>
      <c r="C1320">
        <v>2027</v>
      </c>
      <c r="E1320">
        <f>-(IF(VLOOKUP(B1320,'2023 Z Scores'!$A$1:$K$309,11,FALSE)&gt;2,VLOOKUP(B1320,'2023 Z Scores'!$A$1:$K$309,10,FALSE)/VLOOKUP(B1320,'2023 Z Scores'!$A$1:$K$309,11,FALSE),"Not Enough data"))</f>
        <v>0.19609981847695854</v>
      </c>
      <c r="F1320">
        <f>IF(VLOOKUP(A1320,'Delta Z Scores'!$A$1:$N$1541,14,FALSE)&gt;2,VLOOKUP(A1320,'Delta Z Scores'!$A$1:$N$1541,13,FALSE)/VLOOKUP(A1320,'Delta Z Scores'!$A$1:$N$1541,14,FALSE),"Not Enough Data")</f>
        <v>-0.20976936155542289</v>
      </c>
      <c r="G1320">
        <f>IF(VLOOKUP(A1320,'Forecast Z Scores'!$A$1:$N$1541,14,FALSE)&gt;2,VLOOKUP(A1320,'Forecast Z Scores'!$A$1:$N$1541,13,FALSE)/VLOOKUP(A1320,'Forecast Z Scores'!$A$1:$N$1541,14,FALSE),"Not Enough Data")</f>
        <v>-0.19371727682296358</v>
      </c>
      <c r="H1320">
        <v>-0.10428904536421271</v>
      </c>
    </row>
    <row r="1321" spans="1:8" x14ac:dyDescent="0.35">
      <c r="A1321" t="str">
        <f t="shared" si="20"/>
        <v>18097370202_2028</v>
      </c>
      <c r="B1321">
        <v>18097370202</v>
      </c>
      <c r="C1321">
        <v>2028</v>
      </c>
      <c r="E1321">
        <f>-(IF(VLOOKUP(B1321,'2023 Z Scores'!$A$1:$K$309,11,FALSE)&gt;2,VLOOKUP(B1321,'2023 Z Scores'!$A$1:$K$309,10,FALSE)/VLOOKUP(B1321,'2023 Z Scores'!$A$1:$K$309,11,FALSE),"Not Enough data"))</f>
        <v>0.19609981847695854</v>
      </c>
      <c r="F1321">
        <f>IF(VLOOKUP(A1321,'Delta Z Scores'!$A$1:$N$1541,14,FALSE)&gt;2,VLOOKUP(A1321,'Delta Z Scores'!$A$1:$N$1541,13,FALSE)/VLOOKUP(A1321,'Delta Z Scores'!$A$1:$N$1541,14,FALSE),"Not Enough Data")</f>
        <v>-0.17854504229143417</v>
      </c>
      <c r="G1321">
        <f>IF(VLOOKUP(A1321,'Forecast Z Scores'!$A$1:$N$1541,14,FALSE)&gt;2,VLOOKUP(A1321,'Forecast Z Scores'!$A$1:$N$1541,13,FALSE)/VLOOKUP(A1321,'Forecast Z Scores'!$A$1:$N$1541,14,FALSE),"Not Enough Data")</f>
        <v>-0.19830376437977856</v>
      </c>
      <c r="H1321">
        <v>-8.9823507621422077E-2</v>
      </c>
    </row>
    <row r="1322" spans="1:8" x14ac:dyDescent="0.35">
      <c r="A1322" t="str">
        <f t="shared" si="20"/>
        <v>18097370301_2024</v>
      </c>
      <c r="B1322">
        <v>18097370301</v>
      </c>
      <c r="C1322">
        <v>2024</v>
      </c>
      <c r="E1322">
        <f>-(IF(VLOOKUP(B1322,'2023 Z Scores'!$A$1:$K$309,11,FALSE)&gt;2,VLOOKUP(B1322,'2023 Z Scores'!$A$1:$K$309,10,FALSE)/VLOOKUP(B1322,'2023 Z Scores'!$A$1:$K$309,11,FALSE),"Not Enough data"))</f>
        <v>-0.53967970736658677</v>
      </c>
      <c r="F1322">
        <f>IF(VLOOKUP(A1322,'Delta Z Scores'!$A$1:$N$1541,14,FALSE)&gt;2,VLOOKUP(A1322,'Delta Z Scores'!$A$1:$N$1541,13,FALSE)/VLOOKUP(A1322,'Delta Z Scores'!$A$1:$N$1541,14,FALSE),"Not Enough Data")</f>
        <v>0.21426825780465211</v>
      </c>
      <c r="G1322">
        <f>IF(VLOOKUP(A1322,'Forecast Z Scores'!$A$1:$N$1541,14,FALSE)&gt;2,VLOOKUP(A1322,'Forecast Z Scores'!$A$1:$N$1541,13,FALSE)/VLOOKUP(A1322,'Forecast Z Scores'!$A$1:$N$1541,14,FALSE),"Not Enough Data")</f>
        <v>0.41827347212222343</v>
      </c>
      <c r="H1322">
        <v>7.6782570091235208E-2</v>
      </c>
    </row>
    <row r="1323" spans="1:8" x14ac:dyDescent="0.35">
      <c r="A1323" t="str">
        <f t="shared" si="20"/>
        <v>18097370301_2025</v>
      </c>
      <c r="B1323">
        <v>18097370301</v>
      </c>
      <c r="C1323">
        <v>2025</v>
      </c>
      <c r="E1323">
        <f>-(IF(VLOOKUP(B1323,'2023 Z Scores'!$A$1:$K$309,11,FALSE)&gt;2,VLOOKUP(B1323,'2023 Z Scores'!$A$1:$K$309,10,FALSE)/VLOOKUP(B1323,'2023 Z Scores'!$A$1:$K$309,11,FALSE),"Not Enough data"))</f>
        <v>-0.53967970736658677</v>
      </c>
      <c r="F1323">
        <f>IF(VLOOKUP(A1323,'Delta Z Scores'!$A$1:$N$1541,14,FALSE)&gt;2,VLOOKUP(A1323,'Delta Z Scores'!$A$1:$N$1541,13,FALSE)/VLOOKUP(A1323,'Delta Z Scores'!$A$1:$N$1541,14,FALSE),"Not Enough Data")</f>
        <v>0.36031971997795953</v>
      </c>
      <c r="G1323">
        <f>IF(VLOOKUP(A1323,'Forecast Z Scores'!$A$1:$N$1541,14,FALSE)&gt;2,VLOOKUP(A1323,'Forecast Z Scores'!$A$1:$N$1541,13,FALSE)/VLOOKUP(A1323,'Forecast Z Scores'!$A$1:$N$1541,14,FALSE),"Not Enough Data")</f>
        <v>0.50334758751665742</v>
      </c>
      <c r="H1323">
        <v>0.1710768300264974</v>
      </c>
    </row>
    <row r="1324" spans="1:8" x14ac:dyDescent="0.35">
      <c r="A1324" t="str">
        <f t="shared" si="20"/>
        <v>18097370301_2026</v>
      </c>
      <c r="B1324">
        <v>18097370301</v>
      </c>
      <c r="C1324">
        <v>2026</v>
      </c>
      <c r="E1324">
        <f>-(IF(VLOOKUP(B1324,'2023 Z Scores'!$A$1:$K$309,11,FALSE)&gt;2,VLOOKUP(B1324,'2023 Z Scores'!$A$1:$K$309,10,FALSE)/VLOOKUP(B1324,'2023 Z Scores'!$A$1:$K$309,11,FALSE),"Not Enough data"))</f>
        <v>-0.53967970736658677</v>
      </c>
      <c r="F1324">
        <f>IF(VLOOKUP(A1324,'Delta Z Scores'!$A$1:$N$1541,14,FALSE)&gt;2,VLOOKUP(A1324,'Delta Z Scores'!$A$1:$N$1541,13,FALSE)/VLOOKUP(A1324,'Delta Z Scores'!$A$1:$N$1541,14,FALSE),"Not Enough Data")</f>
        <v>0.55123190344502615</v>
      </c>
      <c r="G1324">
        <f>IF(VLOOKUP(A1324,'Forecast Z Scores'!$A$1:$N$1541,14,FALSE)&gt;2,VLOOKUP(A1324,'Forecast Z Scores'!$A$1:$N$1541,13,FALSE)/VLOOKUP(A1324,'Forecast Z Scores'!$A$1:$N$1541,14,FALSE),"Not Enough Data")</f>
        <v>0.58891266731772685</v>
      </c>
      <c r="H1324">
        <v>0.28792419171029815</v>
      </c>
    </row>
    <row r="1325" spans="1:8" x14ac:dyDescent="0.35">
      <c r="A1325" t="str">
        <f t="shared" si="20"/>
        <v>18097370301_2027</v>
      </c>
      <c r="B1325">
        <v>18097370301</v>
      </c>
      <c r="C1325">
        <v>2027</v>
      </c>
      <c r="E1325">
        <f>-(IF(VLOOKUP(B1325,'2023 Z Scores'!$A$1:$K$309,11,FALSE)&gt;2,VLOOKUP(B1325,'2023 Z Scores'!$A$1:$K$309,10,FALSE)/VLOOKUP(B1325,'2023 Z Scores'!$A$1:$K$309,11,FALSE),"Not Enough data"))</f>
        <v>-0.53967970736658677</v>
      </c>
      <c r="F1325">
        <f>IF(VLOOKUP(A1325,'Delta Z Scores'!$A$1:$N$1541,14,FALSE)&gt;2,VLOOKUP(A1325,'Delta Z Scores'!$A$1:$N$1541,13,FALSE)/VLOOKUP(A1325,'Delta Z Scores'!$A$1:$N$1541,14,FALSE),"Not Enough Data")</f>
        <v>0.48146872847089295</v>
      </c>
      <c r="G1325">
        <f>IF(VLOOKUP(A1325,'Forecast Z Scores'!$A$1:$N$1541,14,FALSE)&gt;2,VLOOKUP(A1325,'Forecast Z Scores'!$A$1:$N$1541,13,FALSE)/VLOOKUP(A1325,'Forecast Z Scores'!$A$1:$N$1541,14,FALSE),"Not Enough Data")</f>
        <v>0.6700865257918831</v>
      </c>
      <c r="H1325">
        <v>0.27333606884177053</v>
      </c>
    </row>
    <row r="1326" spans="1:8" x14ac:dyDescent="0.35">
      <c r="A1326" t="str">
        <f t="shared" si="20"/>
        <v>18097370302_2028</v>
      </c>
      <c r="B1326">
        <v>18097370302</v>
      </c>
      <c r="C1326">
        <v>2028</v>
      </c>
      <c r="E1326">
        <f>-(IF(VLOOKUP(B1326,'2023 Z Scores'!$A$1:$K$309,11,FALSE)&gt;2,VLOOKUP(B1326,'2023 Z Scores'!$A$1:$K$309,10,FALSE)/VLOOKUP(B1326,'2023 Z Scores'!$A$1:$K$309,11,FALSE),"Not Enough data"))</f>
        <v>-2.5147860652673049E-2</v>
      </c>
      <c r="F1326">
        <f>IF(VLOOKUP(A1326,'Delta Z Scores'!$A$1:$N$1541,14,FALSE)&gt;2,VLOOKUP(A1326,'Delta Z Scores'!$A$1:$N$1541,13,FALSE)/VLOOKUP(A1326,'Delta Z Scores'!$A$1:$N$1541,14,FALSE),"Not Enough Data")</f>
        <v>0.75522705596393702</v>
      </c>
      <c r="G1326">
        <f>IF(VLOOKUP(A1326,'Forecast Z Scores'!$A$1:$N$1541,14,FALSE)&gt;2,VLOOKUP(A1326,'Forecast Z Scores'!$A$1:$N$1541,13,FALSE)/VLOOKUP(A1326,'Forecast Z Scores'!$A$1:$N$1541,14,FALSE),"Not Enough Data")</f>
        <v>-2.784170859561691E-2</v>
      </c>
      <c r="H1326">
        <v>0.36436613566989606</v>
      </c>
    </row>
    <row r="1327" spans="1:8" x14ac:dyDescent="0.35">
      <c r="A1327" t="str">
        <f t="shared" si="20"/>
        <v>18097370302_2024</v>
      </c>
      <c r="B1327">
        <v>18097370302</v>
      </c>
      <c r="C1327">
        <v>2024</v>
      </c>
      <c r="E1327">
        <f>-(IF(VLOOKUP(B1327,'2023 Z Scores'!$A$1:$K$309,11,FALSE)&gt;2,VLOOKUP(B1327,'2023 Z Scores'!$A$1:$K$309,10,FALSE)/VLOOKUP(B1327,'2023 Z Scores'!$A$1:$K$309,11,FALSE),"Not Enough data"))</f>
        <v>-2.5147860652673049E-2</v>
      </c>
      <c r="F1327">
        <f>IF(VLOOKUP(A1327,'Delta Z Scores'!$A$1:$N$1541,14,FALSE)&gt;2,VLOOKUP(A1327,'Delta Z Scores'!$A$1:$N$1541,13,FALSE)/VLOOKUP(A1327,'Delta Z Scores'!$A$1:$N$1541,14,FALSE),"Not Enough Data")</f>
        <v>-0.20231502606672305</v>
      </c>
      <c r="G1327">
        <f>IF(VLOOKUP(A1327,'Forecast Z Scores'!$A$1:$N$1541,14,FALSE)&gt;2,VLOOKUP(A1327,'Forecast Z Scores'!$A$1:$N$1541,13,FALSE)/VLOOKUP(A1327,'Forecast Z Scores'!$A$1:$N$1541,14,FALSE),"Not Enough Data")</f>
        <v>1.6493361304571935E-2</v>
      </c>
      <c r="H1327">
        <v>-0.1033211378703868</v>
      </c>
    </row>
    <row r="1328" spans="1:8" x14ac:dyDescent="0.35">
      <c r="A1328" t="str">
        <f t="shared" si="20"/>
        <v>18097370302_2025</v>
      </c>
      <c r="B1328">
        <v>18097370302</v>
      </c>
      <c r="C1328">
        <v>2025</v>
      </c>
      <c r="E1328">
        <f>-(IF(VLOOKUP(B1328,'2023 Z Scores'!$A$1:$K$309,11,FALSE)&gt;2,VLOOKUP(B1328,'2023 Z Scores'!$A$1:$K$309,10,FALSE)/VLOOKUP(B1328,'2023 Z Scores'!$A$1:$K$309,11,FALSE),"Not Enough data"))</f>
        <v>-2.5147860652673049E-2</v>
      </c>
      <c r="F1328">
        <f>IF(VLOOKUP(A1328,'Delta Z Scores'!$A$1:$N$1541,14,FALSE)&gt;2,VLOOKUP(A1328,'Delta Z Scores'!$A$1:$N$1541,13,FALSE)/VLOOKUP(A1328,'Delta Z Scores'!$A$1:$N$1541,14,FALSE),"Not Enough Data")</f>
        <v>-0.48613346087696291</v>
      </c>
      <c r="G1328">
        <f>IF(VLOOKUP(A1328,'Forecast Z Scores'!$A$1:$N$1541,14,FALSE)&gt;2,VLOOKUP(A1328,'Forecast Z Scores'!$A$1:$N$1541,13,FALSE)/VLOOKUP(A1328,'Forecast Z Scores'!$A$1:$N$1541,14,FALSE),"Not Enough Data")</f>
        <v>-2.4029221624573521E-2</v>
      </c>
      <c r="H1328">
        <v>-0.25536100100779313</v>
      </c>
    </row>
    <row r="1329" spans="1:8" x14ac:dyDescent="0.35">
      <c r="A1329" t="str">
        <f t="shared" si="20"/>
        <v>18097370302_2026</v>
      </c>
      <c r="B1329">
        <v>18097370302</v>
      </c>
      <c r="C1329">
        <v>2026</v>
      </c>
      <c r="E1329">
        <f>-(IF(VLOOKUP(B1329,'2023 Z Scores'!$A$1:$K$309,11,FALSE)&gt;2,VLOOKUP(B1329,'2023 Z Scores'!$A$1:$K$309,10,FALSE)/VLOOKUP(B1329,'2023 Z Scores'!$A$1:$K$309,11,FALSE),"Not Enough data"))</f>
        <v>-2.5147860652673049E-2</v>
      </c>
      <c r="F1329">
        <f>IF(VLOOKUP(A1329,'Delta Z Scores'!$A$1:$N$1541,14,FALSE)&gt;2,VLOOKUP(A1329,'Delta Z Scores'!$A$1:$N$1541,13,FALSE)/VLOOKUP(A1329,'Delta Z Scores'!$A$1:$N$1541,14,FALSE),"Not Enough Data")</f>
        <v>0.74983638481055614</v>
      </c>
      <c r="G1329">
        <f>IF(VLOOKUP(A1329,'Forecast Z Scores'!$A$1:$N$1541,14,FALSE)&gt;2,VLOOKUP(A1329,'Forecast Z Scores'!$A$1:$N$1541,13,FALSE)/VLOOKUP(A1329,'Forecast Z Scores'!$A$1:$N$1541,14,FALSE),"Not Enough Data")</f>
        <v>-3.1357282607210879E-3</v>
      </c>
      <c r="H1329">
        <v>0.36784729517692949</v>
      </c>
    </row>
    <row r="1330" spans="1:8" x14ac:dyDescent="0.35">
      <c r="A1330" t="str">
        <f t="shared" si="20"/>
        <v>18097380100_2027</v>
      </c>
      <c r="B1330">
        <v>18097380100</v>
      </c>
      <c r="C1330">
        <v>2027</v>
      </c>
      <c r="E1330">
        <f>-(IF(VLOOKUP(B1330,'2023 Z Scores'!$A$1:$K$309,11,FALSE)&gt;2,VLOOKUP(B1330,'2023 Z Scores'!$A$1:$K$309,10,FALSE)/VLOOKUP(B1330,'2023 Z Scores'!$A$1:$K$309,11,FALSE),"Not Enough data"))</f>
        <v>-0.31483083727169781</v>
      </c>
      <c r="F1330">
        <f>IF(VLOOKUP(A1330,'Delta Z Scores'!$A$1:$N$1541,14,FALSE)&gt;2,VLOOKUP(A1330,'Delta Z Scores'!$A$1:$N$1541,13,FALSE)/VLOOKUP(A1330,'Delta Z Scores'!$A$1:$N$1541,14,FALSE),"Not Enough Data")</f>
        <v>-0.33143447694057321</v>
      </c>
      <c r="G1330">
        <f>IF(VLOOKUP(A1330,'Forecast Z Scores'!$A$1:$N$1541,14,FALSE)&gt;2,VLOOKUP(A1330,'Forecast Z Scores'!$A$1:$N$1541,13,FALSE)/VLOOKUP(A1330,'Forecast Z Scores'!$A$1:$N$1541,14,FALSE),"Not Enough Data")</f>
        <v>0.16245681536194931</v>
      </c>
      <c r="H1330">
        <v>-0.20381074394772372</v>
      </c>
    </row>
    <row r="1331" spans="1:8" x14ac:dyDescent="0.35">
      <c r="A1331" t="str">
        <f t="shared" si="20"/>
        <v>18097380100_2028</v>
      </c>
      <c r="B1331">
        <v>18097380100</v>
      </c>
      <c r="C1331">
        <v>2028</v>
      </c>
      <c r="E1331">
        <f>-(IF(VLOOKUP(B1331,'2023 Z Scores'!$A$1:$K$309,11,FALSE)&gt;2,VLOOKUP(B1331,'2023 Z Scores'!$A$1:$K$309,10,FALSE)/VLOOKUP(B1331,'2023 Z Scores'!$A$1:$K$309,11,FALSE),"Not Enough data"))</f>
        <v>-0.31483083727169781</v>
      </c>
      <c r="F1331">
        <f>IF(VLOOKUP(A1331,'Delta Z Scores'!$A$1:$N$1541,14,FALSE)&gt;2,VLOOKUP(A1331,'Delta Z Scores'!$A$1:$N$1541,13,FALSE)/VLOOKUP(A1331,'Delta Z Scores'!$A$1:$N$1541,14,FALSE),"Not Enough Data")</f>
        <v>-0.11830312863499941</v>
      </c>
      <c r="G1331">
        <f>IF(VLOOKUP(A1331,'Forecast Z Scores'!$A$1:$N$1541,14,FALSE)&gt;2,VLOOKUP(A1331,'Forecast Z Scores'!$A$1:$N$1541,13,FALSE)/VLOOKUP(A1331,'Forecast Z Scores'!$A$1:$N$1541,14,FALSE),"Not Enough Data")</f>
        <v>0.15750534739094121</v>
      </c>
      <c r="H1331">
        <v>-9.8482936787688852E-2</v>
      </c>
    </row>
    <row r="1332" spans="1:8" x14ac:dyDescent="0.35">
      <c r="A1332" t="str">
        <f t="shared" si="20"/>
        <v>18097380100_2024</v>
      </c>
      <c r="B1332">
        <v>18097380100</v>
      </c>
      <c r="C1332">
        <v>2024</v>
      </c>
      <c r="E1332">
        <f>-(IF(VLOOKUP(B1332,'2023 Z Scores'!$A$1:$K$309,11,FALSE)&gt;2,VLOOKUP(B1332,'2023 Z Scores'!$A$1:$K$309,10,FALSE)/VLOOKUP(B1332,'2023 Z Scores'!$A$1:$K$309,11,FALSE),"Not Enough data"))</f>
        <v>-0.31483083727169781</v>
      </c>
      <c r="F1332">
        <f>IF(VLOOKUP(A1332,'Delta Z Scores'!$A$1:$N$1541,14,FALSE)&gt;2,VLOOKUP(A1332,'Delta Z Scores'!$A$1:$N$1541,13,FALSE)/VLOOKUP(A1332,'Delta Z Scores'!$A$1:$N$1541,14,FALSE),"Not Enough Data")</f>
        <v>-7.1518406461104578E-2</v>
      </c>
      <c r="G1332">
        <f>IF(VLOOKUP(A1332,'Forecast Z Scores'!$A$1:$N$1541,14,FALSE)&gt;2,VLOOKUP(A1332,'Forecast Z Scores'!$A$1:$N$1541,13,FALSE)/VLOOKUP(A1332,'Forecast Z Scores'!$A$1:$N$1541,14,FALSE),"Not Enough Data")</f>
        <v>0.25258127368351951</v>
      </c>
      <c r="H1332">
        <v>-5.1321594127596862E-2</v>
      </c>
    </row>
    <row r="1333" spans="1:8" x14ac:dyDescent="0.35">
      <c r="A1333" t="str">
        <f t="shared" si="20"/>
        <v>18097380100_2025</v>
      </c>
      <c r="B1333">
        <v>18097380100</v>
      </c>
      <c r="C1333">
        <v>2025</v>
      </c>
      <c r="E1333">
        <f>-(IF(VLOOKUP(B1333,'2023 Z Scores'!$A$1:$K$309,11,FALSE)&gt;2,VLOOKUP(B1333,'2023 Z Scores'!$A$1:$K$309,10,FALSE)/VLOOKUP(B1333,'2023 Z Scores'!$A$1:$K$309,11,FALSE),"Not Enough data"))</f>
        <v>-0.31483083727169781</v>
      </c>
      <c r="F1333">
        <f>IF(VLOOKUP(A1333,'Delta Z Scores'!$A$1:$N$1541,14,FALSE)&gt;2,VLOOKUP(A1333,'Delta Z Scores'!$A$1:$N$1541,13,FALSE)/VLOOKUP(A1333,'Delta Z Scores'!$A$1:$N$1541,14,FALSE),"Not Enough Data")</f>
        <v>-0.41098139644138526</v>
      </c>
      <c r="G1333">
        <f>IF(VLOOKUP(A1333,'Forecast Z Scores'!$A$1:$N$1541,14,FALSE)&gt;2,VLOOKUP(A1333,'Forecast Z Scores'!$A$1:$N$1541,13,FALSE)/VLOOKUP(A1333,'Forecast Z Scores'!$A$1:$N$1541,14,FALSE),"Not Enough Data")</f>
        <v>0.20934804940057408</v>
      </c>
      <c r="H1333">
        <v>-0.23186139518847357</v>
      </c>
    </row>
    <row r="1334" spans="1:8" x14ac:dyDescent="0.35">
      <c r="A1334" t="str">
        <f t="shared" si="20"/>
        <v>18097380300_2026</v>
      </c>
      <c r="B1334">
        <v>18097380300</v>
      </c>
      <c r="C1334">
        <v>2026</v>
      </c>
      <c r="E1334">
        <f>-(IF(VLOOKUP(B1334,'2023 Z Scores'!$A$1:$K$309,11,FALSE)&gt;2,VLOOKUP(B1334,'2023 Z Scores'!$A$1:$K$309,10,FALSE)/VLOOKUP(B1334,'2023 Z Scores'!$A$1:$K$309,11,FALSE),"Not Enough data"))</f>
        <v>0.27266314984037399</v>
      </c>
      <c r="F1334">
        <f>IF(VLOOKUP(A1334,'Delta Z Scores'!$A$1:$N$1541,14,FALSE)&gt;2,VLOOKUP(A1334,'Delta Z Scores'!$A$1:$N$1541,13,FALSE)/VLOOKUP(A1334,'Delta Z Scores'!$A$1:$N$1541,14,FALSE),"Not Enough Data")</f>
        <v>-7.0708881821148525E-2</v>
      </c>
      <c r="G1334">
        <f>IF(VLOOKUP(A1334,'Forecast Z Scores'!$A$1:$N$1541,14,FALSE)&gt;2,VLOOKUP(A1334,'Forecast Z Scores'!$A$1:$N$1541,13,FALSE)/VLOOKUP(A1334,'Forecast Z Scores'!$A$1:$N$1541,14,FALSE),"Not Enough Data")</f>
        <v>-0.5037876620406041</v>
      </c>
      <c r="H1334">
        <v>-9.3135568960631798E-2</v>
      </c>
    </row>
    <row r="1335" spans="1:8" x14ac:dyDescent="0.35">
      <c r="A1335" t="str">
        <f t="shared" si="20"/>
        <v>18097380300_2027</v>
      </c>
      <c r="B1335">
        <v>18097380300</v>
      </c>
      <c r="C1335">
        <v>2027</v>
      </c>
      <c r="E1335">
        <f>-(IF(VLOOKUP(B1335,'2023 Z Scores'!$A$1:$K$309,11,FALSE)&gt;2,VLOOKUP(B1335,'2023 Z Scores'!$A$1:$K$309,10,FALSE)/VLOOKUP(B1335,'2023 Z Scores'!$A$1:$K$309,11,FALSE),"Not Enough data"))</f>
        <v>0.27266314984037399</v>
      </c>
      <c r="F1335">
        <f>IF(VLOOKUP(A1335,'Delta Z Scores'!$A$1:$N$1541,14,FALSE)&gt;2,VLOOKUP(A1335,'Delta Z Scores'!$A$1:$N$1541,13,FALSE)/VLOOKUP(A1335,'Delta Z Scores'!$A$1:$N$1541,14,FALSE),"Not Enough Data")</f>
        <v>-4.4841765656732868E-2</v>
      </c>
      <c r="G1335">
        <f>IF(VLOOKUP(A1335,'Forecast Z Scores'!$A$1:$N$1541,14,FALSE)&gt;2,VLOOKUP(A1335,'Forecast Z Scores'!$A$1:$N$1541,13,FALSE)/VLOOKUP(A1335,'Forecast Z Scores'!$A$1:$N$1541,14,FALSE),"Not Enough Data")</f>
        <v>-0.50620746847077092</v>
      </c>
      <c r="H1335">
        <v>-8.0806962485965667E-2</v>
      </c>
    </row>
    <row r="1336" spans="1:8" x14ac:dyDescent="0.35">
      <c r="A1336" t="str">
        <f t="shared" si="20"/>
        <v>18097380300_2028</v>
      </c>
      <c r="B1336">
        <v>18097380300</v>
      </c>
      <c r="C1336">
        <v>2028</v>
      </c>
      <c r="E1336">
        <f>-(IF(VLOOKUP(B1336,'2023 Z Scores'!$A$1:$K$309,11,FALSE)&gt;2,VLOOKUP(B1336,'2023 Z Scores'!$A$1:$K$309,10,FALSE)/VLOOKUP(B1336,'2023 Z Scores'!$A$1:$K$309,11,FALSE),"Not Enough data"))</f>
        <v>0.27266314984037399</v>
      </c>
      <c r="F1336">
        <f>IF(VLOOKUP(A1336,'Delta Z Scores'!$A$1:$N$1541,14,FALSE)&gt;2,VLOOKUP(A1336,'Delta Z Scores'!$A$1:$N$1541,13,FALSE)/VLOOKUP(A1336,'Delta Z Scores'!$A$1:$N$1541,14,FALSE),"Not Enough Data")</f>
        <v>4.4510328894944808E-2</v>
      </c>
      <c r="G1336">
        <f>IF(VLOOKUP(A1336,'Forecast Z Scores'!$A$1:$N$1541,14,FALSE)&gt;2,VLOOKUP(A1336,'Forecast Z Scores'!$A$1:$N$1541,13,FALSE)/VLOOKUP(A1336,'Forecast Z Scores'!$A$1:$N$1541,14,FALSE),"Not Enough Data")</f>
        <v>-0.47517348980976265</v>
      </c>
      <c r="H1336">
        <v>-2.8372420544874766E-2</v>
      </c>
    </row>
    <row r="1337" spans="1:8" x14ac:dyDescent="0.35">
      <c r="A1337" t="str">
        <f t="shared" si="20"/>
        <v>18097380300_2024</v>
      </c>
      <c r="B1337">
        <v>18097380300</v>
      </c>
      <c r="C1337">
        <v>2024</v>
      </c>
      <c r="E1337">
        <f>-(IF(VLOOKUP(B1337,'2023 Z Scores'!$A$1:$K$309,11,FALSE)&gt;2,VLOOKUP(B1337,'2023 Z Scores'!$A$1:$K$309,10,FALSE)/VLOOKUP(B1337,'2023 Z Scores'!$A$1:$K$309,11,FALSE),"Not Enough data"))</f>
        <v>0.27266314984037399</v>
      </c>
      <c r="F1337">
        <f>IF(VLOOKUP(A1337,'Delta Z Scores'!$A$1:$N$1541,14,FALSE)&gt;2,VLOOKUP(A1337,'Delta Z Scores'!$A$1:$N$1541,13,FALSE)/VLOOKUP(A1337,'Delta Z Scores'!$A$1:$N$1541,14,FALSE),"Not Enough Data")</f>
        <v>-0.44482941993735903</v>
      </c>
      <c r="G1337">
        <f>IF(VLOOKUP(A1337,'Forecast Z Scores'!$A$1:$N$1541,14,FALSE)&gt;2,VLOOKUP(A1337,'Forecast Z Scores'!$A$1:$N$1541,13,FALSE)/VLOOKUP(A1337,'Forecast Z Scores'!$A$1:$N$1541,14,FALSE),"Not Enough Data")</f>
        <v>-0.51436656357378141</v>
      </c>
      <c r="H1337">
        <v>-0.28284056340203134</v>
      </c>
    </row>
    <row r="1338" spans="1:8" x14ac:dyDescent="0.35">
      <c r="A1338" t="str">
        <f t="shared" si="20"/>
        <v>18097381001_2025</v>
      </c>
      <c r="B1338">
        <v>18097381001</v>
      </c>
      <c r="C1338">
        <v>2025</v>
      </c>
      <c r="E1338">
        <f>-(IF(VLOOKUP(B1338,'2023 Z Scores'!$A$1:$K$309,11,FALSE)&gt;2,VLOOKUP(B1338,'2023 Z Scores'!$A$1:$K$309,10,FALSE)/VLOOKUP(B1338,'2023 Z Scores'!$A$1:$K$309,11,FALSE),"Not Enough data"))</f>
        <v>0.54540455904002605</v>
      </c>
      <c r="F1338">
        <f>IF(VLOOKUP(A1338,'Delta Z Scores'!$A$1:$N$1541,14,FALSE)&gt;2,VLOOKUP(A1338,'Delta Z Scores'!$A$1:$N$1541,13,FALSE)/VLOOKUP(A1338,'Delta Z Scores'!$A$1:$N$1541,14,FALSE),"Not Enough Data")</f>
        <v>-0.32326918687249717</v>
      </c>
      <c r="G1338">
        <f>IF(VLOOKUP(A1338,'Forecast Z Scores'!$A$1:$N$1541,14,FALSE)&gt;2,VLOOKUP(A1338,'Forecast Z Scores'!$A$1:$N$1541,13,FALSE)/VLOOKUP(A1338,'Forecast Z Scores'!$A$1:$N$1541,14,FALSE),"Not Enough Data")</f>
        <v>-0.31294855971802293</v>
      </c>
      <c r="H1338">
        <v>-0.10352059360574781</v>
      </c>
    </row>
    <row r="1339" spans="1:8" x14ac:dyDescent="0.35">
      <c r="A1339" t="str">
        <f t="shared" si="20"/>
        <v>18097381001_2026</v>
      </c>
      <c r="B1339">
        <v>18097381001</v>
      </c>
      <c r="C1339">
        <v>2026</v>
      </c>
      <c r="E1339">
        <f>-(IF(VLOOKUP(B1339,'2023 Z Scores'!$A$1:$K$309,11,FALSE)&gt;2,VLOOKUP(B1339,'2023 Z Scores'!$A$1:$K$309,10,FALSE)/VLOOKUP(B1339,'2023 Z Scores'!$A$1:$K$309,11,FALSE),"Not Enough data"))</f>
        <v>0.54540455904002605</v>
      </c>
      <c r="F1339">
        <f>IF(VLOOKUP(A1339,'Delta Z Scores'!$A$1:$N$1541,14,FALSE)&gt;2,VLOOKUP(A1339,'Delta Z Scores'!$A$1:$N$1541,13,FALSE)/VLOOKUP(A1339,'Delta Z Scores'!$A$1:$N$1541,14,FALSE),"Not Enough Data")</f>
        <v>-0.43589073508195908</v>
      </c>
      <c r="G1339">
        <f>IF(VLOOKUP(A1339,'Forecast Z Scores'!$A$1:$N$1541,14,FALSE)&gt;2,VLOOKUP(A1339,'Forecast Z Scores'!$A$1:$N$1541,13,FALSE)/VLOOKUP(A1339,'Forecast Z Scores'!$A$1:$N$1541,14,FALSE),"Not Enough Data")</f>
        <v>-0.28077020819179704</v>
      </c>
      <c r="H1339">
        <v>-0.1517867798289223</v>
      </c>
    </row>
    <row r="1340" spans="1:8" x14ac:dyDescent="0.35">
      <c r="A1340" t="str">
        <f t="shared" si="20"/>
        <v>18097381001_2027</v>
      </c>
      <c r="B1340">
        <v>18097381001</v>
      </c>
      <c r="C1340">
        <v>2027</v>
      </c>
      <c r="E1340">
        <f>-(IF(VLOOKUP(B1340,'2023 Z Scores'!$A$1:$K$309,11,FALSE)&gt;2,VLOOKUP(B1340,'2023 Z Scores'!$A$1:$K$309,10,FALSE)/VLOOKUP(B1340,'2023 Z Scores'!$A$1:$K$309,11,FALSE),"Not Enough data"))</f>
        <v>0.54540455904002605</v>
      </c>
      <c r="F1340">
        <f>IF(VLOOKUP(A1340,'Delta Z Scores'!$A$1:$N$1541,14,FALSE)&gt;2,VLOOKUP(A1340,'Delta Z Scores'!$A$1:$N$1541,13,FALSE)/VLOOKUP(A1340,'Delta Z Scores'!$A$1:$N$1541,14,FALSE),"Not Enough Data")</f>
        <v>-0.31132350490077293</v>
      </c>
      <c r="G1340">
        <f>IF(VLOOKUP(A1340,'Forecast Z Scores'!$A$1:$N$1541,14,FALSE)&gt;2,VLOOKUP(A1340,'Forecast Z Scores'!$A$1:$N$1541,13,FALSE)/VLOOKUP(A1340,'Forecast Z Scores'!$A$1:$N$1541,14,FALSE),"Not Enough Data")</f>
        <v>-0.35676147425867588</v>
      </c>
      <c r="H1340">
        <v>-0.10850098125504892</v>
      </c>
    </row>
    <row r="1341" spans="1:8" x14ac:dyDescent="0.35">
      <c r="A1341" t="str">
        <f t="shared" si="20"/>
        <v>18097381001_2028</v>
      </c>
      <c r="B1341">
        <v>18097381001</v>
      </c>
      <c r="C1341">
        <v>2028</v>
      </c>
      <c r="E1341">
        <f>-(IF(VLOOKUP(B1341,'2023 Z Scores'!$A$1:$K$309,11,FALSE)&gt;2,VLOOKUP(B1341,'2023 Z Scores'!$A$1:$K$309,10,FALSE)/VLOOKUP(B1341,'2023 Z Scores'!$A$1:$K$309,11,FALSE),"Not Enough data"))</f>
        <v>0.54540455904002605</v>
      </c>
      <c r="F1341">
        <f>IF(VLOOKUP(A1341,'Delta Z Scores'!$A$1:$N$1541,14,FALSE)&gt;2,VLOOKUP(A1341,'Delta Z Scores'!$A$1:$N$1541,13,FALSE)/VLOOKUP(A1341,'Delta Z Scores'!$A$1:$N$1541,14,FALSE),"Not Enough Data")</f>
        <v>-0.29398038286813466</v>
      </c>
      <c r="G1341">
        <f>IF(VLOOKUP(A1341,'Forecast Z Scores'!$A$1:$N$1541,14,FALSE)&gt;2,VLOOKUP(A1341,'Forecast Z Scores'!$A$1:$N$1541,13,FALSE)/VLOOKUP(A1341,'Forecast Z Scores'!$A$1:$N$1541,14,FALSE),"Not Enough Data")</f>
        <v>-0.32445704704608741</v>
      </c>
      <c r="H1341">
        <v>-9.1753313435582684E-2</v>
      </c>
    </row>
    <row r="1342" spans="1:8" x14ac:dyDescent="0.35">
      <c r="A1342" t="str">
        <f t="shared" si="20"/>
        <v>18097381201_2024</v>
      </c>
      <c r="B1342">
        <v>18097381201</v>
      </c>
      <c r="C1342">
        <v>2024</v>
      </c>
      <c r="E1342">
        <f>-(IF(VLOOKUP(B1342,'2023 Z Scores'!$A$1:$K$309,11,FALSE)&gt;2,VLOOKUP(B1342,'2023 Z Scores'!$A$1:$K$309,10,FALSE)/VLOOKUP(B1342,'2023 Z Scores'!$A$1:$K$309,11,FALSE),"Not Enough data"))</f>
        <v>0.23108833269484888</v>
      </c>
      <c r="F1342">
        <f>IF(VLOOKUP(A1342,'Delta Z Scores'!$A$1:$N$1541,14,FALSE)&gt;2,VLOOKUP(A1342,'Delta Z Scores'!$A$1:$N$1541,13,FALSE)/VLOOKUP(A1342,'Delta Z Scores'!$A$1:$N$1541,14,FALSE),"Not Enough Data")</f>
        <v>-0.31748718807566245</v>
      </c>
      <c r="G1342">
        <f>IF(VLOOKUP(A1342,'Forecast Z Scores'!$A$1:$N$1541,14,FALSE)&gt;2,VLOOKUP(A1342,'Forecast Z Scores'!$A$1:$N$1541,13,FALSE)/VLOOKUP(A1342,'Forecast Z Scores'!$A$1:$N$1541,14,FALSE),"Not Enough Data")</f>
        <v>-0.14368247291940556</v>
      </c>
      <c r="H1342">
        <v>-0.13689212909397039</v>
      </c>
    </row>
    <row r="1343" spans="1:8" x14ac:dyDescent="0.35">
      <c r="A1343" t="str">
        <f t="shared" si="20"/>
        <v>18097381201_2025</v>
      </c>
      <c r="B1343">
        <v>18097381201</v>
      </c>
      <c r="C1343">
        <v>2025</v>
      </c>
      <c r="E1343">
        <f>-(IF(VLOOKUP(B1343,'2023 Z Scores'!$A$1:$K$309,11,FALSE)&gt;2,VLOOKUP(B1343,'2023 Z Scores'!$A$1:$K$309,10,FALSE)/VLOOKUP(B1343,'2023 Z Scores'!$A$1:$K$309,11,FALSE),"Not Enough data"))</f>
        <v>0.23108833269484888</v>
      </c>
      <c r="F1343">
        <f>IF(VLOOKUP(A1343,'Delta Z Scores'!$A$1:$N$1541,14,FALSE)&gt;2,VLOOKUP(A1343,'Delta Z Scores'!$A$1:$N$1541,13,FALSE)/VLOOKUP(A1343,'Delta Z Scores'!$A$1:$N$1541,14,FALSE),"Not Enough Data")</f>
        <v>-0.59282713033410905</v>
      </c>
      <c r="G1343">
        <f>IF(VLOOKUP(A1343,'Forecast Z Scores'!$A$1:$N$1541,14,FALSE)&gt;2,VLOOKUP(A1343,'Forecast Z Scores'!$A$1:$N$1541,13,FALSE)/VLOOKUP(A1343,'Forecast Z Scores'!$A$1:$N$1541,14,FALSE),"Not Enough Data")</f>
        <v>-0.20865862884859024</v>
      </c>
      <c r="H1343">
        <v>-0.29080613920548987</v>
      </c>
    </row>
    <row r="1344" spans="1:8" x14ac:dyDescent="0.35">
      <c r="A1344" t="str">
        <f t="shared" si="20"/>
        <v>18097381201_2026</v>
      </c>
      <c r="B1344">
        <v>18097381201</v>
      </c>
      <c r="C1344">
        <v>2026</v>
      </c>
      <c r="E1344">
        <f>-(IF(VLOOKUP(B1344,'2023 Z Scores'!$A$1:$K$309,11,FALSE)&gt;2,VLOOKUP(B1344,'2023 Z Scores'!$A$1:$K$309,10,FALSE)/VLOOKUP(B1344,'2023 Z Scores'!$A$1:$K$309,11,FALSE),"Not Enough data"))</f>
        <v>0.23108833269484888</v>
      </c>
      <c r="F1344">
        <f>IF(VLOOKUP(A1344,'Delta Z Scores'!$A$1:$N$1541,14,FALSE)&gt;2,VLOOKUP(A1344,'Delta Z Scores'!$A$1:$N$1541,13,FALSE)/VLOOKUP(A1344,'Delta Z Scores'!$A$1:$N$1541,14,FALSE),"Not Enough Data")</f>
        <v>-0.58763580823880679</v>
      </c>
      <c r="G1344">
        <f>IF(VLOOKUP(A1344,'Forecast Z Scores'!$A$1:$N$1541,14,FALSE)&gt;2,VLOOKUP(A1344,'Forecast Z Scores'!$A$1:$N$1541,13,FALSE)/VLOOKUP(A1344,'Forecast Z Scores'!$A$1:$N$1541,14,FALSE),"Not Enough Data")</f>
        <v>-0.26470738517884768</v>
      </c>
      <c r="H1344">
        <v>-0.30222266724040309</v>
      </c>
    </row>
    <row r="1345" spans="1:8" x14ac:dyDescent="0.35">
      <c r="A1345" t="str">
        <f t="shared" si="20"/>
        <v>18097381201_2027</v>
      </c>
      <c r="B1345">
        <v>18097381201</v>
      </c>
      <c r="C1345">
        <v>2027</v>
      </c>
      <c r="E1345">
        <f>-(IF(VLOOKUP(B1345,'2023 Z Scores'!$A$1:$K$309,11,FALSE)&gt;2,VLOOKUP(B1345,'2023 Z Scores'!$A$1:$K$309,10,FALSE)/VLOOKUP(B1345,'2023 Z Scores'!$A$1:$K$309,11,FALSE),"Not Enough data"))</f>
        <v>0.23108833269484888</v>
      </c>
      <c r="F1345">
        <f>IF(VLOOKUP(A1345,'Delta Z Scores'!$A$1:$N$1541,14,FALSE)&gt;2,VLOOKUP(A1345,'Delta Z Scores'!$A$1:$N$1541,13,FALSE)/VLOOKUP(A1345,'Delta Z Scores'!$A$1:$N$1541,14,FALSE),"Not Enough Data")</f>
        <v>-0.5778895620027884</v>
      </c>
      <c r="G1345">
        <f>IF(VLOOKUP(A1345,'Forecast Z Scores'!$A$1:$N$1541,14,FALSE)&gt;2,VLOOKUP(A1345,'Forecast Z Scores'!$A$1:$N$1541,13,FALSE)/VLOOKUP(A1345,'Forecast Z Scores'!$A$1:$N$1541,14,FALSE),"Not Enough Data")</f>
        <v>-0.3122637805564869</v>
      </c>
      <c r="H1345">
        <v>-0.3092386429668037</v>
      </c>
    </row>
    <row r="1346" spans="1:8" x14ac:dyDescent="0.35">
      <c r="A1346" t="str">
        <f t="shared" si="20"/>
        <v>18097390101_2028</v>
      </c>
      <c r="B1346">
        <v>18097390101</v>
      </c>
      <c r="C1346">
        <v>2028</v>
      </c>
      <c r="E1346">
        <f>-(IF(VLOOKUP(B1346,'2023 Z Scores'!$A$1:$K$309,11,FALSE)&gt;2,VLOOKUP(B1346,'2023 Z Scores'!$A$1:$K$309,10,FALSE)/VLOOKUP(B1346,'2023 Z Scores'!$A$1:$K$309,11,FALSE),"Not Enough data"))</f>
        <v>-0.18395151359136669</v>
      </c>
      <c r="F1346">
        <f>IF(VLOOKUP(A1346,'Delta Z Scores'!$A$1:$N$1541,14,FALSE)&gt;2,VLOOKUP(A1346,'Delta Z Scores'!$A$1:$N$1541,13,FALSE)/VLOOKUP(A1346,'Delta Z Scores'!$A$1:$N$1541,14,FALSE),"Not Enough Data")</f>
        <v>-0.60749683933964116</v>
      </c>
      <c r="G1346">
        <f>IF(VLOOKUP(A1346,'Forecast Z Scores'!$A$1:$N$1541,14,FALSE)&gt;2,VLOOKUP(A1346,'Forecast Z Scores'!$A$1:$N$1541,13,FALSE)/VLOOKUP(A1346,'Forecast Z Scores'!$A$1:$N$1541,14,FALSE),"Not Enough Data")</f>
        <v>-0.11434692556047968</v>
      </c>
      <c r="H1346">
        <v>-0.37832302945778218</v>
      </c>
    </row>
    <row r="1347" spans="1:8" x14ac:dyDescent="0.35">
      <c r="A1347" t="str">
        <f t="shared" ref="A1347:A1410" si="21">TEXT(B1347,0)&amp;"_"&amp;TEXT(C1347,0)</f>
        <v>18097390101_2024</v>
      </c>
      <c r="B1347">
        <v>18097390101</v>
      </c>
      <c r="C1347">
        <v>2024</v>
      </c>
      <c r="E1347">
        <f>-(IF(VLOOKUP(B1347,'2023 Z Scores'!$A$1:$K$309,11,FALSE)&gt;2,VLOOKUP(B1347,'2023 Z Scores'!$A$1:$K$309,10,FALSE)/VLOOKUP(B1347,'2023 Z Scores'!$A$1:$K$309,11,FALSE),"Not Enough data"))</f>
        <v>-0.18395151359136669</v>
      </c>
      <c r="F1347">
        <f>IF(VLOOKUP(A1347,'Delta Z Scores'!$A$1:$N$1541,14,FALSE)&gt;2,VLOOKUP(A1347,'Delta Z Scores'!$A$1:$N$1541,13,FALSE)/VLOOKUP(A1347,'Delta Z Scores'!$A$1:$N$1541,14,FALSE),"Not Enough Data")</f>
        <v>-0.44223744200286946</v>
      </c>
      <c r="G1347">
        <f>IF(VLOOKUP(A1347,'Forecast Z Scores'!$A$1:$N$1541,14,FALSE)&gt;2,VLOOKUP(A1347,'Forecast Z Scores'!$A$1:$N$1541,13,FALSE)/VLOOKUP(A1347,'Forecast Z Scores'!$A$1:$N$1541,14,FALSE),"Not Enough Data")</f>
        <v>-2.5404451520476101E-2</v>
      </c>
      <c r="H1347">
        <v>-0.27345771227939542</v>
      </c>
    </row>
    <row r="1348" spans="1:8" x14ac:dyDescent="0.35">
      <c r="A1348" t="str">
        <f t="shared" si="21"/>
        <v>18097390101_2025</v>
      </c>
      <c r="B1348">
        <v>18097390101</v>
      </c>
      <c r="C1348">
        <v>2025</v>
      </c>
      <c r="E1348">
        <f>-(IF(VLOOKUP(B1348,'2023 Z Scores'!$A$1:$K$309,11,FALSE)&gt;2,VLOOKUP(B1348,'2023 Z Scores'!$A$1:$K$309,10,FALSE)/VLOOKUP(B1348,'2023 Z Scores'!$A$1:$K$309,11,FALSE),"Not Enough data"))</f>
        <v>-0.18395151359136669</v>
      </c>
      <c r="F1348">
        <f>IF(VLOOKUP(A1348,'Delta Z Scores'!$A$1:$N$1541,14,FALSE)&gt;2,VLOOKUP(A1348,'Delta Z Scores'!$A$1:$N$1541,13,FALSE)/VLOOKUP(A1348,'Delta Z Scores'!$A$1:$N$1541,14,FALSE),"Not Enough Data")</f>
        <v>-0.19706250364255665</v>
      </c>
      <c r="G1348">
        <f>IF(VLOOKUP(A1348,'Forecast Z Scores'!$A$1:$N$1541,14,FALSE)&gt;2,VLOOKUP(A1348,'Forecast Z Scores'!$A$1:$N$1541,13,FALSE)/VLOOKUP(A1348,'Forecast Z Scores'!$A$1:$N$1541,14,FALSE),"Not Enough Data")</f>
        <v>-3.6991412046065486E-2</v>
      </c>
      <c r="H1348">
        <v>-0.15376698323063637</v>
      </c>
    </row>
    <row r="1349" spans="1:8" x14ac:dyDescent="0.35">
      <c r="A1349" t="str">
        <f t="shared" si="21"/>
        <v>18097390101_2026</v>
      </c>
      <c r="B1349">
        <v>18097390101</v>
      </c>
      <c r="C1349">
        <v>2026</v>
      </c>
      <c r="E1349">
        <f>-(IF(VLOOKUP(B1349,'2023 Z Scores'!$A$1:$K$309,11,FALSE)&gt;2,VLOOKUP(B1349,'2023 Z Scores'!$A$1:$K$309,10,FALSE)/VLOOKUP(B1349,'2023 Z Scores'!$A$1:$K$309,11,FALSE),"Not Enough data"))</f>
        <v>-0.18395151359136669</v>
      </c>
      <c r="F1349">
        <f>IF(VLOOKUP(A1349,'Delta Z Scores'!$A$1:$N$1541,14,FALSE)&gt;2,VLOOKUP(A1349,'Delta Z Scores'!$A$1:$N$1541,13,FALSE)/VLOOKUP(A1349,'Delta Z Scores'!$A$1:$N$1541,14,FALSE),"Not Enough Data")</f>
        <v>-0.6233339824336479</v>
      </c>
      <c r="G1349">
        <f>IF(VLOOKUP(A1349,'Forecast Z Scores'!$A$1:$N$1541,14,FALSE)&gt;2,VLOOKUP(A1349,'Forecast Z Scores'!$A$1:$N$1541,13,FALSE)/VLOOKUP(A1349,'Forecast Z Scores'!$A$1:$N$1541,14,FALSE),"Not Enough Data")</f>
        <v>-7.3608845288471003E-2</v>
      </c>
      <c r="H1349">
        <v>-0.37605708093678336</v>
      </c>
    </row>
    <row r="1350" spans="1:8" x14ac:dyDescent="0.35">
      <c r="A1350" t="str">
        <f t="shared" si="21"/>
        <v>18097390402_2027</v>
      </c>
      <c r="B1350">
        <v>18097390402</v>
      </c>
      <c r="C1350">
        <v>2027</v>
      </c>
      <c r="E1350">
        <f>-(IF(VLOOKUP(B1350,'2023 Z Scores'!$A$1:$K$309,11,FALSE)&gt;2,VLOOKUP(B1350,'2023 Z Scores'!$A$1:$K$309,10,FALSE)/VLOOKUP(B1350,'2023 Z Scores'!$A$1:$K$309,11,FALSE),"Not Enough data"))</f>
        <v>-0.42239603128262021</v>
      </c>
      <c r="F1350">
        <f>IF(VLOOKUP(A1350,'Delta Z Scores'!$A$1:$N$1541,14,FALSE)&gt;2,VLOOKUP(A1350,'Delta Z Scores'!$A$1:$N$1541,13,FALSE)/VLOOKUP(A1350,'Delta Z Scores'!$A$1:$N$1541,14,FALSE),"Not Enough Data")</f>
        <v>-0.25519283078149518</v>
      </c>
      <c r="G1350">
        <f>IF(VLOOKUP(A1350,'Forecast Z Scores'!$A$1:$N$1541,14,FALSE)&gt;2,VLOOKUP(A1350,'Forecast Z Scores'!$A$1:$N$1541,13,FALSE)/VLOOKUP(A1350,'Forecast Z Scores'!$A$1:$N$1541,14,FALSE),"Not Enough Data")</f>
        <v>0.50222581647657083</v>
      </c>
      <c r="H1350">
        <v>-0.10763896909225994</v>
      </c>
    </row>
    <row r="1351" spans="1:8" x14ac:dyDescent="0.35">
      <c r="A1351" t="str">
        <f t="shared" si="21"/>
        <v>18097390402_2028</v>
      </c>
      <c r="B1351">
        <v>18097390402</v>
      </c>
      <c r="C1351">
        <v>2028</v>
      </c>
      <c r="E1351">
        <f>-(IF(VLOOKUP(B1351,'2023 Z Scores'!$A$1:$K$309,11,FALSE)&gt;2,VLOOKUP(B1351,'2023 Z Scores'!$A$1:$K$309,10,FALSE)/VLOOKUP(B1351,'2023 Z Scores'!$A$1:$K$309,11,FALSE),"Not Enough data"))</f>
        <v>-0.42239603128262021</v>
      </c>
      <c r="F1351">
        <f>IF(VLOOKUP(A1351,'Delta Z Scores'!$A$1:$N$1541,14,FALSE)&gt;2,VLOOKUP(A1351,'Delta Z Scores'!$A$1:$N$1541,13,FALSE)/VLOOKUP(A1351,'Delta Z Scores'!$A$1:$N$1541,14,FALSE),"Not Enough Data")</f>
        <v>-6.9476051418614057E-2</v>
      </c>
      <c r="G1351">
        <f>IF(VLOOKUP(A1351,'Forecast Z Scores'!$A$1:$N$1541,14,FALSE)&gt;2,VLOOKUP(A1351,'Forecast Z Scores'!$A$1:$N$1541,13,FALSE)/VLOOKUP(A1351,'Forecast Z Scores'!$A$1:$N$1541,14,FALSE),"Not Enough Data")</f>
        <v>0.51259827513587708</v>
      </c>
      <c r="H1351">
        <v>-1.2187464745992818E-2</v>
      </c>
    </row>
    <row r="1352" spans="1:8" x14ac:dyDescent="0.35">
      <c r="A1352" t="str">
        <f t="shared" si="21"/>
        <v>18097390402_2024</v>
      </c>
      <c r="B1352">
        <v>18097390402</v>
      </c>
      <c r="C1352">
        <v>2024</v>
      </c>
      <c r="E1352">
        <f>-(IF(VLOOKUP(B1352,'2023 Z Scores'!$A$1:$K$309,11,FALSE)&gt;2,VLOOKUP(B1352,'2023 Z Scores'!$A$1:$K$309,10,FALSE)/VLOOKUP(B1352,'2023 Z Scores'!$A$1:$K$309,11,FALSE),"Not Enough data"))</f>
        <v>-0.42239603128262021</v>
      </c>
      <c r="F1352">
        <f>IF(VLOOKUP(A1352,'Delta Z Scores'!$A$1:$N$1541,14,FALSE)&gt;2,VLOOKUP(A1352,'Delta Z Scores'!$A$1:$N$1541,13,FALSE)/VLOOKUP(A1352,'Delta Z Scores'!$A$1:$N$1541,14,FALSE),"Not Enough Data")</f>
        <v>0.33905158408863711</v>
      </c>
      <c r="G1352">
        <f>IF(VLOOKUP(A1352,'Forecast Z Scores'!$A$1:$N$1541,14,FALSE)&gt;2,VLOOKUP(A1352,'Forecast Z Scores'!$A$1:$N$1541,13,FALSE)/VLOOKUP(A1352,'Forecast Z Scores'!$A$1:$N$1541,14,FALSE),"Not Enough Data")</f>
        <v>0.59153711223024719</v>
      </c>
      <c r="H1352">
        <v>0.21181106228122532</v>
      </c>
    </row>
    <row r="1353" spans="1:8" x14ac:dyDescent="0.35">
      <c r="A1353" t="str">
        <f t="shared" si="21"/>
        <v>18097390402_2025</v>
      </c>
      <c r="B1353">
        <v>18097390402</v>
      </c>
      <c r="C1353">
        <v>2025</v>
      </c>
      <c r="E1353">
        <f>-(IF(VLOOKUP(B1353,'2023 Z Scores'!$A$1:$K$309,11,FALSE)&gt;2,VLOOKUP(B1353,'2023 Z Scores'!$A$1:$K$309,10,FALSE)/VLOOKUP(B1353,'2023 Z Scores'!$A$1:$K$309,11,FALSE),"Not Enough data"))</f>
        <v>-0.42239603128262021</v>
      </c>
      <c r="F1353">
        <f>IF(VLOOKUP(A1353,'Delta Z Scores'!$A$1:$N$1541,14,FALSE)&gt;2,VLOOKUP(A1353,'Delta Z Scores'!$A$1:$N$1541,13,FALSE)/VLOOKUP(A1353,'Delta Z Scores'!$A$1:$N$1541,14,FALSE),"Not Enough Data")</f>
        <v>-0.33442559935881877</v>
      </c>
      <c r="G1353">
        <f>IF(VLOOKUP(A1353,'Forecast Z Scores'!$A$1:$N$1541,14,FALSE)&gt;2,VLOOKUP(A1353,'Forecast Z Scores'!$A$1:$N$1541,13,FALSE)/VLOOKUP(A1353,'Forecast Z Scores'!$A$1:$N$1541,14,FALSE),"Not Enough Data")</f>
        <v>0.53141655227718376</v>
      </c>
      <c r="H1353">
        <v>-0.13995766943076848</v>
      </c>
    </row>
    <row r="1354" spans="1:8" x14ac:dyDescent="0.35">
      <c r="A1354" t="str">
        <f t="shared" si="21"/>
        <v>18097390403_2026</v>
      </c>
      <c r="B1354">
        <v>18097390403</v>
      </c>
      <c r="C1354">
        <v>2026</v>
      </c>
      <c r="E1354">
        <f>-(IF(VLOOKUP(B1354,'2023 Z Scores'!$A$1:$K$309,11,FALSE)&gt;2,VLOOKUP(B1354,'2023 Z Scores'!$A$1:$K$309,10,FALSE)/VLOOKUP(B1354,'2023 Z Scores'!$A$1:$K$309,11,FALSE),"Not Enough data"))</f>
        <v>-1.2207288769868134</v>
      </c>
      <c r="F1354">
        <f>IF(VLOOKUP(A1354,'Delta Z Scores'!$A$1:$N$1541,14,FALSE)&gt;2,VLOOKUP(A1354,'Delta Z Scores'!$A$1:$N$1541,13,FALSE)/VLOOKUP(A1354,'Delta Z Scores'!$A$1:$N$1541,14,FALSE),"Not Enough Data")</f>
        <v>0.24579436453811965</v>
      </c>
      <c r="G1354">
        <f>IF(VLOOKUP(A1354,'Forecast Z Scores'!$A$1:$N$1541,14,FALSE)&gt;2,VLOOKUP(A1354,'Forecast Z Scores'!$A$1:$N$1541,13,FALSE)/VLOOKUP(A1354,'Forecast Z Scores'!$A$1:$N$1541,14,FALSE),"Not Enough Data")</f>
        <v>0.54816735893679569</v>
      </c>
      <c r="H1354">
        <v>-4.5243197243444611E-2</v>
      </c>
    </row>
    <row r="1355" spans="1:8" x14ac:dyDescent="0.35">
      <c r="A1355" t="str">
        <f t="shared" si="21"/>
        <v>18097390403_2027</v>
      </c>
      <c r="B1355">
        <v>18097390403</v>
      </c>
      <c r="C1355">
        <v>2027</v>
      </c>
      <c r="E1355">
        <f>-(IF(VLOOKUP(B1355,'2023 Z Scores'!$A$1:$K$309,11,FALSE)&gt;2,VLOOKUP(B1355,'2023 Z Scores'!$A$1:$K$309,10,FALSE)/VLOOKUP(B1355,'2023 Z Scores'!$A$1:$K$309,11,FALSE),"Not Enough data"))</f>
        <v>-1.2207288769868134</v>
      </c>
      <c r="F1355">
        <f>IF(VLOOKUP(A1355,'Delta Z Scores'!$A$1:$N$1541,14,FALSE)&gt;2,VLOOKUP(A1355,'Delta Z Scores'!$A$1:$N$1541,13,FALSE)/VLOOKUP(A1355,'Delta Z Scores'!$A$1:$N$1541,14,FALSE),"Not Enough Data")</f>
        <v>0.65316337359018595</v>
      </c>
      <c r="G1355">
        <f>IF(VLOOKUP(A1355,'Forecast Z Scores'!$A$1:$N$1541,14,FALSE)&gt;2,VLOOKUP(A1355,'Forecast Z Scores'!$A$1:$N$1541,13,FALSE)/VLOOKUP(A1355,'Forecast Z Scores'!$A$1:$N$1541,14,FALSE),"Not Enough Data")</f>
        <v>0.56945622639776372</v>
      </c>
      <c r="H1355">
        <v>0.16376352414783052</v>
      </c>
    </row>
    <row r="1356" spans="1:8" x14ac:dyDescent="0.35">
      <c r="A1356" t="str">
        <f t="shared" si="21"/>
        <v>18097390403_2028</v>
      </c>
      <c r="B1356">
        <v>18097390403</v>
      </c>
      <c r="C1356">
        <v>2028</v>
      </c>
      <c r="E1356">
        <f>-(IF(VLOOKUP(B1356,'2023 Z Scores'!$A$1:$K$309,11,FALSE)&gt;2,VLOOKUP(B1356,'2023 Z Scores'!$A$1:$K$309,10,FALSE)/VLOOKUP(B1356,'2023 Z Scores'!$A$1:$K$309,11,FALSE),"Not Enough data"))</f>
        <v>-1.2207288769868134</v>
      </c>
      <c r="F1356">
        <f>IF(VLOOKUP(A1356,'Delta Z Scores'!$A$1:$N$1541,14,FALSE)&gt;2,VLOOKUP(A1356,'Delta Z Scores'!$A$1:$N$1541,13,FALSE)/VLOOKUP(A1356,'Delta Z Scores'!$A$1:$N$1541,14,FALSE),"Not Enough Data")</f>
        <v>0.46175232219051354</v>
      </c>
      <c r="G1356">
        <f>IF(VLOOKUP(A1356,'Forecast Z Scores'!$A$1:$N$1541,14,FALSE)&gt;2,VLOOKUP(A1356,'Forecast Z Scores'!$A$1:$N$1541,13,FALSE)/VLOOKUP(A1356,'Forecast Z Scores'!$A$1:$N$1541,14,FALSE),"Not Enough Data")</f>
        <v>0.54334115161252905</v>
      </c>
      <c r="H1356">
        <v>6.1529229751685677E-2</v>
      </c>
    </row>
    <row r="1357" spans="1:8" x14ac:dyDescent="0.35">
      <c r="A1357" t="str">
        <f t="shared" si="21"/>
        <v>18097390403_2024</v>
      </c>
      <c r="B1357">
        <v>18097390403</v>
      </c>
      <c r="C1357">
        <v>2024</v>
      </c>
      <c r="E1357">
        <f>-(IF(VLOOKUP(B1357,'2023 Z Scores'!$A$1:$K$309,11,FALSE)&gt;2,VLOOKUP(B1357,'2023 Z Scores'!$A$1:$K$309,10,FALSE)/VLOOKUP(B1357,'2023 Z Scores'!$A$1:$K$309,11,FALSE),"Not Enough data"))</f>
        <v>-1.2207288769868134</v>
      </c>
      <c r="F1357">
        <f>IF(VLOOKUP(A1357,'Delta Z Scores'!$A$1:$N$1541,14,FALSE)&gt;2,VLOOKUP(A1357,'Delta Z Scores'!$A$1:$N$1541,13,FALSE)/VLOOKUP(A1357,'Delta Z Scores'!$A$1:$N$1541,14,FALSE),"Not Enough Data")</f>
        <v>-0.49446454057362926</v>
      </c>
      <c r="G1357">
        <f>IF(VLOOKUP(A1357,'Forecast Z Scores'!$A$1:$N$1541,14,FALSE)&gt;2,VLOOKUP(A1357,'Forecast Z Scores'!$A$1:$N$1541,13,FALSE)/VLOOKUP(A1357,'Forecast Z Scores'!$A$1:$N$1541,14,FALSE),"Not Enough Data")</f>
        <v>0.55866307951138272</v>
      </c>
      <c r="H1357">
        <v>-0.41274871965567228</v>
      </c>
    </row>
    <row r="1358" spans="1:8" x14ac:dyDescent="0.35">
      <c r="A1358" t="str">
        <f t="shared" si="21"/>
        <v>18097390404_2025</v>
      </c>
      <c r="B1358">
        <v>18097390404</v>
      </c>
      <c r="C1358">
        <v>2025</v>
      </c>
      <c r="E1358">
        <f>-(IF(VLOOKUP(B1358,'2023 Z Scores'!$A$1:$K$309,11,FALSE)&gt;2,VLOOKUP(B1358,'2023 Z Scores'!$A$1:$K$309,10,FALSE)/VLOOKUP(B1358,'2023 Z Scores'!$A$1:$K$309,11,FALSE),"Not Enough data"))</f>
        <v>-0.41026019618137466</v>
      </c>
      <c r="F1358">
        <f>IF(VLOOKUP(A1358,'Delta Z Scores'!$A$1:$N$1541,14,FALSE)&gt;2,VLOOKUP(A1358,'Delta Z Scores'!$A$1:$N$1541,13,FALSE)/VLOOKUP(A1358,'Delta Z Scores'!$A$1:$N$1541,14,FALSE),"Not Enough Data")</f>
        <v>1.6234793302726702E-2</v>
      </c>
      <c r="G1358">
        <f>IF(VLOOKUP(A1358,'Forecast Z Scores'!$A$1:$N$1541,14,FALSE)&gt;2,VLOOKUP(A1358,'Forecast Z Scores'!$A$1:$N$1541,13,FALSE)/VLOOKUP(A1358,'Forecast Z Scores'!$A$1:$N$1541,14,FALSE),"Not Enough Data")</f>
        <v>0.41498840190761754</v>
      </c>
      <c r="H1358">
        <v>9.2994480829240722E-3</v>
      </c>
    </row>
    <row r="1359" spans="1:8" x14ac:dyDescent="0.35">
      <c r="A1359" t="str">
        <f t="shared" si="21"/>
        <v>18097390404_2026</v>
      </c>
      <c r="B1359">
        <v>18097390404</v>
      </c>
      <c r="C1359">
        <v>2026</v>
      </c>
      <c r="E1359">
        <f>-(IF(VLOOKUP(B1359,'2023 Z Scores'!$A$1:$K$309,11,FALSE)&gt;2,VLOOKUP(B1359,'2023 Z Scores'!$A$1:$K$309,10,FALSE)/VLOOKUP(B1359,'2023 Z Scores'!$A$1:$K$309,11,FALSE),"Not Enough data"))</f>
        <v>-0.41026019618137466</v>
      </c>
      <c r="F1359">
        <f>IF(VLOOKUP(A1359,'Delta Z Scores'!$A$1:$N$1541,14,FALSE)&gt;2,VLOOKUP(A1359,'Delta Z Scores'!$A$1:$N$1541,13,FALSE)/VLOOKUP(A1359,'Delta Z Scores'!$A$1:$N$1541,14,FALSE),"Not Enough Data")</f>
        <v>-1.454613277028044E-2</v>
      </c>
      <c r="G1359">
        <f>IF(VLOOKUP(A1359,'Forecast Z Scores'!$A$1:$N$1541,14,FALSE)&gt;2,VLOOKUP(A1359,'Forecast Z Scores'!$A$1:$N$1541,13,FALSE)/VLOOKUP(A1359,'Forecast Z Scores'!$A$1:$N$1541,14,FALSE),"Not Enough Data")</f>
        <v>0.39609510691795524</v>
      </c>
      <c r="H1359">
        <v>-1.0814338700995074E-2</v>
      </c>
    </row>
    <row r="1360" spans="1:8" x14ac:dyDescent="0.35">
      <c r="A1360" t="str">
        <f t="shared" si="21"/>
        <v>18097390404_2027</v>
      </c>
      <c r="B1360">
        <v>18097390404</v>
      </c>
      <c r="C1360">
        <v>2027</v>
      </c>
      <c r="E1360">
        <f>-(IF(VLOOKUP(B1360,'2023 Z Scores'!$A$1:$K$309,11,FALSE)&gt;2,VLOOKUP(B1360,'2023 Z Scores'!$A$1:$K$309,10,FALSE)/VLOOKUP(B1360,'2023 Z Scores'!$A$1:$K$309,11,FALSE),"Not Enough data"))</f>
        <v>-0.41026019618137466</v>
      </c>
      <c r="F1360">
        <f>IF(VLOOKUP(A1360,'Delta Z Scores'!$A$1:$N$1541,14,FALSE)&gt;2,VLOOKUP(A1360,'Delta Z Scores'!$A$1:$N$1541,13,FALSE)/VLOOKUP(A1360,'Delta Z Scores'!$A$1:$N$1541,14,FALSE),"Not Enough Data")</f>
        <v>-4.9951997292869976E-4</v>
      </c>
      <c r="G1360">
        <f>IF(VLOOKUP(A1360,'Forecast Z Scores'!$A$1:$N$1541,14,FALSE)&gt;2,VLOOKUP(A1360,'Forecast Z Scores'!$A$1:$N$1541,13,FALSE)/VLOOKUP(A1360,'Forecast Z Scores'!$A$1:$N$1541,14,FALSE),"Not Enough Data")</f>
        <v>0.39310430439751409</v>
      </c>
      <c r="H1360">
        <v>-4.5387329324294845E-3</v>
      </c>
    </row>
    <row r="1361" spans="1:8" x14ac:dyDescent="0.35">
      <c r="A1361" t="str">
        <f t="shared" si="21"/>
        <v>18097390404_2028</v>
      </c>
      <c r="B1361">
        <v>18097390404</v>
      </c>
      <c r="C1361">
        <v>2028</v>
      </c>
      <c r="E1361">
        <f>-(IF(VLOOKUP(B1361,'2023 Z Scores'!$A$1:$K$309,11,FALSE)&gt;2,VLOOKUP(B1361,'2023 Z Scores'!$A$1:$K$309,10,FALSE)/VLOOKUP(B1361,'2023 Z Scores'!$A$1:$K$309,11,FALSE),"Not Enough data"))</f>
        <v>-0.41026019618137466</v>
      </c>
      <c r="F1361">
        <f>IF(VLOOKUP(A1361,'Delta Z Scores'!$A$1:$N$1541,14,FALSE)&gt;2,VLOOKUP(A1361,'Delta Z Scores'!$A$1:$N$1541,13,FALSE)/VLOOKUP(A1361,'Delta Z Scores'!$A$1:$N$1541,14,FALSE),"Not Enough Data")</f>
        <v>-1.8167360024276671E-2</v>
      </c>
      <c r="G1361">
        <f>IF(VLOOKUP(A1361,'Forecast Z Scores'!$A$1:$N$1541,14,FALSE)&gt;2,VLOOKUP(A1361,'Forecast Z Scores'!$A$1:$N$1541,13,FALSE)/VLOOKUP(A1361,'Forecast Z Scores'!$A$1:$N$1541,14,FALSE),"Not Enough Data")</f>
        <v>0.37571306554900419</v>
      </c>
      <c r="H1361">
        <v>-1.7720462670230946E-2</v>
      </c>
    </row>
    <row r="1362" spans="1:8" x14ac:dyDescent="0.35">
      <c r="A1362" t="str">
        <f t="shared" si="21"/>
        <v>18097390407_2024</v>
      </c>
      <c r="B1362">
        <v>18097390407</v>
      </c>
      <c r="C1362">
        <v>2024</v>
      </c>
      <c r="E1362">
        <f>-(IF(VLOOKUP(B1362,'2023 Z Scores'!$A$1:$K$309,11,FALSE)&gt;2,VLOOKUP(B1362,'2023 Z Scores'!$A$1:$K$309,10,FALSE)/VLOOKUP(B1362,'2023 Z Scores'!$A$1:$K$309,11,FALSE),"Not Enough data"))</f>
        <v>-0.68171416870396784</v>
      </c>
      <c r="F1362">
        <f>IF(VLOOKUP(A1362,'Delta Z Scores'!$A$1:$N$1541,14,FALSE)&gt;2,VLOOKUP(A1362,'Delta Z Scores'!$A$1:$N$1541,13,FALSE)/VLOOKUP(A1362,'Delta Z Scores'!$A$1:$N$1541,14,FALSE),"Not Enough Data")</f>
        <v>-0.30600486591526782</v>
      </c>
      <c r="G1362">
        <f>IF(VLOOKUP(A1362,'Forecast Z Scores'!$A$1:$N$1541,14,FALSE)&gt;2,VLOOKUP(A1362,'Forecast Z Scores'!$A$1:$N$1541,13,FALSE)/VLOOKUP(A1362,'Forecast Z Scores'!$A$1:$N$1541,14,FALSE),"Not Enough Data")</f>
        <v>1.4523199581117912</v>
      </c>
      <c r="H1362">
        <v>3.9649014394321919E-2</v>
      </c>
    </row>
    <row r="1363" spans="1:8" x14ac:dyDescent="0.35">
      <c r="A1363" t="str">
        <f t="shared" si="21"/>
        <v>18097390407_2025</v>
      </c>
      <c r="B1363">
        <v>18097390407</v>
      </c>
      <c r="C1363">
        <v>2025</v>
      </c>
      <c r="E1363">
        <f>-(IF(VLOOKUP(B1363,'2023 Z Scores'!$A$1:$K$309,11,FALSE)&gt;2,VLOOKUP(B1363,'2023 Z Scores'!$A$1:$K$309,10,FALSE)/VLOOKUP(B1363,'2023 Z Scores'!$A$1:$K$309,11,FALSE),"Not Enough data"))</f>
        <v>-0.68171416870396784</v>
      </c>
      <c r="F1363">
        <f>IF(VLOOKUP(A1363,'Delta Z Scores'!$A$1:$N$1541,14,FALSE)&gt;2,VLOOKUP(A1363,'Delta Z Scores'!$A$1:$N$1541,13,FALSE)/VLOOKUP(A1363,'Delta Z Scores'!$A$1:$N$1541,14,FALSE),"Not Enough Data")</f>
        <v>-0.1327368140632216</v>
      </c>
      <c r="G1363">
        <f>IF(VLOOKUP(A1363,'Forecast Z Scores'!$A$1:$N$1541,14,FALSE)&gt;2,VLOOKUP(A1363,'Forecast Z Scores'!$A$1:$N$1541,13,FALSE)/VLOOKUP(A1363,'Forecast Z Scores'!$A$1:$N$1541,14,FALSE),"Not Enough Data")</f>
        <v>1.3871482439379046</v>
      </c>
      <c r="H1363">
        <v>0.1099901117768734</v>
      </c>
    </row>
    <row r="1364" spans="1:8" x14ac:dyDescent="0.35">
      <c r="A1364" t="str">
        <f t="shared" si="21"/>
        <v>18097390407_2026</v>
      </c>
      <c r="B1364">
        <v>18097390407</v>
      </c>
      <c r="C1364">
        <v>2026</v>
      </c>
      <c r="E1364">
        <f>-(IF(VLOOKUP(B1364,'2023 Z Scores'!$A$1:$K$309,11,FALSE)&gt;2,VLOOKUP(B1364,'2023 Z Scores'!$A$1:$K$309,10,FALSE)/VLOOKUP(B1364,'2023 Z Scores'!$A$1:$K$309,11,FALSE),"Not Enough data"))</f>
        <v>-0.68171416870396784</v>
      </c>
      <c r="F1364">
        <f>IF(VLOOKUP(A1364,'Delta Z Scores'!$A$1:$N$1541,14,FALSE)&gt;2,VLOOKUP(A1364,'Delta Z Scores'!$A$1:$N$1541,13,FALSE)/VLOOKUP(A1364,'Delta Z Scores'!$A$1:$N$1541,14,FALSE),"Not Enough Data")</f>
        <v>-0.57269296897125688</v>
      </c>
      <c r="G1364">
        <f>IF(VLOOKUP(A1364,'Forecast Z Scores'!$A$1:$N$1541,14,FALSE)&gt;2,VLOOKUP(A1364,'Forecast Z Scores'!$A$1:$N$1541,13,FALSE)/VLOOKUP(A1364,'Forecast Z Scores'!$A$1:$N$1541,14,FALSE),"Not Enough Data")</f>
        <v>1.2221363222811743</v>
      </c>
      <c r="H1364">
        <v>-0.15124094609132682</v>
      </c>
    </row>
    <row r="1365" spans="1:8" x14ac:dyDescent="0.35">
      <c r="A1365" t="str">
        <f t="shared" si="21"/>
        <v>18097390407_2027</v>
      </c>
      <c r="B1365">
        <v>18097390407</v>
      </c>
      <c r="C1365">
        <v>2027</v>
      </c>
      <c r="E1365">
        <f>-(IF(VLOOKUP(B1365,'2023 Z Scores'!$A$1:$K$309,11,FALSE)&gt;2,VLOOKUP(B1365,'2023 Z Scores'!$A$1:$K$309,10,FALSE)/VLOOKUP(B1365,'2023 Z Scores'!$A$1:$K$309,11,FALSE),"Not Enough data"))</f>
        <v>-0.68171416870396784</v>
      </c>
      <c r="F1365">
        <f>IF(VLOOKUP(A1365,'Delta Z Scores'!$A$1:$N$1541,14,FALSE)&gt;2,VLOOKUP(A1365,'Delta Z Scores'!$A$1:$N$1541,13,FALSE)/VLOOKUP(A1365,'Delta Z Scores'!$A$1:$N$1541,14,FALSE),"Not Enough Data")</f>
        <v>-8.8715456433279605E-2</v>
      </c>
      <c r="G1365">
        <f>IF(VLOOKUP(A1365,'Forecast Z Scores'!$A$1:$N$1541,14,FALSE)&gt;2,VLOOKUP(A1365,'Forecast Z Scores'!$A$1:$N$1541,13,FALSE)/VLOOKUP(A1365,'Forecast Z Scores'!$A$1:$N$1541,14,FALSE),"Not Enough Data")</f>
        <v>1.1482132629775095</v>
      </c>
      <c r="H1365">
        <v>7.2267045351745607E-2</v>
      </c>
    </row>
    <row r="1366" spans="1:8" x14ac:dyDescent="0.35">
      <c r="A1366" t="str">
        <f t="shared" si="21"/>
        <v>18097390407_2028</v>
      </c>
      <c r="B1366">
        <v>18097390407</v>
      </c>
      <c r="C1366">
        <v>2028</v>
      </c>
      <c r="E1366">
        <f>-(IF(VLOOKUP(B1366,'2023 Z Scores'!$A$1:$K$309,11,FALSE)&gt;2,VLOOKUP(B1366,'2023 Z Scores'!$A$1:$K$309,10,FALSE)/VLOOKUP(B1366,'2023 Z Scores'!$A$1:$K$309,11,FALSE),"Not Enough data"))</f>
        <v>-0.68171416870396784</v>
      </c>
      <c r="F1366">
        <f>IF(VLOOKUP(A1366,'Delta Z Scores'!$A$1:$N$1541,14,FALSE)&gt;2,VLOOKUP(A1366,'Delta Z Scores'!$A$1:$N$1541,13,FALSE)/VLOOKUP(A1366,'Delta Z Scores'!$A$1:$N$1541,14,FALSE),"Not Enough Data")</f>
        <v>-0.46415674579056848</v>
      </c>
      <c r="G1366">
        <f>IF(VLOOKUP(A1366,'Forecast Z Scores'!$A$1:$N$1541,14,FALSE)&gt;2,VLOOKUP(A1366,'Forecast Z Scores'!$A$1:$N$1541,13,FALSE)/VLOOKUP(A1366,'Forecast Z Scores'!$A$1:$N$1541,14,FALSE),"Not Enough Data")</f>
        <v>0.99467507162400937</v>
      </c>
      <c r="H1366">
        <v>-0.15383814716527386</v>
      </c>
    </row>
    <row r="1367" spans="1:8" x14ac:dyDescent="0.35">
      <c r="A1367" t="str">
        <f t="shared" si="21"/>
        <v>18097390600_2024</v>
      </c>
      <c r="B1367">
        <v>18097390600</v>
      </c>
      <c r="C1367">
        <v>2024</v>
      </c>
      <c r="E1367">
        <f>-(IF(VLOOKUP(B1367,'2023 Z Scores'!$A$1:$K$309,11,FALSE)&gt;2,VLOOKUP(B1367,'2023 Z Scores'!$A$1:$K$309,10,FALSE)/VLOOKUP(B1367,'2023 Z Scores'!$A$1:$K$309,11,FALSE),"Not Enough data"))</f>
        <v>-0.14587441232374918</v>
      </c>
      <c r="F1367">
        <f>IF(VLOOKUP(A1367,'Delta Z Scores'!$A$1:$N$1541,14,FALSE)&gt;2,VLOOKUP(A1367,'Delta Z Scores'!$A$1:$N$1541,13,FALSE)/VLOOKUP(A1367,'Delta Z Scores'!$A$1:$N$1541,14,FALSE),"Not Enough Data")</f>
        <v>0.44824608172724933</v>
      </c>
      <c r="G1367">
        <f>IF(VLOOKUP(A1367,'Forecast Z Scores'!$A$1:$N$1541,14,FALSE)&gt;2,VLOOKUP(A1367,'Forecast Z Scores'!$A$1:$N$1541,13,FALSE)/VLOOKUP(A1367,'Forecast Z Scores'!$A$1:$N$1541,14,FALSE),"Not Enough Data")</f>
        <v>0.35703127344381624</v>
      </c>
      <c r="H1367">
        <v>0.2769122561436414</v>
      </c>
    </row>
    <row r="1368" spans="1:8" x14ac:dyDescent="0.35">
      <c r="A1368" t="str">
        <f t="shared" si="21"/>
        <v>18097390600_2025</v>
      </c>
      <c r="B1368">
        <v>18097390600</v>
      </c>
      <c r="C1368">
        <v>2025</v>
      </c>
      <c r="E1368">
        <f>-(IF(VLOOKUP(B1368,'2023 Z Scores'!$A$1:$K$309,11,FALSE)&gt;2,VLOOKUP(B1368,'2023 Z Scores'!$A$1:$K$309,10,FALSE)/VLOOKUP(B1368,'2023 Z Scores'!$A$1:$K$309,11,FALSE),"Not Enough data"))</f>
        <v>-0.14587441232374918</v>
      </c>
      <c r="F1368">
        <f>IF(VLOOKUP(A1368,'Delta Z Scores'!$A$1:$N$1541,14,FALSE)&gt;2,VLOOKUP(A1368,'Delta Z Scores'!$A$1:$N$1541,13,FALSE)/VLOOKUP(A1368,'Delta Z Scores'!$A$1:$N$1541,14,FALSE),"Not Enough Data")</f>
        <v>-4.9942465008151318E-2</v>
      </c>
      <c r="G1368">
        <f>IF(VLOOKUP(A1368,'Forecast Z Scores'!$A$1:$N$1541,14,FALSE)&gt;2,VLOOKUP(A1368,'Forecast Z Scores'!$A$1:$N$1541,13,FALSE)/VLOOKUP(A1368,'Forecast Z Scores'!$A$1:$N$1541,14,FALSE),"Not Enough Data")</f>
        <v>0.34592573093803103</v>
      </c>
      <c r="H1368">
        <v>2.5041597149494804E-2</v>
      </c>
    </row>
    <row r="1369" spans="1:8" x14ac:dyDescent="0.35">
      <c r="A1369" t="str">
        <f t="shared" si="21"/>
        <v>18097390600_2026</v>
      </c>
      <c r="B1369">
        <v>18097390600</v>
      </c>
      <c r="C1369">
        <v>2026</v>
      </c>
      <c r="E1369">
        <f>-(IF(VLOOKUP(B1369,'2023 Z Scores'!$A$1:$K$309,11,FALSE)&gt;2,VLOOKUP(B1369,'2023 Z Scores'!$A$1:$K$309,10,FALSE)/VLOOKUP(B1369,'2023 Z Scores'!$A$1:$K$309,11,FALSE),"Not Enough data"))</f>
        <v>-0.14587441232374918</v>
      </c>
      <c r="F1369">
        <f>IF(VLOOKUP(A1369,'Delta Z Scores'!$A$1:$N$1541,14,FALSE)&gt;2,VLOOKUP(A1369,'Delta Z Scores'!$A$1:$N$1541,13,FALSE)/VLOOKUP(A1369,'Delta Z Scores'!$A$1:$N$1541,14,FALSE),"Not Enough Data")</f>
        <v>2.1640339116924368E-2</v>
      </c>
      <c r="G1369">
        <f>IF(VLOOKUP(A1369,'Forecast Z Scores'!$A$1:$N$1541,14,FALSE)&gt;2,VLOOKUP(A1369,'Forecast Z Scores'!$A$1:$N$1541,13,FALSE)/VLOOKUP(A1369,'Forecast Z Scores'!$A$1:$N$1541,14,FALSE),"Not Enough Data")</f>
        <v>0.34161015805419848</v>
      </c>
      <c r="H1369">
        <v>5.9754105991074509E-2</v>
      </c>
    </row>
    <row r="1370" spans="1:8" x14ac:dyDescent="0.35">
      <c r="A1370" t="str">
        <f t="shared" si="21"/>
        <v>18097390600_2027</v>
      </c>
      <c r="B1370">
        <v>18097390600</v>
      </c>
      <c r="C1370">
        <v>2027</v>
      </c>
      <c r="E1370">
        <f>-(IF(VLOOKUP(B1370,'2023 Z Scores'!$A$1:$K$309,11,FALSE)&gt;2,VLOOKUP(B1370,'2023 Z Scores'!$A$1:$K$309,10,FALSE)/VLOOKUP(B1370,'2023 Z Scores'!$A$1:$K$309,11,FALSE),"Not Enough data"))</f>
        <v>-0.14587441232374918</v>
      </c>
      <c r="F1370">
        <f>IF(VLOOKUP(A1370,'Delta Z Scores'!$A$1:$N$1541,14,FALSE)&gt;2,VLOOKUP(A1370,'Delta Z Scores'!$A$1:$N$1541,13,FALSE)/VLOOKUP(A1370,'Delta Z Scores'!$A$1:$N$1541,14,FALSE),"Not Enough Data")</f>
        <v>-1.9876826289790817E-2</v>
      </c>
      <c r="G1370">
        <f>IF(VLOOKUP(A1370,'Forecast Z Scores'!$A$1:$N$1541,14,FALSE)&gt;2,VLOOKUP(A1370,'Forecast Z Scores'!$A$1:$N$1541,13,FALSE)/VLOOKUP(A1370,'Forecast Z Scores'!$A$1:$N$1541,14,FALSE),"Not Enough Data")</f>
        <v>0.32266576031641231</v>
      </c>
      <c r="H1370">
        <v>3.4259423853270375E-2</v>
      </c>
    </row>
    <row r="1371" spans="1:8" x14ac:dyDescent="0.35">
      <c r="A1371" t="str">
        <f t="shared" si="21"/>
        <v>18097390800_2028</v>
      </c>
      <c r="B1371">
        <v>18097390800</v>
      </c>
      <c r="C1371">
        <v>2028</v>
      </c>
      <c r="E1371">
        <f>-(IF(VLOOKUP(B1371,'2023 Z Scores'!$A$1:$K$309,11,FALSE)&gt;2,VLOOKUP(B1371,'2023 Z Scores'!$A$1:$K$309,10,FALSE)/VLOOKUP(B1371,'2023 Z Scores'!$A$1:$K$309,11,FALSE),"Not Enough data"))</f>
        <v>0.53080711476556053</v>
      </c>
      <c r="F1371">
        <f>IF(VLOOKUP(A1371,'Delta Z Scores'!$A$1:$N$1541,14,FALSE)&gt;2,VLOOKUP(A1371,'Delta Z Scores'!$A$1:$N$1541,13,FALSE)/VLOOKUP(A1371,'Delta Z Scores'!$A$1:$N$1541,14,FALSE),"Not Enough Data")</f>
        <v>-0.19100275098892808</v>
      </c>
      <c r="G1371">
        <f>IF(VLOOKUP(A1371,'Forecast Z Scores'!$A$1:$N$1541,14,FALSE)&gt;2,VLOOKUP(A1371,'Forecast Z Scores'!$A$1:$N$1541,13,FALSE)/VLOOKUP(A1371,'Forecast Z Scores'!$A$1:$N$1541,14,FALSE),"Not Enough Data")</f>
        <v>-0.91435491390467705</v>
      </c>
      <c r="H1371">
        <v>-0.19138832527924318</v>
      </c>
    </row>
    <row r="1372" spans="1:8" x14ac:dyDescent="0.35">
      <c r="A1372" t="str">
        <f t="shared" si="21"/>
        <v>18097390800_2024</v>
      </c>
      <c r="B1372">
        <v>18097390800</v>
      </c>
      <c r="C1372">
        <v>2024</v>
      </c>
      <c r="E1372">
        <f>-(IF(VLOOKUP(B1372,'2023 Z Scores'!$A$1:$K$309,11,FALSE)&gt;2,VLOOKUP(B1372,'2023 Z Scores'!$A$1:$K$309,10,FALSE)/VLOOKUP(B1372,'2023 Z Scores'!$A$1:$K$309,11,FALSE),"Not Enough data"))</f>
        <v>0.53080711476556053</v>
      </c>
      <c r="F1372">
        <f>IF(VLOOKUP(A1372,'Delta Z Scores'!$A$1:$N$1541,14,FALSE)&gt;2,VLOOKUP(A1372,'Delta Z Scores'!$A$1:$N$1541,13,FALSE)/VLOOKUP(A1372,'Delta Z Scores'!$A$1:$N$1541,14,FALSE),"Not Enough Data")</f>
        <v>-7.6754270984853185E-2</v>
      </c>
      <c r="G1372">
        <f>IF(VLOOKUP(A1372,'Forecast Z Scores'!$A$1:$N$1541,14,FALSE)&gt;2,VLOOKUP(A1372,'Forecast Z Scores'!$A$1:$N$1541,13,FALSE)/VLOOKUP(A1372,'Forecast Z Scores'!$A$1:$N$1541,14,FALSE),"Not Enough Data")</f>
        <v>-0.66106595413770608</v>
      </c>
      <c r="H1372">
        <v>-7.0941845335462966E-2</v>
      </c>
    </row>
    <row r="1373" spans="1:8" x14ac:dyDescent="0.35">
      <c r="A1373" t="str">
        <f t="shared" si="21"/>
        <v>18097390800_2025</v>
      </c>
      <c r="B1373">
        <v>18097390800</v>
      </c>
      <c r="C1373">
        <v>2025</v>
      </c>
      <c r="E1373">
        <f>-(IF(VLOOKUP(B1373,'2023 Z Scores'!$A$1:$K$309,11,FALSE)&gt;2,VLOOKUP(B1373,'2023 Z Scores'!$A$1:$K$309,10,FALSE)/VLOOKUP(B1373,'2023 Z Scores'!$A$1:$K$309,11,FALSE),"Not Enough data"))</f>
        <v>0.53080711476556053</v>
      </c>
      <c r="F1373">
        <f>IF(VLOOKUP(A1373,'Delta Z Scores'!$A$1:$N$1541,14,FALSE)&gt;2,VLOOKUP(A1373,'Delta Z Scores'!$A$1:$N$1541,13,FALSE)/VLOOKUP(A1373,'Delta Z Scores'!$A$1:$N$1541,14,FALSE),"Not Enough Data")</f>
        <v>-0.55260588586962356</v>
      </c>
      <c r="G1373">
        <f>IF(VLOOKUP(A1373,'Forecast Z Scores'!$A$1:$N$1541,14,FALSE)&gt;2,VLOOKUP(A1373,'Forecast Z Scores'!$A$1:$N$1541,13,FALSE)/VLOOKUP(A1373,'Forecast Z Scores'!$A$1:$N$1541,14,FALSE),"Not Enough Data")</f>
        <v>-0.76378754147777195</v>
      </c>
      <c r="H1373">
        <v>-0.33454804961286466</v>
      </c>
    </row>
    <row r="1374" spans="1:8" x14ac:dyDescent="0.35">
      <c r="A1374" t="str">
        <f t="shared" si="21"/>
        <v>18097390800_2026</v>
      </c>
      <c r="B1374">
        <v>18097390800</v>
      </c>
      <c r="C1374">
        <v>2026</v>
      </c>
      <c r="E1374">
        <f>-(IF(VLOOKUP(B1374,'2023 Z Scores'!$A$1:$K$309,11,FALSE)&gt;2,VLOOKUP(B1374,'2023 Z Scores'!$A$1:$K$309,10,FALSE)/VLOOKUP(B1374,'2023 Z Scores'!$A$1:$K$309,11,FALSE),"Not Enough data"))</f>
        <v>0.53080711476556053</v>
      </c>
      <c r="F1374">
        <f>IF(VLOOKUP(A1374,'Delta Z Scores'!$A$1:$N$1541,14,FALSE)&gt;2,VLOOKUP(A1374,'Delta Z Scores'!$A$1:$N$1541,13,FALSE)/VLOOKUP(A1374,'Delta Z Scores'!$A$1:$N$1541,14,FALSE),"Not Enough Data")</f>
        <v>-0.2940546363167465</v>
      </c>
      <c r="G1374">
        <f>IF(VLOOKUP(A1374,'Forecast Z Scores'!$A$1:$N$1541,14,FALSE)&gt;2,VLOOKUP(A1374,'Forecast Z Scores'!$A$1:$N$1541,13,FALSE)/VLOOKUP(A1374,'Forecast Z Scores'!$A$1:$N$1541,14,FALSE),"Not Enough Data")</f>
        <v>-0.81058174313200371</v>
      </c>
      <c r="H1374">
        <v>-0.21697097524998407</v>
      </c>
    </row>
    <row r="1375" spans="1:8" x14ac:dyDescent="0.35">
      <c r="A1375" t="str">
        <f t="shared" si="21"/>
        <v>18097391000_2027</v>
      </c>
      <c r="B1375">
        <v>18097391000</v>
      </c>
      <c r="C1375">
        <v>2027</v>
      </c>
      <c r="E1375">
        <f>-(IF(VLOOKUP(B1375,'2023 Z Scores'!$A$1:$K$309,11,FALSE)&gt;2,VLOOKUP(B1375,'2023 Z Scores'!$A$1:$K$309,10,FALSE)/VLOOKUP(B1375,'2023 Z Scores'!$A$1:$K$309,11,FALSE),"Not Enough data"))</f>
        <v>-0.69544773232795476</v>
      </c>
      <c r="F1375">
        <f>IF(VLOOKUP(A1375,'Delta Z Scores'!$A$1:$N$1541,14,FALSE)&gt;2,VLOOKUP(A1375,'Delta Z Scores'!$A$1:$N$1541,13,FALSE)/VLOOKUP(A1375,'Delta Z Scores'!$A$1:$N$1541,14,FALSE),"Not Enough Data")</f>
        <v>1.3365743603270051E-2</v>
      </c>
      <c r="G1375">
        <f>IF(VLOOKUP(A1375,'Forecast Z Scores'!$A$1:$N$1541,14,FALSE)&gt;2,VLOOKUP(A1375,'Forecast Z Scores'!$A$1:$N$1541,13,FALSE)/VLOOKUP(A1375,'Forecast Z Scores'!$A$1:$N$1541,14,FALSE),"Not Enough Data")</f>
        <v>0.77514200547183321</v>
      </c>
      <c r="H1375">
        <v>2.6606440087604627E-2</v>
      </c>
    </row>
    <row r="1376" spans="1:8" x14ac:dyDescent="0.35">
      <c r="A1376" t="str">
        <f t="shared" si="21"/>
        <v>18097391000_2028</v>
      </c>
      <c r="B1376">
        <v>18097391000</v>
      </c>
      <c r="C1376">
        <v>2028</v>
      </c>
      <c r="E1376">
        <f>-(IF(VLOOKUP(B1376,'2023 Z Scores'!$A$1:$K$309,11,FALSE)&gt;2,VLOOKUP(B1376,'2023 Z Scores'!$A$1:$K$309,10,FALSE)/VLOOKUP(B1376,'2023 Z Scores'!$A$1:$K$309,11,FALSE),"Not Enough data"))</f>
        <v>-0.69544773232795476</v>
      </c>
      <c r="F1376">
        <f>IF(VLOOKUP(A1376,'Delta Z Scores'!$A$1:$N$1541,14,FALSE)&gt;2,VLOOKUP(A1376,'Delta Z Scores'!$A$1:$N$1541,13,FALSE)/VLOOKUP(A1376,'Delta Z Scores'!$A$1:$N$1541,14,FALSE),"Not Enough Data")</f>
        <v>3.9147230905241831E-2</v>
      </c>
      <c r="G1376">
        <f>IF(VLOOKUP(A1376,'Forecast Z Scores'!$A$1:$N$1541,14,FALSE)&gt;2,VLOOKUP(A1376,'Forecast Z Scores'!$A$1:$N$1541,13,FALSE)/VLOOKUP(A1376,'Forecast Z Scores'!$A$1:$N$1541,14,FALSE),"Not Enough Data")</f>
        <v>0.74852514629808609</v>
      </c>
      <c r="H1376">
        <v>3.2842968945153733E-2</v>
      </c>
    </row>
    <row r="1377" spans="1:8" x14ac:dyDescent="0.35">
      <c r="A1377" t="str">
        <f t="shared" si="21"/>
        <v>18097391000_2024</v>
      </c>
      <c r="B1377">
        <v>18097391000</v>
      </c>
      <c r="C1377">
        <v>2024</v>
      </c>
      <c r="E1377">
        <f>-(IF(VLOOKUP(B1377,'2023 Z Scores'!$A$1:$K$309,11,FALSE)&gt;2,VLOOKUP(B1377,'2023 Z Scores'!$A$1:$K$309,10,FALSE)/VLOOKUP(B1377,'2023 Z Scores'!$A$1:$K$309,11,FALSE),"Not Enough data"))</f>
        <v>-0.69544773232795476</v>
      </c>
      <c r="F1377">
        <f>IF(VLOOKUP(A1377,'Delta Z Scores'!$A$1:$N$1541,14,FALSE)&gt;2,VLOOKUP(A1377,'Delta Z Scores'!$A$1:$N$1541,13,FALSE)/VLOOKUP(A1377,'Delta Z Scores'!$A$1:$N$1541,14,FALSE),"Not Enough Data")</f>
        <v>0.75963152900552033</v>
      </c>
      <c r="G1377">
        <f>IF(VLOOKUP(A1377,'Forecast Z Scores'!$A$1:$N$1541,14,FALSE)&gt;2,VLOOKUP(A1377,'Forecast Z Scores'!$A$1:$N$1541,13,FALSE)/VLOOKUP(A1377,'Forecast Z Scores'!$A$1:$N$1541,14,FALSE),"Not Enough Data")</f>
        <v>0.86361952273628695</v>
      </c>
      <c r="H1377">
        <v>0.42185871210484316</v>
      </c>
    </row>
    <row r="1378" spans="1:8" x14ac:dyDescent="0.35">
      <c r="A1378" t="str">
        <f t="shared" si="21"/>
        <v>18097391000_2025</v>
      </c>
      <c r="B1378">
        <v>18097391000</v>
      </c>
      <c r="C1378">
        <v>2025</v>
      </c>
      <c r="E1378">
        <f>-(IF(VLOOKUP(B1378,'2023 Z Scores'!$A$1:$K$309,11,FALSE)&gt;2,VLOOKUP(B1378,'2023 Z Scores'!$A$1:$K$309,10,FALSE)/VLOOKUP(B1378,'2023 Z Scores'!$A$1:$K$309,11,FALSE),"Not Enough data"))</f>
        <v>-0.69544773232795476</v>
      </c>
      <c r="F1378">
        <f>IF(VLOOKUP(A1378,'Delta Z Scores'!$A$1:$N$1541,14,FALSE)&gt;2,VLOOKUP(A1378,'Delta Z Scores'!$A$1:$N$1541,13,FALSE)/VLOOKUP(A1378,'Delta Z Scores'!$A$1:$N$1541,14,FALSE),"Not Enough Data")</f>
        <v>-1.5493278721970649E-2</v>
      </c>
      <c r="G1378">
        <f>IF(VLOOKUP(A1378,'Forecast Z Scores'!$A$1:$N$1541,14,FALSE)&gt;2,VLOOKUP(A1378,'Forecast Z Scores'!$A$1:$N$1541,13,FALSE)/VLOOKUP(A1378,'Forecast Z Scores'!$A$1:$N$1541,14,FALSE),"Not Enough Data")</f>
        <v>0.83437149471125227</v>
      </c>
      <c r="H1378">
        <v>2.6984301234839053E-2</v>
      </c>
    </row>
    <row r="1379" spans="1:8" x14ac:dyDescent="0.35">
      <c r="A1379" t="str">
        <f t="shared" si="21"/>
        <v>18097310103_2026</v>
      </c>
      <c r="B1379">
        <v>18097310103</v>
      </c>
      <c r="C1379">
        <v>2026</v>
      </c>
      <c r="E1379">
        <f>-(IF(VLOOKUP(B1379,'2023 Z Scores'!$A$1:$K$309,11,FALSE)&gt;2,VLOOKUP(B1379,'2023 Z Scores'!$A$1:$K$309,10,FALSE)/VLOOKUP(B1379,'2023 Z Scores'!$A$1:$K$309,11,FALSE),"Not Enough data"))</f>
        <v>-1.1076819155519979</v>
      </c>
      <c r="F1379">
        <f>IF(VLOOKUP(A1379,'Delta Z Scores'!$A$1:$N$1541,14,FALSE)&gt;2,VLOOKUP(A1379,'Delta Z Scores'!$A$1:$N$1541,13,FALSE)/VLOOKUP(A1379,'Delta Z Scores'!$A$1:$N$1541,14,FALSE),"Not Enough Data")</f>
        <v>-5.5817304097456041E-2</v>
      </c>
      <c r="G1379">
        <f>IF(VLOOKUP(A1379,'Forecast Z Scores'!$A$1:$N$1541,14,FALSE)&gt;2,VLOOKUP(A1379,'Forecast Z Scores'!$A$1:$N$1541,13,FALSE)/VLOOKUP(A1379,'Forecast Z Scores'!$A$1:$N$1541,14,FALSE),"Not Enough Data")</f>
        <v>0.90680834582233572</v>
      </c>
      <c r="H1379">
        <v>-7.8127044481143576E-2</v>
      </c>
    </row>
    <row r="1380" spans="1:8" x14ac:dyDescent="0.35">
      <c r="A1380" t="str">
        <f t="shared" si="21"/>
        <v>18097320204_2027</v>
      </c>
      <c r="B1380">
        <v>18097320204</v>
      </c>
      <c r="C1380">
        <v>2027</v>
      </c>
      <c r="E1380">
        <f>-(IF(VLOOKUP(B1380,'2023 Z Scores'!$A$1:$K$309,11,FALSE)&gt;2,VLOOKUP(B1380,'2023 Z Scores'!$A$1:$K$309,10,FALSE)/VLOOKUP(B1380,'2023 Z Scores'!$A$1:$K$309,11,FALSE),"Not Enough data"))</f>
        <v>0.26821797180767104</v>
      </c>
      <c r="F1380">
        <f>IF(VLOOKUP(A1380,'Delta Z Scores'!$A$1:$N$1541,14,FALSE)&gt;2,VLOOKUP(A1380,'Delta Z Scores'!$A$1:$N$1541,13,FALSE)/VLOOKUP(A1380,'Delta Z Scores'!$A$1:$N$1541,14,FALSE),"Not Enough Data")</f>
        <v>-0.29758630697183663</v>
      </c>
      <c r="G1380">
        <f>IF(VLOOKUP(A1380,'Forecast Z Scores'!$A$1:$N$1541,14,FALSE)&gt;2,VLOOKUP(A1380,'Forecast Z Scores'!$A$1:$N$1541,13,FALSE)/VLOOKUP(A1380,'Forecast Z Scores'!$A$1:$N$1541,14,FALSE),"Not Enough Data")</f>
        <v>-0.29898733010455014</v>
      </c>
      <c r="H1380">
        <v>-0.15648549306013809</v>
      </c>
    </row>
    <row r="1381" spans="1:8" x14ac:dyDescent="0.35">
      <c r="A1381" t="str">
        <f t="shared" si="21"/>
        <v>18097320304_2028</v>
      </c>
      <c r="B1381">
        <v>18097320304</v>
      </c>
      <c r="C1381">
        <v>2028</v>
      </c>
      <c r="E1381">
        <f>-(IF(VLOOKUP(B1381,'2023 Z Scores'!$A$1:$K$309,11,FALSE)&gt;2,VLOOKUP(B1381,'2023 Z Scores'!$A$1:$K$309,10,FALSE)/VLOOKUP(B1381,'2023 Z Scores'!$A$1:$K$309,11,FALSE),"Not Enough data"))</f>
        <v>-0.85816813570513051</v>
      </c>
      <c r="F1381">
        <f>IF(VLOOKUP(A1381,'Delta Z Scores'!$A$1:$N$1541,14,FALSE)&gt;2,VLOOKUP(A1381,'Delta Z Scores'!$A$1:$N$1541,13,FALSE)/VLOOKUP(A1381,'Delta Z Scores'!$A$1:$N$1541,14,FALSE),"Not Enough Data")</f>
        <v>7.8623632436376018E-2</v>
      </c>
      <c r="G1381">
        <f>IF(VLOOKUP(A1381,'Forecast Z Scores'!$A$1:$N$1541,14,FALSE)&gt;2,VLOOKUP(A1381,'Forecast Z Scores'!$A$1:$N$1541,13,FALSE)/VLOOKUP(A1381,'Forecast Z Scores'!$A$1:$N$1541,14,FALSE),"Not Enough Data")</f>
        <v>0.78372732574309334</v>
      </c>
      <c r="H1381">
        <v>2.0701613727678703E-2</v>
      </c>
    </row>
    <row r="1382" spans="1:8" x14ac:dyDescent="0.35">
      <c r="A1382" t="str">
        <f t="shared" si="21"/>
        <v>18097322600_2024</v>
      </c>
      <c r="B1382">
        <v>18097322600</v>
      </c>
      <c r="C1382">
        <v>2024</v>
      </c>
      <c r="E1382">
        <f>-(IF(VLOOKUP(B1382,'2023 Z Scores'!$A$1:$K$309,11,FALSE)&gt;2,VLOOKUP(B1382,'2023 Z Scores'!$A$1:$K$309,10,FALSE)/VLOOKUP(B1382,'2023 Z Scores'!$A$1:$K$309,11,FALSE),"Not Enough data"))</f>
        <v>1.186335425564206</v>
      </c>
      <c r="F1382">
        <f>IF(VLOOKUP(A1382,'Delta Z Scores'!$A$1:$N$1541,14,FALSE)&gt;2,VLOOKUP(A1382,'Delta Z Scores'!$A$1:$N$1541,13,FALSE)/VLOOKUP(A1382,'Delta Z Scores'!$A$1:$N$1541,14,FALSE),"Not Enough Data")</f>
        <v>0.72913827611258852</v>
      </c>
      <c r="G1382">
        <f>IF(VLOOKUP(A1382,'Forecast Z Scores'!$A$1:$N$1541,14,FALSE)&gt;2,VLOOKUP(A1382,'Forecast Z Scores'!$A$1:$N$1541,13,FALSE)/VLOOKUP(A1382,'Forecast Z Scores'!$A$1:$N$1541,14,FALSE),"Not Enough Data")</f>
        <v>-0.85271254040457445</v>
      </c>
      <c r="H1382">
        <v>0.44797485934620218</v>
      </c>
    </row>
    <row r="1383" spans="1:8" x14ac:dyDescent="0.35">
      <c r="A1383" t="str">
        <f t="shared" si="21"/>
        <v>18097330202_2025</v>
      </c>
      <c r="B1383">
        <v>18097330202</v>
      </c>
      <c r="C1383">
        <v>2025</v>
      </c>
      <c r="E1383">
        <f>-(IF(VLOOKUP(B1383,'2023 Z Scores'!$A$1:$K$309,11,FALSE)&gt;2,VLOOKUP(B1383,'2023 Z Scores'!$A$1:$K$309,10,FALSE)/VLOOKUP(B1383,'2023 Z Scores'!$A$1:$K$309,11,FALSE),"Not Enough data"))</f>
        <v>0.8651662941933459</v>
      </c>
      <c r="F1383">
        <f>IF(VLOOKUP(A1383,'Delta Z Scores'!$A$1:$N$1541,14,FALSE)&gt;2,VLOOKUP(A1383,'Delta Z Scores'!$A$1:$N$1541,13,FALSE)/VLOOKUP(A1383,'Delta Z Scores'!$A$1:$N$1541,14,FALSE),"Not Enough Data")</f>
        <v>-0.31443218231917991</v>
      </c>
      <c r="G1383">
        <f>IF(VLOOKUP(A1383,'Forecast Z Scores'!$A$1:$N$1541,14,FALSE)&gt;2,VLOOKUP(A1383,'Forecast Z Scores'!$A$1:$N$1541,13,FALSE)/VLOOKUP(A1383,'Forecast Z Scores'!$A$1:$N$1541,14,FALSE),"Not Enough Data")</f>
        <v>-0.440047935280939</v>
      </c>
      <c r="H1383">
        <v>-5.0936501431488229E-2</v>
      </c>
    </row>
    <row r="1384" spans="1:8" x14ac:dyDescent="0.35">
      <c r="A1384" t="str">
        <f t="shared" si="21"/>
        <v>18097330202_2026</v>
      </c>
      <c r="B1384">
        <v>18097330202</v>
      </c>
      <c r="C1384">
        <v>2026</v>
      </c>
      <c r="E1384">
        <f>-(IF(VLOOKUP(B1384,'2023 Z Scores'!$A$1:$K$309,11,FALSE)&gt;2,VLOOKUP(B1384,'2023 Z Scores'!$A$1:$K$309,10,FALSE)/VLOOKUP(B1384,'2023 Z Scores'!$A$1:$K$309,11,FALSE),"Not Enough data"))</f>
        <v>0.8651662941933459</v>
      </c>
      <c r="F1384">
        <f>IF(VLOOKUP(A1384,'Delta Z Scores'!$A$1:$N$1541,14,FALSE)&gt;2,VLOOKUP(A1384,'Delta Z Scores'!$A$1:$N$1541,13,FALSE)/VLOOKUP(A1384,'Delta Z Scores'!$A$1:$N$1541,14,FALSE),"Not Enough Data")</f>
        <v>-0.22437333717174501</v>
      </c>
      <c r="G1384">
        <f>IF(VLOOKUP(A1384,'Forecast Z Scores'!$A$1:$N$1541,14,FALSE)&gt;2,VLOOKUP(A1384,'Forecast Z Scores'!$A$1:$N$1541,13,FALSE)/VLOOKUP(A1384,'Forecast Z Scores'!$A$1:$N$1541,14,FALSE),"Not Enough Data")</f>
        <v>-0.44149836209727478</v>
      </c>
      <c r="H1384">
        <v>-6.2696855618547265E-3</v>
      </c>
    </row>
    <row r="1385" spans="1:8" x14ac:dyDescent="0.35">
      <c r="A1385" t="str">
        <f t="shared" si="21"/>
        <v>18097330202_2027</v>
      </c>
      <c r="B1385">
        <v>18097330202</v>
      </c>
      <c r="C1385">
        <v>2027</v>
      </c>
      <c r="E1385">
        <f>-(IF(VLOOKUP(B1385,'2023 Z Scores'!$A$1:$K$309,11,FALSE)&gt;2,VLOOKUP(B1385,'2023 Z Scores'!$A$1:$K$309,10,FALSE)/VLOOKUP(B1385,'2023 Z Scores'!$A$1:$K$309,11,FALSE),"Not Enough data"))</f>
        <v>0.8651662941933459</v>
      </c>
      <c r="F1385">
        <f>IF(VLOOKUP(A1385,'Delta Z Scores'!$A$1:$N$1541,14,FALSE)&gt;2,VLOOKUP(A1385,'Delta Z Scores'!$A$1:$N$1541,13,FALSE)/VLOOKUP(A1385,'Delta Z Scores'!$A$1:$N$1541,14,FALSE),"Not Enough Data")</f>
        <v>-0.33810623341837032</v>
      </c>
      <c r="G1385">
        <f>IF(VLOOKUP(A1385,'Forecast Z Scores'!$A$1:$N$1541,14,FALSE)&gt;2,VLOOKUP(A1385,'Forecast Z Scores'!$A$1:$N$1541,13,FALSE)/VLOOKUP(A1385,'Forecast Z Scores'!$A$1:$N$1541,14,FALSE),"Not Enough Data")</f>
        <v>-0.45283177789280771</v>
      </c>
      <c r="H1385">
        <v>-6.5969487634050611E-2</v>
      </c>
    </row>
    <row r="1386" spans="1:8" x14ac:dyDescent="0.35">
      <c r="A1386" t="str">
        <f t="shared" si="21"/>
        <v>18097330202_2028</v>
      </c>
      <c r="B1386">
        <v>18097330202</v>
      </c>
      <c r="C1386">
        <v>2028</v>
      </c>
      <c r="E1386">
        <f>-(IF(VLOOKUP(B1386,'2023 Z Scores'!$A$1:$K$309,11,FALSE)&gt;2,VLOOKUP(B1386,'2023 Z Scores'!$A$1:$K$309,10,FALSE)/VLOOKUP(B1386,'2023 Z Scores'!$A$1:$K$309,11,FALSE),"Not Enough data"))</f>
        <v>0.8651662941933459</v>
      </c>
      <c r="F1386">
        <f>IF(VLOOKUP(A1386,'Delta Z Scores'!$A$1:$N$1541,14,FALSE)&gt;2,VLOOKUP(A1386,'Delta Z Scores'!$A$1:$N$1541,13,FALSE)/VLOOKUP(A1386,'Delta Z Scores'!$A$1:$N$1541,14,FALSE),"Not Enough Data")</f>
        <v>-0.28599632184801166</v>
      </c>
      <c r="G1386">
        <f>IF(VLOOKUP(A1386,'Forecast Z Scores'!$A$1:$N$1541,14,FALSE)&gt;2,VLOOKUP(A1386,'Forecast Z Scores'!$A$1:$N$1541,13,FALSE)/VLOOKUP(A1386,'Forecast Z Scores'!$A$1:$N$1541,14,FALSE),"Not Enough Data")</f>
        <v>-0.44958919290244914</v>
      </c>
      <c r="H1386">
        <v>-3.9103885601281668E-2</v>
      </c>
    </row>
    <row r="1387" spans="1:8" x14ac:dyDescent="0.35">
      <c r="A1387" t="str">
        <f t="shared" si="21"/>
        <v>18097330202_2024</v>
      </c>
      <c r="B1387">
        <v>18097330202</v>
      </c>
      <c r="C1387">
        <v>2024</v>
      </c>
      <c r="E1387">
        <f>-(IF(VLOOKUP(B1387,'2023 Z Scores'!$A$1:$K$309,11,FALSE)&gt;2,VLOOKUP(B1387,'2023 Z Scores'!$A$1:$K$309,10,FALSE)/VLOOKUP(B1387,'2023 Z Scores'!$A$1:$K$309,11,FALSE),"Not Enough data"))</f>
        <v>0.8651662941933459</v>
      </c>
      <c r="F1387">
        <f>IF(VLOOKUP(A1387,'Delta Z Scores'!$A$1:$N$1541,14,FALSE)&gt;2,VLOOKUP(A1387,'Delta Z Scores'!$A$1:$N$1541,13,FALSE)/VLOOKUP(A1387,'Delta Z Scores'!$A$1:$N$1541,14,FALSE),"Not Enough Data")</f>
        <v>0.15038290009230157</v>
      </c>
      <c r="G1387">
        <f>IF(VLOOKUP(A1387,'Forecast Z Scores'!$A$1:$N$1541,14,FALSE)&gt;2,VLOOKUP(A1387,'Forecast Z Scores'!$A$1:$N$1541,13,FALSE)/VLOOKUP(A1387,'Forecast Z Scores'!$A$1:$N$1541,14,FALSE),"Not Enough Data")</f>
        <v>-0.41703729571006698</v>
      </c>
      <c r="H1387">
        <v>0.1872236996669705</v>
      </c>
    </row>
    <row r="1388" spans="1:8" x14ac:dyDescent="0.35">
      <c r="A1388" t="str">
        <f t="shared" si="21"/>
        <v>18097330209_2025</v>
      </c>
      <c r="B1388">
        <v>18097330209</v>
      </c>
      <c r="C1388">
        <v>2025</v>
      </c>
      <c r="E1388">
        <f>-(IF(VLOOKUP(B1388,'2023 Z Scores'!$A$1:$K$309,11,FALSE)&gt;2,VLOOKUP(B1388,'2023 Z Scores'!$A$1:$K$309,10,FALSE)/VLOOKUP(B1388,'2023 Z Scores'!$A$1:$K$309,11,FALSE),"Not Enough data"))</f>
        <v>-0.49822995352169597</v>
      </c>
      <c r="F1388">
        <f>IF(VLOOKUP(A1388,'Delta Z Scores'!$A$1:$N$1541,14,FALSE)&gt;2,VLOOKUP(A1388,'Delta Z Scores'!$A$1:$N$1541,13,FALSE)/VLOOKUP(A1388,'Delta Z Scores'!$A$1:$N$1541,14,FALSE),"Not Enough Data")</f>
        <v>-0.18903878614396774</v>
      </c>
      <c r="G1388">
        <f>IF(VLOOKUP(A1388,'Forecast Z Scores'!$A$1:$N$1541,14,FALSE)&gt;2,VLOOKUP(A1388,'Forecast Z Scores'!$A$1:$N$1541,13,FALSE)/VLOOKUP(A1388,'Forecast Z Scores'!$A$1:$N$1541,14,FALSE),"Not Enough Data")</f>
        <v>0.28884708776511964</v>
      </c>
      <c r="H1388">
        <v>-0.14686510951112797</v>
      </c>
    </row>
    <row r="1389" spans="1:8" x14ac:dyDescent="0.35">
      <c r="A1389" t="str">
        <f t="shared" si="21"/>
        <v>18097330700_2026</v>
      </c>
      <c r="B1389">
        <v>18097330700</v>
      </c>
      <c r="C1389">
        <v>2026</v>
      </c>
      <c r="E1389">
        <f>-(IF(VLOOKUP(B1389,'2023 Z Scores'!$A$1:$K$309,11,FALSE)&gt;2,VLOOKUP(B1389,'2023 Z Scores'!$A$1:$K$309,10,FALSE)/VLOOKUP(B1389,'2023 Z Scores'!$A$1:$K$309,11,FALSE),"Not Enough data"))</f>
        <v>2.4402048866951343E-2</v>
      </c>
      <c r="F1389">
        <f>IF(VLOOKUP(A1389,'Delta Z Scores'!$A$1:$N$1541,14,FALSE)&gt;2,VLOOKUP(A1389,'Delta Z Scores'!$A$1:$N$1541,13,FALSE)/VLOOKUP(A1389,'Delta Z Scores'!$A$1:$N$1541,14,FALSE),"Not Enough Data")</f>
        <v>0.32014436469330698</v>
      </c>
      <c r="G1389">
        <f>IF(VLOOKUP(A1389,'Forecast Z Scores'!$A$1:$N$1541,14,FALSE)&gt;2,VLOOKUP(A1389,'Forecast Z Scores'!$A$1:$N$1541,13,FALSE)/VLOOKUP(A1389,'Forecast Z Scores'!$A$1:$N$1541,14,FALSE),"Not Enough Data")</f>
        <v>0.67660481618446722</v>
      </c>
      <c r="H1389">
        <v>0.33532389860950812</v>
      </c>
    </row>
    <row r="1390" spans="1:8" x14ac:dyDescent="0.35">
      <c r="A1390" t="str">
        <f t="shared" si="21"/>
        <v>18097340109_2027</v>
      </c>
      <c r="B1390">
        <v>18097340109</v>
      </c>
      <c r="C1390">
        <v>2027</v>
      </c>
      <c r="E1390">
        <f>-(IF(VLOOKUP(B1390,'2023 Z Scores'!$A$1:$K$309,11,FALSE)&gt;2,VLOOKUP(B1390,'2023 Z Scores'!$A$1:$K$309,10,FALSE)/VLOOKUP(B1390,'2023 Z Scores'!$A$1:$K$309,11,FALSE),"Not Enough data"))</f>
        <v>0.63271825393598158</v>
      </c>
      <c r="F1390">
        <f>IF(VLOOKUP(A1390,'Delta Z Scores'!$A$1:$N$1541,14,FALSE)&gt;2,VLOOKUP(A1390,'Delta Z Scores'!$A$1:$N$1541,13,FALSE)/VLOOKUP(A1390,'Delta Z Scores'!$A$1:$N$1541,14,FALSE),"Not Enough Data")</f>
        <v>-0.2875214486327286</v>
      </c>
      <c r="G1390">
        <f>IF(VLOOKUP(A1390,'Forecast Z Scores'!$A$1:$N$1541,14,FALSE)&gt;2,VLOOKUP(A1390,'Forecast Z Scores'!$A$1:$N$1541,13,FALSE)/VLOOKUP(A1390,'Forecast Z Scores'!$A$1:$N$1541,14,FALSE),"Not Enough Data")</f>
        <v>-0.68226852507410418</v>
      </c>
      <c r="H1390">
        <v>-0.15614829210089495</v>
      </c>
    </row>
    <row r="1391" spans="1:8" x14ac:dyDescent="0.35">
      <c r="A1391" t="str">
        <f t="shared" si="21"/>
        <v>18097340110_2028</v>
      </c>
      <c r="B1391">
        <v>18097340110</v>
      </c>
      <c r="C1391">
        <v>2028</v>
      </c>
      <c r="E1391">
        <f>-(IF(VLOOKUP(B1391,'2023 Z Scores'!$A$1:$K$309,11,FALSE)&gt;2,VLOOKUP(B1391,'2023 Z Scores'!$A$1:$K$309,10,FALSE)/VLOOKUP(B1391,'2023 Z Scores'!$A$1:$K$309,11,FALSE),"Not Enough data"))</f>
        <v>0.47427824663566709</v>
      </c>
      <c r="F1391">
        <f>IF(VLOOKUP(A1391,'Delta Z Scores'!$A$1:$N$1541,14,FALSE)&gt;2,VLOOKUP(A1391,'Delta Z Scores'!$A$1:$N$1541,13,FALSE)/VLOOKUP(A1391,'Delta Z Scores'!$A$1:$N$1541,14,FALSE),"Not Enough Data")</f>
        <v>9.7068574529656684E-2</v>
      </c>
      <c r="G1391">
        <f>IF(VLOOKUP(A1391,'Forecast Z Scores'!$A$1:$N$1541,14,FALSE)&gt;2,VLOOKUP(A1391,'Forecast Z Scores'!$A$1:$N$1541,13,FALSE)/VLOOKUP(A1391,'Forecast Z Scores'!$A$1:$N$1541,14,FALSE),"Not Enough Data")</f>
        <v>0.53265430050988638</v>
      </c>
      <c r="H1391">
        <v>0.3002674240512167</v>
      </c>
    </row>
    <row r="1392" spans="1:8" x14ac:dyDescent="0.35">
      <c r="A1392" t="str">
        <f t="shared" si="21"/>
        <v>18097340110_2024</v>
      </c>
      <c r="B1392">
        <v>18097340110</v>
      </c>
      <c r="C1392">
        <v>2024</v>
      </c>
      <c r="E1392">
        <f>-(IF(VLOOKUP(B1392,'2023 Z Scores'!$A$1:$K$309,11,FALSE)&gt;2,VLOOKUP(B1392,'2023 Z Scores'!$A$1:$K$309,10,FALSE)/VLOOKUP(B1392,'2023 Z Scores'!$A$1:$K$309,11,FALSE),"Not Enough data"))</f>
        <v>0.47427824663566709</v>
      </c>
      <c r="F1392">
        <f>IF(VLOOKUP(A1392,'Delta Z Scores'!$A$1:$N$1541,14,FALSE)&gt;2,VLOOKUP(A1392,'Delta Z Scores'!$A$1:$N$1541,13,FALSE)/VLOOKUP(A1392,'Delta Z Scores'!$A$1:$N$1541,14,FALSE),"Not Enough Data")</f>
        <v>0.62668519336754269</v>
      </c>
      <c r="G1392">
        <f>IF(VLOOKUP(A1392,'Forecast Z Scores'!$A$1:$N$1541,14,FALSE)&gt;2,VLOOKUP(A1392,'Forecast Z Scores'!$A$1:$N$1541,13,FALSE)/VLOOKUP(A1392,'Forecast Z Scores'!$A$1:$N$1541,14,FALSE),"Not Enough Data")</f>
        <v>0.58597698544631505</v>
      </c>
      <c r="H1392">
        <v>0.57840640470426685</v>
      </c>
    </row>
    <row r="1393" spans="1:8" x14ac:dyDescent="0.35">
      <c r="A1393" t="str">
        <f t="shared" si="21"/>
        <v>18097340110_2025</v>
      </c>
      <c r="B1393">
        <v>18097340110</v>
      </c>
      <c r="C1393">
        <v>2025</v>
      </c>
      <c r="E1393">
        <f>-(IF(VLOOKUP(B1393,'2023 Z Scores'!$A$1:$K$309,11,FALSE)&gt;2,VLOOKUP(B1393,'2023 Z Scores'!$A$1:$K$309,10,FALSE)/VLOOKUP(B1393,'2023 Z Scores'!$A$1:$K$309,11,FALSE),"Not Enough data"))</f>
        <v>0.47427824663566709</v>
      </c>
      <c r="F1393">
        <f>IF(VLOOKUP(A1393,'Delta Z Scores'!$A$1:$N$1541,14,FALSE)&gt;2,VLOOKUP(A1393,'Delta Z Scores'!$A$1:$N$1541,13,FALSE)/VLOOKUP(A1393,'Delta Z Scores'!$A$1:$N$1541,14,FALSE),"Not Enough Data")</f>
        <v>-0.1114821014925455</v>
      </c>
      <c r="G1393">
        <f>IF(VLOOKUP(A1393,'Forecast Z Scores'!$A$1:$N$1541,14,FALSE)&gt;2,VLOOKUP(A1393,'Forecast Z Scores'!$A$1:$N$1541,13,FALSE)/VLOOKUP(A1393,'Forecast Z Scores'!$A$1:$N$1541,14,FALSE),"Not Enough Data")</f>
        <v>0.57888814505647213</v>
      </c>
      <c r="H1393">
        <v>0.20755054717676205</v>
      </c>
    </row>
    <row r="1394" spans="1:8" x14ac:dyDescent="0.35">
      <c r="A1394" t="str">
        <f t="shared" si="21"/>
        <v>18097340110_2026</v>
      </c>
      <c r="B1394">
        <v>18097340110</v>
      </c>
      <c r="C1394">
        <v>2026</v>
      </c>
      <c r="E1394">
        <f>-(IF(VLOOKUP(B1394,'2023 Z Scores'!$A$1:$K$309,11,FALSE)&gt;2,VLOOKUP(B1394,'2023 Z Scores'!$A$1:$K$309,10,FALSE)/VLOOKUP(B1394,'2023 Z Scores'!$A$1:$K$309,11,FALSE),"Not Enough data"))</f>
        <v>0.47427824663566709</v>
      </c>
      <c r="F1394">
        <f>IF(VLOOKUP(A1394,'Delta Z Scores'!$A$1:$N$1541,14,FALSE)&gt;2,VLOOKUP(A1394,'Delta Z Scores'!$A$1:$N$1541,13,FALSE)/VLOOKUP(A1394,'Delta Z Scores'!$A$1:$N$1541,14,FALSE),"Not Enough Data")</f>
        <v>0.14696043910370707</v>
      </c>
      <c r="G1394">
        <f>IF(VLOOKUP(A1394,'Forecast Z Scores'!$A$1:$N$1541,14,FALSE)&gt;2,VLOOKUP(A1394,'Forecast Z Scores'!$A$1:$N$1541,13,FALSE)/VLOOKUP(A1394,'Forecast Z Scores'!$A$1:$N$1541,14,FALSE),"Not Enough Data")</f>
        <v>0.57586379831445045</v>
      </c>
      <c r="H1394">
        <v>0.33601573078938296</v>
      </c>
    </row>
    <row r="1395" spans="1:8" x14ac:dyDescent="0.35">
      <c r="A1395" t="str">
        <f t="shared" si="21"/>
        <v>18097340110_2027</v>
      </c>
      <c r="B1395">
        <v>18097340110</v>
      </c>
      <c r="C1395">
        <v>2027</v>
      </c>
      <c r="E1395">
        <f>-(IF(VLOOKUP(B1395,'2023 Z Scores'!$A$1:$K$309,11,FALSE)&gt;2,VLOOKUP(B1395,'2023 Z Scores'!$A$1:$K$309,10,FALSE)/VLOOKUP(B1395,'2023 Z Scores'!$A$1:$K$309,11,FALSE),"Not Enough data"))</f>
        <v>0.47427824663566709</v>
      </c>
      <c r="F1395">
        <f>IF(VLOOKUP(A1395,'Delta Z Scores'!$A$1:$N$1541,14,FALSE)&gt;2,VLOOKUP(A1395,'Delta Z Scores'!$A$1:$N$1541,13,FALSE)/VLOOKUP(A1395,'Delta Z Scores'!$A$1:$N$1541,14,FALSE),"Not Enough Data")</f>
        <v>-0.13605865068991924</v>
      </c>
      <c r="G1395">
        <f>IF(VLOOKUP(A1395,'Forecast Z Scores'!$A$1:$N$1541,14,FALSE)&gt;2,VLOOKUP(A1395,'Forecast Z Scores'!$A$1:$N$1541,13,FALSE)/VLOOKUP(A1395,'Forecast Z Scores'!$A$1:$N$1541,14,FALSE),"Not Enough Data")</f>
        <v>0.54016498000717361</v>
      </c>
      <c r="H1395">
        <v>0.18558148131575056</v>
      </c>
    </row>
    <row r="1396" spans="1:8" x14ac:dyDescent="0.35">
      <c r="A1396" t="str">
        <f t="shared" si="21"/>
        <v>18097340300_2028</v>
      </c>
      <c r="B1396">
        <v>18097340300</v>
      </c>
      <c r="C1396">
        <v>2028</v>
      </c>
      <c r="E1396">
        <f>-(IF(VLOOKUP(B1396,'2023 Z Scores'!$A$1:$K$309,11,FALSE)&gt;2,VLOOKUP(B1396,'2023 Z Scores'!$A$1:$K$309,10,FALSE)/VLOOKUP(B1396,'2023 Z Scores'!$A$1:$K$309,11,FALSE),"Not Enough data"))</f>
        <v>0.30714171157904502</v>
      </c>
      <c r="F1396">
        <f>IF(VLOOKUP(A1396,'Delta Z Scores'!$A$1:$N$1541,14,FALSE)&gt;2,VLOOKUP(A1396,'Delta Z Scores'!$A$1:$N$1541,13,FALSE)/VLOOKUP(A1396,'Delta Z Scores'!$A$1:$N$1541,14,FALSE),"Not Enough Data")</f>
        <v>-1.2671860602006078</v>
      </c>
      <c r="G1396">
        <f>IF(VLOOKUP(A1396,'Forecast Z Scores'!$A$1:$N$1541,14,FALSE)&gt;2,VLOOKUP(A1396,'Forecast Z Scores'!$A$1:$N$1541,13,FALSE)/VLOOKUP(A1396,'Forecast Z Scores'!$A$1:$N$1541,14,FALSE),"Not Enough Data")</f>
        <v>-0.29558645616962104</v>
      </c>
      <c r="H1396">
        <v>-0.63070421624794781</v>
      </c>
    </row>
    <row r="1397" spans="1:8" x14ac:dyDescent="0.35">
      <c r="A1397" t="str">
        <f t="shared" si="21"/>
        <v>18097340902_2024</v>
      </c>
      <c r="B1397">
        <v>18097340902</v>
      </c>
      <c r="C1397">
        <v>2024</v>
      </c>
      <c r="E1397">
        <f>-(IF(VLOOKUP(B1397,'2023 Z Scores'!$A$1:$K$309,11,FALSE)&gt;2,VLOOKUP(B1397,'2023 Z Scores'!$A$1:$K$309,10,FALSE)/VLOOKUP(B1397,'2023 Z Scores'!$A$1:$K$309,11,FALSE),"Not Enough data"))</f>
        <v>1.2560412318077429E-2</v>
      </c>
      <c r="F1397">
        <f>IF(VLOOKUP(A1397,'Delta Z Scores'!$A$1:$N$1541,14,FALSE)&gt;2,VLOOKUP(A1397,'Delta Z Scores'!$A$1:$N$1541,13,FALSE)/VLOOKUP(A1397,'Delta Z Scores'!$A$1:$N$1541,14,FALSE),"Not Enough Data")</f>
        <v>9.9055384864202456E-2</v>
      </c>
      <c r="G1397">
        <f>IF(VLOOKUP(A1397,'Forecast Z Scores'!$A$1:$N$1541,14,FALSE)&gt;2,VLOOKUP(A1397,'Forecast Z Scores'!$A$1:$N$1541,13,FALSE)/VLOOKUP(A1397,'Forecast Z Scores'!$A$1:$N$1541,14,FALSE),"Not Enough Data")</f>
        <v>-8.4086204359173577E-2</v>
      </c>
      <c r="H1397">
        <v>3.1646244421827188E-2</v>
      </c>
    </row>
    <row r="1398" spans="1:8" x14ac:dyDescent="0.35">
      <c r="A1398" t="str">
        <f t="shared" si="21"/>
        <v>18097341700_2025</v>
      </c>
      <c r="B1398">
        <v>18097341700</v>
      </c>
      <c r="C1398">
        <v>2025</v>
      </c>
      <c r="E1398">
        <f>-(IF(VLOOKUP(B1398,'2023 Z Scores'!$A$1:$K$309,11,FALSE)&gt;2,VLOOKUP(B1398,'2023 Z Scores'!$A$1:$K$309,10,FALSE)/VLOOKUP(B1398,'2023 Z Scores'!$A$1:$K$309,11,FALSE),"Not Enough data"))</f>
        <v>0.56709223237530981</v>
      </c>
      <c r="F1398">
        <f>IF(VLOOKUP(A1398,'Delta Z Scores'!$A$1:$N$1541,14,FALSE)&gt;2,VLOOKUP(A1398,'Delta Z Scores'!$A$1:$N$1541,13,FALSE)/VLOOKUP(A1398,'Delta Z Scores'!$A$1:$N$1541,14,FALSE),"Not Enough Data")</f>
        <v>-0.5940543439946413</v>
      </c>
      <c r="G1398">
        <f>IF(VLOOKUP(A1398,'Forecast Z Scores'!$A$1:$N$1541,14,FALSE)&gt;2,VLOOKUP(A1398,'Forecast Z Scores'!$A$1:$N$1541,13,FALSE)/VLOOKUP(A1398,'Forecast Z Scores'!$A$1:$N$1541,14,FALSE),"Not Enough Data")</f>
        <v>-0.29599040009033972</v>
      </c>
      <c r="H1398">
        <v>-0.22925171392607813</v>
      </c>
    </row>
    <row r="1399" spans="1:8" x14ac:dyDescent="0.35">
      <c r="A1399" t="str">
        <f t="shared" si="21"/>
        <v>18097354200_2026</v>
      </c>
      <c r="B1399">
        <v>18097354200</v>
      </c>
      <c r="C1399">
        <v>2026</v>
      </c>
      <c r="E1399">
        <f>-(IF(VLOOKUP(B1399,'2023 Z Scores'!$A$1:$K$309,11,FALSE)&gt;2,VLOOKUP(B1399,'2023 Z Scores'!$A$1:$K$309,10,FALSE)/VLOOKUP(B1399,'2023 Z Scores'!$A$1:$K$309,11,FALSE),"Not Enough data"))</f>
        <v>-0.49440206706606649</v>
      </c>
      <c r="F1399">
        <f>IF(VLOOKUP(A1399,'Delta Z Scores'!$A$1:$N$1541,14,FALSE)&gt;2,VLOOKUP(A1399,'Delta Z Scores'!$A$1:$N$1541,13,FALSE)/VLOOKUP(A1399,'Delta Z Scores'!$A$1:$N$1541,14,FALSE),"Not Enough Data")</f>
        <v>-1.9994930079000921E-2</v>
      </c>
      <c r="G1399">
        <f>IF(VLOOKUP(A1399,'Forecast Z Scores'!$A$1:$N$1541,14,FALSE)&gt;2,VLOOKUP(A1399,'Forecast Z Scores'!$A$1:$N$1541,13,FALSE)/VLOOKUP(A1399,'Forecast Z Scores'!$A$1:$N$1541,14,FALSE),"Not Enough Data")</f>
        <v>0.55829828369099499</v>
      </c>
      <c r="H1399">
        <v>5.9765891167316565E-3</v>
      </c>
    </row>
    <row r="1400" spans="1:8" x14ac:dyDescent="0.35">
      <c r="A1400" t="str">
        <f t="shared" si="21"/>
        <v>18097357600_2027</v>
      </c>
      <c r="B1400">
        <v>18097357600</v>
      </c>
      <c r="C1400">
        <v>2027</v>
      </c>
      <c r="E1400">
        <f>-(IF(VLOOKUP(B1400,'2023 Z Scores'!$A$1:$K$309,11,FALSE)&gt;2,VLOOKUP(B1400,'2023 Z Scores'!$A$1:$K$309,10,FALSE)/VLOOKUP(B1400,'2023 Z Scores'!$A$1:$K$309,11,FALSE),"Not Enough data"))</f>
        <v>0.84371506250994555</v>
      </c>
      <c r="F1400">
        <f>IF(VLOOKUP(A1400,'Delta Z Scores'!$A$1:$N$1541,14,FALSE)&gt;2,VLOOKUP(A1400,'Delta Z Scores'!$A$1:$N$1541,13,FALSE)/VLOOKUP(A1400,'Delta Z Scores'!$A$1:$N$1541,14,FALSE),"Not Enough Data")</f>
        <v>-0.17635786019493946</v>
      </c>
      <c r="G1400">
        <f>IF(VLOOKUP(A1400,'Forecast Z Scores'!$A$1:$N$1541,14,FALSE)&gt;2,VLOOKUP(A1400,'Forecast Z Scores'!$A$1:$N$1541,13,FALSE)/VLOOKUP(A1400,'Forecast Z Scores'!$A$1:$N$1541,14,FALSE),"Not Enough Data")</f>
        <v>-0.40923556167263331</v>
      </c>
      <c r="H1400">
        <v>2.0440945111858316E-2</v>
      </c>
    </row>
    <row r="1401" spans="1:8" x14ac:dyDescent="0.35">
      <c r="A1401" t="str">
        <f t="shared" si="21"/>
        <v>18097360404_2028</v>
      </c>
      <c r="B1401">
        <v>18097360404</v>
      </c>
      <c r="C1401">
        <v>2028</v>
      </c>
      <c r="E1401">
        <f>-(IF(VLOOKUP(B1401,'2023 Z Scores'!$A$1:$K$309,11,FALSE)&gt;2,VLOOKUP(B1401,'2023 Z Scores'!$A$1:$K$309,10,FALSE)/VLOOKUP(B1401,'2023 Z Scores'!$A$1:$K$309,11,FALSE),"Not Enough data"))</f>
        <v>0.90989463276785365</v>
      </c>
      <c r="F1401">
        <f>IF(VLOOKUP(A1401,'Delta Z Scores'!$A$1:$N$1541,14,FALSE)&gt;2,VLOOKUP(A1401,'Delta Z Scores'!$A$1:$N$1541,13,FALSE)/VLOOKUP(A1401,'Delta Z Scores'!$A$1:$N$1541,14,FALSE),"Not Enough Data")</f>
        <v>-0.3265499191331353</v>
      </c>
      <c r="G1401">
        <f>IF(VLOOKUP(A1401,'Forecast Z Scores'!$A$1:$N$1541,14,FALSE)&gt;2,VLOOKUP(A1401,'Forecast Z Scores'!$A$1:$N$1541,13,FALSE)/VLOOKUP(A1401,'Forecast Z Scores'!$A$1:$N$1541,14,FALSE),"Not Enough Data")</f>
        <v>-0.46984504600058136</v>
      </c>
      <c r="H1401">
        <v>-5.3262562874749564E-2</v>
      </c>
    </row>
    <row r="1402" spans="1:8" x14ac:dyDescent="0.35">
      <c r="A1402" t="str">
        <f t="shared" si="21"/>
        <v>18097360404_2024</v>
      </c>
      <c r="B1402">
        <v>18097360404</v>
      </c>
      <c r="C1402">
        <v>2024</v>
      </c>
      <c r="E1402">
        <f>-(IF(VLOOKUP(B1402,'2023 Z Scores'!$A$1:$K$309,11,FALSE)&gt;2,VLOOKUP(B1402,'2023 Z Scores'!$A$1:$K$309,10,FALSE)/VLOOKUP(B1402,'2023 Z Scores'!$A$1:$K$309,11,FALSE),"Not Enough data"))</f>
        <v>0.90989463276785365</v>
      </c>
      <c r="F1402">
        <f>IF(VLOOKUP(A1402,'Delta Z Scores'!$A$1:$N$1541,14,FALSE)&gt;2,VLOOKUP(A1402,'Delta Z Scores'!$A$1:$N$1541,13,FALSE)/VLOOKUP(A1402,'Delta Z Scores'!$A$1:$N$1541,14,FALSE),"Not Enough Data")</f>
        <v>0.55704490619515157</v>
      </c>
      <c r="G1402">
        <f>IF(VLOOKUP(A1402,'Forecast Z Scores'!$A$1:$N$1541,14,FALSE)&gt;2,VLOOKUP(A1402,'Forecast Z Scores'!$A$1:$N$1541,13,FALSE)/VLOOKUP(A1402,'Forecast Z Scores'!$A$1:$N$1541,14,FALSE),"Not Enough Data")</f>
        <v>-0.45082528738173727</v>
      </c>
      <c r="H1402">
        <v>0.39328978944410486</v>
      </c>
    </row>
    <row r="1403" spans="1:8" x14ac:dyDescent="0.35">
      <c r="A1403" t="str">
        <f t="shared" si="21"/>
        <v>18097360404_2025</v>
      </c>
      <c r="B1403">
        <v>18097360404</v>
      </c>
      <c r="C1403">
        <v>2025</v>
      </c>
      <c r="E1403">
        <f>-(IF(VLOOKUP(B1403,'2023 Z Scores'!$A$1:$K$309,11,FALSE)&gt;2,VLOOKUP(B1403,'2023 Z Scores'!$A$1:$K$309,10,FALSE)/VLOOKUP(B1403,'2023 Z Scores'!$A$1:$K$309,11,FALSE),"Not Enough data"))</f>
        <v>0.90989463276785365</v>
      </c>
      <c r="F1403">
        <f>IF(VLOOKUP(A1403,'Delta Z Scores'!$A$1:$N$1541,14,FALSE)&gt;2,VLOOKUP(A1403,'Delta Z Scores'!$A$1:$N$1541,13,FALSE)/VLOOKUP(A1403,'Delta Z Scores'!$A$1:$N$1541,14,FALSE),"Not Enough Data")</f>
        <v>-0.42413182594479215</v>
      </c>
      <c r="G1403">
        <f>IF(VLOOKUP(A1403,'Forecast Z Scores'!$A$1:$N$1541,14,FALSE)&gt;2,VLOOKUP(A1403,'Forecast Z Scores'!$A$1:$N$1541,13,FALSE)/VLOOKUP(A1403,'Forecast Z Scores'!$A$1:$N$1541,14,FALSE),"Not Enough Data")</f>
        <v>-0.46806458023246683</v>
      </c>
      <c r="H1403">
        <v>-0.10160839983854936</v>
      </c>
    </row>
    <row r="1404" spans="1:8" x14ac:dyDescent="0.35">
      <c r="A1404" t="str">
        <f t="shared" si="21"/>
        <v>18097360404_2026</v>
      </c>
      <c r="B1404">
        <v>18097360404</v>
      </c>
      <c r="C1404">
        <v>2026</v>
      </c>
      <c r="E1404">
        <f>-(IF(VLOOKUP(B1404,'2023 Z Scores'!$A$1:$K$309,11,FALSE)&gt;2,VLOOKUP(B1404,'2023 Z Scores'!$A$1:$K$309,10,FALSE)/VLOOKUP(B1404,'2023 Z Scores'!$A$1:$K$309,11,FALSE),"Not Enough data"))</f>
        <v>0.90989463276785365</v>
      </c>
      <c r="F1404">
        <f>IF(VLOOKUP(A1404,'Delta Z Scores'!$A$1:$N$1541,14,FALSE)&gt;2,VLOOKUP(A1404,'Delta Z Scores'!$A$1:$N$1541,13,FALSE)/VLOOKUP(A1404,'Delta Z Scores'!$A$1:$N$1541,14,FALSE),"Not Enough Data")</f>
        <v>-0.41595999839047132</v>
      </c>
      <c r="G1404">
        <f>IF(VLOOKUP(A1404,'Forecast Z Scores'!$A$1:$N$1541,14,FALSE)&gt;2,VLOOKUP(A1404,'Forecast Z Scores'!$A$1:$N$1541,13,FALSE)/VLOOKUP(A1404,'Forecast Z Scores'!$A$1:$N$1541,14,FALSE),"Not Enough Data")</f>
        <v>-0.46738176547496874</v>
      </c>
      <c r="H1404">
        <v>-9.7351782372014417E-2</v>
      </c>
    </row>
    <row r="1405" spans="1:8" x14ac:dyDescent="0.35">
      <c r="A1405" t="str">
        <f t="shared" si="21"/>
        <v>18097360404_2027</v>
      </c>
      <c r="B1405">
        <v>18097360404</v>
      </c>
      <c r="C1405">
        <v>2027</v>
      </c>
      <c r="E1405">
        <f>-(IF(VLOOKUP(B1405,'2023 Z Scores'!$A$1:$K$309,11,FALSE)&gt;2,VLOOKUP(B1405,'2023 Z Scores'!$A$1:$K$309,10,FALSE)/VLOOKUP(B1405,'2023 Z Scores'!$A$1:$K$309,11,FALSE),"Not Enough data"))</f>
        <v>0.90989463276785365</v>
      </c>
      <c r="F1405">
        <f>IF(VLOOKUP(A1405,'Delta Z Scores'!$A$1:$N$1541,14,FALSE)&gt;2,VLOOKUP(A1405,'Delta Z Scores'!$A$1:$N$1541,13,FALSE)/VLOOKUP(A1405,'Delta Z Scores'!$A$1:$N$1541,14,FALSE),"Not Enough Data")</f>
        <v>-0.38199527954898327</v>
      </c>
      <c r="G1405">
        <f>IF(VLOOKUP(A1405,'Forecast Z Scores'!$A$1:$N$1541,14,FALSE)&gt;2,VLOOKUP(A1405,'Forecast Z Scores'!$A$1:$N$1541,13,FALSE)/VLOOKUP(A1405,'Forecast Z Scores'!$A$1:$N$1541,14,FALSE),"Not Enough Data")</f>
        <v>-0.48794833826349476</v>
      </c>
      <c r="H1405">
        <v>-8.5511066148401926E-2</v>
      </c>
    </row>
    <row r="1406" spans="1:8" x14ac:dyDescent="0.35">
      <c r="A1406" t="str">
        <f t="shared" si="21"/>
        <v>18097361400_2028</v>
      </c>
      <c r="B1406">
        <v>18097361400</v>
      </c>
      <c r="C1406">
        <v>2028</v>
      </c>
      <c r="E1406">
        <f>-(IF(VLOOKUP(B1406,'2023 Z Scores'!$A$1:$K$309,11,FALSE)&gt;2,VLOOKUP(B1406,'2023 Z Scores'!$A$1:$K$309,10,FALSE)/VLOOKUP(B1406,'2023 Z Scores'!$A$1:$K$309,11,FALSE),"Not Enough data"))</f>
        <v>0.14138565011579049</v>
      </c>
      <c r="F1406">
        <f>IF(VLOOKUP(A1406,'Delta Z Scores'!$A$1:$N$1541,14,FALSE)&gt;2,VLOOKUP(A1406,'Delta Z Scores'!$A$1:$N$1541,13,FALSE)/VLOOKUP(A1406,'Delta Z Scores'!$A$1:$N$1541,14,FALSE),"Not Enough Data")</f>
        <v>-0.11278653942985253</v>
      </c>
      <c r="G1406">
        <f>IF(VLOOKUP(A1406,'Forecast Z Scores'!$A$1:$N$1541,14,FALSE)&gt;2,VLOOKUP(A1406,'Forecast Z Scores'!$A$1:$N$1541,13,FALSE)/VLOOKUP(A1406,'Forecast Z Scores'!$A$1:$N$1541,14,FALSE),"Not Enough Data")</f>
        <v>-8.7046608824050689E-4</v>
      </c>
      <c r="H1406">
        <v>-2.1264473708038772E-2</v>
      </c>
    </row>
    <row r="1407" spans="1:8" x14ac:dyDescent="0.35">
      <c r="A1407" t="str">
        <f t="shared" si="21"/>
        <v>18097361600_2024</v>
      </c>
      <c r="B1407">
        <v>18097361600</v>
      </c>
      <c r="C1407">
        <v>2024</v>
      </c>
      <c r="E1407">
        <f>-(IF(VLOOKUP(B1407,'2023 Z Scores'!$A$1:$K$309,11,FALSE)&gt;2,VLOOKUP(B1407,'2023 Z Scores'!$A$1:$K$309,10,FALSE)/VLOOKUP(B1407,'2023 Z Scores'!$A$1:$K$309,11,FALSE),"Not Enough data"))</f>
        <v>-0.42257776071354691</v>
      </c>
      <c r="F1407">
        <f>IF(VLOOKUP(A1407,'Delta Z Scores'!$A$1:$N$1541,14,FALSE)&gt;2,VLOOKUP(A1407,'Delta Z Scores'!$A$1:$N$1541,13,FALSE)/VLOOKUP(A1407,'Delta Z Scores'!$A$1:$N$1541,14,FALSE),"Not Enough Data")</f>
        <v>-0.61354178639075729</v>
      </c>
      <c r="G1407">
        <f>IF(VLOOKUP(A1407,'Forecast Z Scores'!$A$1:$N$1541,14,FALSE)&gt;2,VLOOKUP(A1407,'Forecast Z Scores'!$A$1:$N$1541,13,FALSE)/VLOOKUP(A1407,'Forecast Z Scores'!$A$1:$N$1541,14,FALSE),"Not Enough Data")</f>
        <v>2.1286608365111117E-2</v>
      </c>
      <c r="H1407">
        <v>-0.40709368128248757</v>
      </c>
    </row>
    <row r="1408" spans="1:8" x14ac:dyDescent="0.35">
      <c r="A1408" t="str">
        <f t="shared" si="21"/>
        <v>18097370202_2025</v>
      </c>
      <c r="B1408">
        <v>18097370202</v>
      </c>
      <c r="C1408">
        <v>2025</v>
      </c>
      <c r="E1408">
        <f>-(IF(VLOOKUP(B1408,'2023 Z Scores'!$A$1:$K$309,11,FALSE)&gt;2,VLOOKUP(B1408,'2023 Z Scores'!$A$1:$K$309,10,FALSE)/VLOOKUP(B1408,'2023 Z Scores'!$A$1:$K$309,11,FALSE),"Not Enough data"))</f>
        <v>0.19609981847695854</v>
      </c>
      <c r="F1408">
        <f>IF(VLOOKUP(A1408,'Delta Z Scores'!$A$1:$N$1541,14,FALSE)&gt;2,VLOOKUP(A1408,'Delta Z Scores'!$A$1:$N$1541,13,FALSE)/VLOOKUP(A1408,'Delta Z Scores'!$A$1:$N$1541,14,FALSE),"Not Enough Data")</f>
        <v>-0.1942807041724732</v>
      </c>
      <c r="G1408">
        <f>IF(VLOOKUP(A1408,'Forecast Z Scores'!$A$1:$N$1541,14,FALSE)&gt;2,VLOOKUP(A1408,'Forecast Z Scores'!$A$1:$N$1541,13,FALSE)/VLOOKUP(A1408,'Forecast Z Scores'!$A$1:$N$1541,14,FALSE),"Not Enough Data")</f>
        <v>-0.1683531303781487</v>
      </c>
      <c r="H1408">
        <v>-9.0203680061534147E-2</v>
      </c>
    </row>
    <row r="1409" spans="1:8" x14ac:dyDescent="0.35">
      <c r="A1409" t="str">
        <f t="shared" si="21"/>
        <v>18097370301_2026</v>
      </c>
      <c r="B1409">
        <v>18097370301</v>
      </c>
      <c r="C1409">
        <v>2026</v>
      </c>
      <c r="E1409">
        <f>-(IF(VLOOKUP(B1409,'2023 Z Scores'!$A$1:$K$309,11,FALSE)&gt;2,VLOOKUP(B1409,'2023 Z Scores'!$A$1:$K$309,10,FALSE)/VLOOKUP(B1409,'2023 Z Scores'!$A$1:$K$309,11,FALSE),"Not Enough data"))</f>
        <v>-0.53967970736658677</v>
      </c>
      <c r="F1409">
        <f>IF(VLOOKUP(A1409,'Delta Z Scores'!$A$1:$N$1541,14,FALSE)&gt;2,VLOOKUP(A1409,'Delta Z Scores'!$A$1:$N$1541,13,FALSE)/VLOOKUP(A1409,'Delta Z Scores'!$A$1:$N$1541,14,FALSE),"Not Enough Data")</f>
        <v>0.55123190344502615</v>
      </c>
      <c r="G1409">
        <f>IF(VLOOKUP(A1409,'Forecast Z Scores'!$A$1:$N$1541,14,FALSE)&gt;2,VLOOKUP(A1409,'Forecast Z Scores'!$A$1:$N$1541,13,FALSE)/VLOOKUP(A1409,'Forecast Z Scores'!$A$1:$N$1541,14,FALSE),"Not Enough Data")</f>
        <v>0.58891266731772685</v>
      </c>
      <c r="H1409">
        <v>0.28792419171029815</v>
      </c>
    </row>
    <row r="1410" spans="1:8" x14ac:dyDescent="0.35">
      <c r="A1410" t="str">
        <f t="shared" si="21"/>
        <v>18097370302_2027</v>
      </c>
      <c r="B1410">
        <v>18097370302</v>
      </c>
      <c r="C1410">
        <v>2027</v>
      </c>
      <c r="E1410">
        <f>-(IF(VLOOKUP(B1410,'2023 Z Scores'!$A$1:$K$309,11,FALSE)&gt;2,VLOOKUP(B1410,'2023 Z Scores'!$A$1:$K$309,10,FALSE)/VLOOKUP(B1410,'2023 Z Scores'!$A$1:$K$309,11,FALSE),"Not Enough data"))</f>
        <v>-2.5147860652673049E-2</v>
      </c>
      <c r="F1410">
        <f>IF(VLOOKUP(A1410,'Delta Z Scores'!$A$1:$N$1541,14,FALSE)&gt;2,VLOOKUP(A1410,'Delta Z Scores'!$A$1:$N$1541,13,FALSE)/VLOOKUP(A1410,'Delta Z Scores'!$A$1:$N$1541,14,FALSE),"Not Enough Data")</f>
        <v>-0.38723843964399052</v>
      </c>
      <c r="G1410">
        <f>IF(VLOOKUP(A1410,'Forecast Z Scores'!$A$1:$N$1541,14,FALSE)&gt;2,VLOOKUP(A1410,'Forecast Z Scores'!$A$1:$N$1541,13,FALSE)/VLOOKUP(A1410,'Forecast Z Scores'!$A$1:$N$1541,14,FALSE),"Not Enough Data")</f>
        <v>-4.1071115809686309E-2</v>
      </c>
      <c r="H1410">
        <v>-0.21017396393758511</v>
      </c>
    </row>
    <row r="1411" spans="1:8" x14ac:dyDescent="0.35">
      <c r="A1411" t="str">
        <f t="shared" ref="A1411:A1474" si="22">TEXT(B1411,0)&amp;"_"&amp;TEXT(C1411,0)</f>
        <v>18097380100_2028</v>
      </c>
      <c r="B1411">
        <v>18097380100</v>
      </c>
      <c r="C1411">
        <v>2028</v>
      </c>
      <c r="E1411">
        <f>-(IF(VLOOKUP(B1411,'2023 Z Scores'!$A$1:$K$309,11,FALSE)&gt;2,VLOOKUP(B1411,'2023 Z Scores'!$A$1:$K$309,10,FALSE)/VLOOKUP(B1411,'2023 Z Scores'!$A$1:$K$309,11,FALSE),"Not Enough data"))</f>
        <v>-0.31483083727169781</v>
      </c>
      <c r="F1411">
        <f>IF(VLOOKUP(A1411,'Delta Z Scores'!$A$1:$N$1541,14,FALSE)&gt;2,VLOOKUP(A1411,'Delta Z Scores'!$A$1:$N$1541,13,FALSE)/VLOOKUP(A1411,'Delta Z Scores'!$A$1:$N$1541,14,FALSE),"Not Enough Data")</f>
        <v>-0.11830312863499941</v>
      </c>
      <c r="G1411">
        <f>IF(VLOOKUP(A1411,'Forecast Z Scores'!$A$1:$N$1541,14,FALSE)&gt;2,VLOOKUP(A1411,'Forecast Z Scores'!$A$1:$N$1541,13,FALSE)/VLOOKUP(A1411,'Forecast Z Scores'!$A$1:$N$1541,14,FALSE),"Not Enough Data")</f>
        <v>0.15750534739094121</v>
      </c>
      <c r="H1411">
        <v>-9.8482936787688852E-2</v>
      </c>
    </row>
    <row r="1412" spans="1:8" x14ac:dyDescent="0.35">
      <c r="A1412" t="str">
        <f t="shared" si="22"/>
        <v>18097380300_2024</v>
      </c>
      <c r="B1412">
        <v>18097380300</v>
      </c>
      <c r="C1412">
        <v>2024</v>
      </c>
      <c r="E1412">
        <f>-(IF(VLOOKUP(B1412,'2023 Z Scores'!$A$1:$K$309,11,FALSE)&gt;2,VLOOKUP(B1412,'2023 Z Scores'!$A$1:$K$309,10,FALSE)/VLOOKUP(B1412,'2023 Z Scores'!$A$1:$K$309,11,FALSE),"Not Enough data"))</f>
        <v>0.27266314984037399</v>
      </c>
      <c r="F1412">
        <f>IF(VLOOKUP(A1412,'Delta Z Scores'!$A$1:$N$1541,14,FALSE)&gt;2,VLOOKUP(A1412,'Delta Z Scores'!$A$1:$N$1541,13,FALSE)/VLOOKUP(A1412,'Delta Z Scores'!$A$1:$N$1541,14,FALSE),"Not Enough Data")</f>
        <v>-0.44482941993735903</v>
      </c>
      <c r="G1412">
        <f>IF(VLOOKUP(A1412,'Forecast Z Scores'!$A$1:$N$1541,14,FALSE)&gt;2,VLOOKUP(A1412,'Forecast Z Scores'!$A$1:$N$1541,13,FALSE)/VLOOKUP(A1412,'Forecast Z Scores'!$A$1:$N$1541,14,FALSE),"Not Enough Data")</f>
        <v>-0.51436656357378141</v>
      </c>
      <c r="H1412">
        <v>-0.28284056340203134</v>
      </c>
    </row>
    <row r="1413" spans="1:8" x14ac:dyDescent="0.35">
      <c r="A1413" t="str">
        <f t="shared" si="22"/>
        <v>18097381001_2025</v>
      </c>
      <c r="B1413">
        <v>18097381001</v>
      </c>
      <c r="C1413">
        <v>2025</v>
      </c>
      <c r="E1413">
        <f>-(IF(VLOOKUP(B1413,'2023 Z Scores'!$A$1:$K$309,11,FALSE)&gt;2,VLOOKUP(B1413,'2023 Z Scores'!$A$1:$K$309,10,FALSE)/VLOOKUP(B1413,'2023 Z Scores'!$A$1:$K$309,11,FALSE),"Not Enough data"))</f>
        <v>0.54540455904002605</v>
      </c>
      <c r="F1413">
        <f>IF(VLOOKUP(A1413,'Delta Z Scores'!$A$1:$N$1541,14,FALSE)&gt;2,VLOOKUP(A1413,'Delta Z Scores'!$A$1:$N$1541,13,FALSE)/VLOOKUP(A1413,'Delta Z Scores'!$A$1:$N$1541,14,FALSE),"Not Enough Data")</f>
        <v>-0.32326918687249717</v>
      </c>
      <c r="G1413">
        <f>IF(VLOOKUP(A1413,'Forecast Z Scores'!$A$1:$N$1541,14,FALSE)&gt;2,VLOOKUP(A1413,'Forecast Z Scores'!$A$1:$N$1541,13,FALSE)/VLOOKUP(A1413,'Forecast Z Scores'!$A$1:$N$1541,14,FALSE),"Not Enough Data")</f>
        <v>-0.31294855971802293</v>
      </c>
      <c r="H1413">
        <v>-0.10352059360574781</v>
      </c>
    </row>
    <row r="1414" spans="1:8" x14ac:dyDescent="0.35">
      <c r="A1414" t="str">
        <f t="shared" si="22"/>
        <v>18097381201_2026</v>
      </c>
      <c r="B1414">
        <v>18097381201</v>
      </c>
      <c r="C1414">
        <v>2026</v>
      </c>
      <c r="E1414">
        <f>-(IF(VLOOKUP(B1414,'2023 Z Scores'!$A$1:$K$309,11,FALSE)&gt;2,VLOOKUP(B1414,'2023 Z Scores'!$A$1:$K$309,10,FALSE)/VLOOKUP(B1414,'2023 Z Scores'!$A$1:$K$309,11,FALSE),"Not Enough data"))</f>
        <v>0.23108833269484888</v>
      </c>
      <c r="F1414">
        <f>IF(VLOOKUP(A1414,'Delta Z Scores'!$A$1:$N$1541,14,FALSE)&gt;2,VLOOKUP(A1414,'Delta Z Scores'!$A$1:$N$1541,13,FALSE)/VLOOKUP(A1414,'Delta Z Scores'!$A$1:$N$1541,14,FALSE),"Not Enough Data")</f>
        <v>-0.58763580823880679</v>
      </c>
      <c r="G1414">
        <f>IF(VLOOKUP(A1414,'Forecast Z Scores'!$A$1:$N$1541,14,FALSE)&gt;2,VLOOKUP(A1414,'Forecast Z Scores'!$A$1:$N$1541,13,FALSE)/VLOOKUP(A1414,'Forecast Z Scores'!$A$1:$N$1541,14,FALSE),"Not Enough Data")</f>
        <v>-0.26470738517884768</v>
      </c>
      <c r="H1414">
        <v>-0.30222266724040309</v>
      </c>
    </row>
    <row r="1415" spans="1:8" x14ac:dyDescent="0.35">
      <c r="A1415" t="str">
        <f t="shared" si="22"/>
        <v>18097390101_2027</v>
      </c>
      <c r="B1415">
        <v>18097390101</v>
      </c>
      <c r="C1415">
        <v>2027</v>
      </c>
      <c r="E1415">
        <f>-(IF(VLOOKUP(B1415,'2023 Z Scores'!$A$1:$K$309,11,FALSE)&gt;2,VLOOKUP(B1415,'2023 Z Scores'!$A$1:$K$309,10,FALSE)/VLOOKUP(B1415,'2023 Z Scores'!$A$1:$K$309,11,FALSE),"Not Enough data"))</f>
        <v>-0.18395151359136669</v>
      </c>
      <c r="F1415">
        <f>IF(VLOOKUP(A1415,'Delta Z Scores'!$A$1:$N$1541,14,FALSE)&gt;2,VLOOKUP(A1415,'Delta Z Scores'!$A$1:$N$1541,13,FALSE)/VLOOKUP(A1415,'Delta Z Scores'!$A$1:$N$1541,14,FALSE),"Not Enough Data")</f>
        <v>-0.22133687231333365</v>
      </c>
      <c r="G1415">
        <f>IF(VLOOKUP(A1415,'Forecast Z Scores'!$A$1:$N$1541,14,FALSE)&gt;2,VLOOKUP(A1415,'Forecast Z Scores'!$A$1:$N$1541,13,FALSE)/VLOOKUP(A1415,'Forecast Z Scores'!$A$1:$N$1541,14,FALSE),"Not Enough Data")</f>
        <v>-8.2747616790391859E-2</v>
      </c>
      <c r="H1415">
        <v>-0.17734321875210646</v>
      </c>
    </row>
    <row r="1416" spans="1:8" x14ac:dyDescent="0.35">
      <c r="A1416" t="str">
        <f t="shared" si="22"/>
        <v>18097390402_2028</v>
      </c>
      <c r="B1416">
        <v>18097390402</v>
      </c>
      <c r="C1416">
        <v>2028</v>
      </c>
      <c r="E1416">
        <f>-(IF(VLOOKUP(B1416,'2023 Z Scores'!$A$1:$K$309,11,FALSE)&gt;2,VLOOKUP(B1416,'2023 Z Scores'!$A$1:$K$309,10,FALSE)/VLOOKUP(B1416,'2023 Z Scores'!$A$1:$K$309,11,FALSE),"Not Enough data"))</f>
        <v>-0.42239603128262021</v>
      </c>
      <c r="F1416">
        <f>IF(VLOOKUP(A1416,'Delta Z Scores'!$A$1:$N$1541,14,FALSE)&gt;2,VLOOKUP(A1416,'Delta Z Scores'!$A$1:$N$1541,13,FALSE)/VLOOKUP(A1416,'Delta Z Scores'!$A$1:$N$1541,14,FALSE),"Not Enough Data")</f>
        <v>-6.9476051418614057E-2</v>
      </c>
      <c r="G1416">
        <f>IF(VLOOKUP(A1416,'Forecast Z Scores'!$A$1:$N$1541,14,FALSE)&gt;2,VLOOKUP(A1416,'Forecast Z Scores'!$A$1:$N$1541,13,FALSE)/VLOOKUP(A1416,'Forecast Z Scores'!$A$1:$N$1541,14,FALSE),"Not Enough Data")</f>
        <v>0.51259827513587708</v>
      </c>
      <c r="H1416">
        <v>-1.2187464745992818E-2</v>
      </c>
    </row>
    <row r="1417" spans="1:8" x14ac:dyDescent="0.35">
      <c r="A1417" t="str">
        <f t="shared" si="22"/>
        <v>18097390403_2024</v>
      </c>
      <c r="B1417">
        <v>18097390403</v>
      </c>
      <c r="C1417">
        <v>2024</v>
      </c>
      <c r="E1417">
        <f>-(IF(VLOOKUP(B1417,'2023 Z Scores'!$A$1:$K$309,11,FALSE)&gt;2,VLOOKUP(B1417,'2023 Z Scores'!$A$1:$K$309,10,FALSE)/VLOOKUP(B1417,'2023 Z Scores'!$A$1:$K$309,11,FALSE),"Not Enough data"))</f>
        <v>-1.2207288769868134</v>
      </c>
      <c r="F1417">
        <f>IF(VLOOKUP(A1417,'Delta Z Scores'!$A$1:$N$1541,14,FALSE)&gt;2,VLOOKUP(A1417,'Delta Z Scores'!$A$1:$N$1541,13,FALSE)/VLOOKUP(A1417,'Delta Z Scores'!$A$1:$N$1541,14,FALSE),"Not Enough Data")</f>
        <v>-0.49446454057362926</v>
      </c>
      <c r="G1417">
        <f>IF(VLOOKUP(A1417,'Forecast Z Scores'!$A$1:$N$1541,14,FALSE)&gt;2,VLOOKUP(A1417,'Forecast Z Scores'!$A$1:$N$1541,13,FALSE)/VLOOKUP(A1417,'Forecast Z Scores'!$A$1:$N$1541,14,FALSE),"Not Enough Data")</f>
        <v>0.55866307951138272</v>
      </c>
      <c r="H1417">
        <v>-0.41274871965567228</v>
      </c>
    </row>
    <row r="1418" spans="1:8" x14ac:dyDescent="0.35">
      <c r="A1418" t="str">
        <f t="shared" si="22"/>
        <v>18097390404_2025</v>
      </c>
      <c r="B1418">
        <v>18097390404</v>
      </c>
      <c r="C1418">
        <v>2025</v>
      </c>
      <c r="E1418">
        <f>-(IF(VLOOKUP(B1418,'2023 Z Scores'!$A$1:$K$309,11,FALSE)&gt;2,VLOOKUP(B1418,'2023 Z Scores'!$A$1:$K$309,10,FALSE)/VLOOKUP(B1418,'2023 Z Scores'!$A$1:$K$309,11,FALSE),"Not Enough data"))</f>
        <v>-0.41026019618137466</v>
      </c>
      <c r="F1418">
        <f>IF(VLOOKUP(A1418,'Delta Z Scores'!$A$1:$N$1541,14,FALSE)&gt;2,VLOOKUP(A1418,'Delta Z Scores'!$A$1:$N$1541,13,FALSE)/VLOOKUP(A1418,'Delta Z Scores'!$A$1:$N$1541,14,FALSE),"Not Enough Data")</f>
        <v>1.6234793302726702E-2</v>
      </c>
      <c r="G1418">
        <f>IF(VLOOKUP(A1418,'Forecast Z Scores'!$A$1:$N$1541,14,FALSE)&gt;2,VLOOKUP(A1418,'Forecast Z Scores'!$A$1:$N$1541,13,FALSE)/VLOOKUP(A1418,'Forecast Z Scores'!$A$1:$N$1541,14,FALSE),"Not Enough Data")</f>
        <v>0.41498840190761754</v>
      </c>
      <c r="H1418">
        <v>9.2994480829240722E-3</v>
      </c>
    </row>
    <row r="1419" spans="1:8" x14ac:dyDescent="0.35">
      <c r="A1419" t="str">
        <f t="shared" si="22"/>
        <v>18097390600_2026</v>
      </c>
      <c r="B1419">
        <v>18097390600</v>
      </c>
      <c r="C1419">
        <v>2026</v>
      </c>
      <c r="E1419">
        <f>-(IF(VLOOKUP(B1419,'2023 Z Scores'!$A$1:$K$309,11,FALSE)&gt;2,VLOOKUP(B1419,'2023 Z Scores'!$A$1:$K$309,10,FALSE)/VLOOKUP(B1419,'2023 Z Scores'!$A$1:$K$309,11,FALSE),"Not Enough data"))</f>
        <v>-0.14587441232374918</v>
      </c>
      <c r="F1419">
        <f>IF(VLOOKUP(A1419,'Delta Z Scores'!$A$1:$N$1541,14,FALSE)&gt;2,VLOOKUP(A1419,'Delta Z Scores'!$A$1:$N$1541,13,FALSE)/VLOOKUP(A1419,'Delta Z Scores'!$A$1:$N$1541,14,FALSE),"Not Enough Data")</f>
        <v>2.1640339116924368E-2</v>
      </c>
      <c r="G1419">
        <f>IF(VLOOKUP(A1419,'Forecast Z Scores'!$A$1:$N$1541,14,FALSE)&gt;2,VLOOKUP(A1419,'Forecast Z Scores'!$A$1:$N$1541,13,FALSE)/VLOOKUP(A1419,'Forecast Z Scores'!$A$1:$N$1541,14,FALSE),"Not Enough Data")</f>
        <v>0.34161015805419848</v>
      </c>
      <c r="H1419">
        <v>5.9754105991074509E-2</v>
      </c>
    </row>
    <row r="1420" spans="1:8" x14ac:dyDescent="0.35">
      <c r="A1420" t="str">
        <f t="shared" si="22"/>
        <v>18097390800_2027</v>
      </c>
      <c r="B1420">
        <v>18097390800</v>
      </c>
      <c r="C1420">
        <v>2027</v>
      </c>
      <c r="E1420">
        <f>-(IF(VLOOKUP(B1420,'2023 Z Scores'!$A$1:$K$309,11,FALSE)&gt;2,VLOOKUP(B1420,'2023 Z Scores'!$A$1:$K$309,10,FALSE)/VLOOKUP(B1420,'2023 Z Scores'!$A$1:$K$309,11,FALSE),"Not Enough data"))</f>
        <v>0.53080711476556053</v>
      </c>
      <c r="F1420">
        <f>IF(VLOOKUP(A1420,'Delta Z Scores'!$A$1:$N$1541,14,FALSE)&gt;2,VLOOKUP(A1420,'Delta Z Scores'!$A$1:$N$1541,13,FALSE)/VLOOKUP(A1420,'Delta Z Scores'!$A$1:$N$1541,14,FALSE),"Not Enough Data")</f>
        <v>-0.39783750537270574</v>
      </c>
      <c r="G1420">
        <f>IF(VLOOKUP(A1420,'Forecast Z Scores'!$A$1:$N$1541,14,FALSE)&gt;2,VLOOKUP(A1420,'Forecast Z Scores'!$A$1:$N$1541,13,FALSE)/VLOOKUP(A1420,'Forecast Z Scores'!$A$1:$N$1541,14,FALSE),"Not Enough Data")</f>
        <v>-0.88455703757955251</v>
      </c>
      <c r="H1420">
        <v>-0.28735623338985083</v>
      </c>
    </row>
    <row r="1421" spans="1:8" x14ac:dyDescent="0.35">
      <c r="A1421" t="str">
        <f t="shared" si="22"/>
        <v>18097391000_2028</v>
      </c>
      <c r="B1421">
        <v>18097391000</v>
      </c>
      <c r="C1421">
        <v>2028</v>
      </c>
      <c r="E1421">
        <f>-(IF(VLOOKUP(B1421,'2023 Z Scores'!$A$1:$K$309,11,FALSE)&gt;2,VLOOKUP(B1421,'2023 Z Scores'!$A$1:$K$309,10,FALSE)/VLOOKUP(B1421,'2023 Z Scores'!$A$1:$K$309,11,FALSE),"Not Enough data"))</f>
        <v>-0.69544773232795476</v>
      </c>
      <c r="F1421">
        <f>IF(VLOOKUP(A1421,'Delta Z Scores'!$A$1:$N$1541,14,FALSE)&gt;2,VLOOKUP(A1421,'Delta Z Scores'!$A$1:$N$1541,13,FALSE)/VLOOKUP(A1421,'Delta Z Scores'!$A$1:$N$1541,14,FALSE),"Not Enough Data")</f>
        <v>3.9147230905241831E-2</v>
      </c>
      <c r="G1421">
        <f>IF(VLOOKUP(A1421,'Forecast Z Scores'!$A$1:$N$1541,14,FALSE)&gt;2,VLOOKUP(A1421,'Forecast Z Scores'!$A$1:$N$1541,13,FALSE)/VLOOKUP(A1421,'Forecast Z Scores'!$A$1:$N$1541,14,FALSE),"Not Enough Data")</f>
        <v>0.74852514629808609</v>
      </c>
      <c r="H1421">
        <v>3.2842968945153733E-2</v>
      </c>
    </row>
    <row r="1422" spans="1:8" x14ac:dyDescent="0.35">
      <c r="A1422" t="str">
        <f t="shared" si="22"/>
        <v>18011810605_2024</v>
      </c>
      <c r="B1422">
        <v>18011810605</v>
      </c>
      <c r="C1422">
        <v>2024</v>
      </c>
      <c r="E1422" t="e">
        <f>-(IF(VLOOKUP(B1422,'2023 Z Scores'!$A$1:$K$309,11,FALSE)&gt;2,VLOOKUP(B1422,'2023 Z Scores'!$A$1:$K$309,10,FALSE)/VLOOKUP(B1422,'2023 Z Scores'!$A$1:$K$309,11,FALSE),"Not Enough data"))</f>
        <v>#VALUE!</v>
      </c>
      <c r="F1422" t="str">
        <f>IF(VLOOKUP(A1422,'Delta Z Scores'!$A$1:$N$1541,14,FALSE)&gt;2,VLOOKUP(A1422,'Delta Z Scores'!$A$1:$N$1541,13,FALSE)/VLOOKUP(A1422,'Delta Z Scores'!$A$1:$N$1541,14,FALSE),"Not Enough Data")</f>
        <v>Not Enough Data</v>
      </c>
      <c r="G1422" t="str">
        <f>IF(VLOOKUP(A1422,'Forecast Z Scores'!$A$1:$N$1541,14,FALSE)&gt;2,VLOOKUP(A1422,'Forecast Z Scores'!$A$1:$N$1541,13,FALSE)/VLOOKUP(A1422,'Forecast Z Scores'!$A$1:$N$1541,14,FALSE),"Not Enough Data")</f>
        <v>Not Enough Data</v>
      </c>
      <c r="H1422" t="s">
        <v>203</v>
      </c>
    </row>
    <row r="1423" spans="1:8" x14ac:dyDescent="0.35">
      <c r="A1423" t="str">
        <f t="shared" si="22"/>
        <v>18011810605_2025</v>
      </c>
      <c r="B1423">
        <v>18011810605</v>
      </c>
      <c r="C1423">
        <v>2025</v>
      </c>
      <c r="E1423" t="e">
        <f>-(IF(VLOOKUP(B1423,'2023 Z Scores'!$A$1:$K$309,11,FALSE)&gt;2,VLOOKUP(B1423,'2023 Z Scores'!$A$1:$K$309,10,FALSE)/VLOOKUP(B1423,'2023 Z Scores'!$A$1:$K$309,11,FALSE),"Not Enough data"))</f>
        <v>#VALUE!</v>
      </c>
      <c r="F1423" t="str">
        <f>IF(VLOOKUP(A1423,'Delta Z Scores'!$A$1:$N$1541,14,FALSE)&gt;2,VLOOKUP(A1423,'Delta Z Scores'!$A$1:$N$1541,13,FALSE)/VLOOKUP(A1423,'Delta Z Scores'!$A$1:$N$1541,14,FALSE),"Not Enough Data")</f>
        <v>Not Enough Data</v>
      </c>
      <c r="G1423" t="str">
        <f>IF(VLOOKUP(A1423,'Forecast Z Scores'!$A$1:$N$1541,14,FALSE)&gt;2,VLOOKUP(A1423,'Forecast Z Scores'!$A$1:$N$1541,13,FALSE)/VLOOKUP(A1423,'Forecast Z Scores'!$A$1:$N$1541,14,FALSE),"Not Enough Data")</f>
        <v>Not Enough Data</v>
      </c>
      <c r="H1423" t="s">
        <v>203</v>
      </c>
    </row>
    <row r="1424" spans="1:8" x14ac:dyDescent="0.35">
      <c r="A1424" t="str">
        <f t="shared" si="22"/>
        <v>18011810605_2026</v>
      </c>
      <c r="B1424">
        <v>18011810605</v>
      </c>
      <c r="C1424">
        <v>2026</v>
      </c>
      <c r="E1424" t="e">
        <f>-(IF(VLOOKUP(B1424,'2023 Z Scores'!$A$1:$K$309,11,FALSE)&gt;2,VLOOKUP(B1424,'2023 Z Scores'!$A$1:$K$309,10,FALSE)/VLOOKUP(B1424,'2023 Z Scores'!$A$1:$K$309,11,FALSE),"Not Enough data"))</f>
        <v>#VALUE!</v>
      </c>
      <c r="F1424" t="str">
        <f>IF(VLOOKUP(A1424,'Delta Z Scores'!$A$1:$N$1541,14,FALSE)&gt;2,VLOOKUP(A1424,'Delta Z Scores'!$A$1:$N$1541,13,FALSE)/VLOOKUP(A1424,'Delta Z Scores'!$A$1:$N$1541,14,FALSE),"Not Enough Data")</f>
        <v>Not Enough Data</v>
      </c>
      <c r="G1424" t="str">
        <f>IF(VLOOKUP(A1424,'Forecast Z Scores'!$A$1:$N$1541,14,FALSE)&gt;2,VLOOKUP(A1424,'Forecast Z Scores'!$A$1:$N$1541,13,FALSE)/VLOOKUP(A1424,'Forecast Z Scores'!$A$1:$N$1541,14,FALSE),"Not Enough Data")</f>
        <v>Not Enough Data</v>
      </c>
      <c r="H1424" t="s">
        <v>203</v>
      </c>
    </row>
    <row r="1425" spans="1:8" x14ac:dyDescent="0.35">
      <c r="A1425" t="str">
        <f t="shared" si="22"/>
        <v>18011810605_2027</v>
      </c>
      <c r="B1425">
        <v>18011810605</v>
      </c>
      <c r="C1425">
        <v>2027</v>
      </c>
      <c r="E1425" t="e">
        <f>-(IF(VLOOKUP(B1425,'2023 Z Scores'!$A$1:$K$309,11,FALSE)&gt;2,VLOOKUP(B1425,'2023 Z Scores'!$A$1:$K$309,10,FALSE)/VLOOKUP(B1425,'2023 Z Scores'!$A$1:$K$309,11,FALSE),"Not Enough data"))</f>
        <v>#VALUE!</v>
      </c>
      <c r="F1425" t="str">
        <f>IF(VLOOKUP(A1425,'Delta Z Scores'!$A$1:$N$1541,14,FALSE)&gt;2,VLOOKUP(A1425,'Delta Z Scores'!$A$1:$N$1541,13,FALSE)/VLOOKUP(A1425,'Delta Z Scores'!$A$1:$N$1541,14,FALSE),"Not Enough Data")</f>
        <v>Not Enough Data</v>
      </c>
      <c r="G1425" t="str">
        <f>IF(VLOOKUP(A1425,'Forecast Z Scores'!$A$1:$N$1541,14,FALSE)&gt;2,VLOOKUP(A1425,'Forecast Z Scores'!$A$1:$N$1541,13,FALSE)/VLOOKUP(A1425,'Forecast Z Scores'!$A$1:$N$1541,14,FALSE),"Not Enough Data")</f>
        <v>Not Enough Data</v>
      </c>
      <c r="H1425" t="s">
        <v>203</v>
      </c>
    </row>
    <row r="1426" spans="1:8" x14ac:dyDescent="0.35">
      <c r="A1426" t="str">
        <f t="shared" si="22"/>
        <v>18011810605_2028</v>
      </c>
      <c r="B1426">
        <v>18011810605</v>
      </c>
      <c r="C1426">
        <v>2028</v>
      </c>
      <c r="E1426" t="e">
        <f>-(IF(VLOOKUP(B1426,'2023 Z Scores'!$A$1:$K$309,11,FALSE)&gt;2,VLOOKUP(B1426,'2023 Z Scores'!$A$1:$K$309,10,FALSE)/VLOOKUP(B1426,'2023 Z Scores'!$A$1:$K$309,11,FALSE),"Not Enough data"))</f>
        <v>#VALUE!</v>
      </c>
      <c r="F1426" t="str">
        <f>IF(VLOOKUP(A1426,'Delta Z Scores'!$A$1:$N$1541,14,FALSE)&gt;2,VLOOKUP(A1426,'Delta Z Scores'!$A$1:$N$1541,13,FALSE)/VLOOKUP(A1426,'Delta Z Scores'!$A$1:$N$1541,14,FALSE),"Not Enough Data")</f>
        <v>Not Enough Data</v>
      </c>
      <c r="G1426" t="str">
        <f>IF(VLOOKUP(A1426,'Forecast Z Scores'!$A$1:$N$1541,14,FALSE)&gt;2,VLOOKUP(A1426,'Forecast Z Scores'!$A$1:$N$1541,13,FALSE)/VLOOKUP(A1426,'Forecast Z Scores'!$A$1:$N$1541,14,FALSE),"Not Enough Data")</f>
        <v>Not Enough Data</v>
      </c>
      <c r="H1426" t="s">
        <v>203</v>
      </c>
    </row>
    <row r="1427" spans="1:8" x14ac:dyDescent="0.35">
      <c r="A1427" t="str">
        <f t="shared" si="22"/>
        <v>18057110805_2024</v>
      </c>
      <c r="B1427">
        <v>18057110805</v>
      </c>
      <c r="C1427">
        <v>2024</v>
      </c>
      <c r="E1427" t="e">
        <f>-(IF(VLOOKUP(B1427,'2023 Z Scores'!$A$1:$K$309,11,FALSE)&gt;2,VLOOKUP(B1427,'2023 Z Scores'!$A$1:$K$309,10,FALSE)/VLOOKUP(B1427,'2023 Z Scores'!$A$1:$K$309,11,FALSE),"Not Enough data"))</f>
        <v>#VALUE!</v>
      </c>
      <c r="F1427" t="str">
        <f>IF(VLOOKUP(A1427,'Delta Z Scores'!$A$1:$N$1541,14,FALSE)&gt;2,VLOOKUP(A1427,'Delta Z Scores'!$A$1:$N$1541,13,FALSE)/VLOOKUP(A1427,'Delta Z Scores'!$A$1:$N$1541,14,FALSE),"Not Enough Data")</f>
        <v>Not Enough Data</v>
      </c>
      <c r="G1427" t="str">
        <f>IF(VLOOKUP(A1427,'Forecast Z Scores'!$A$1:$N$1541,14,FALSE)&gt;2,VLOOKUP(A1427,'Forecast Z Scores'!$A$1:$N$1541,13,FALSE)/VLOOKUP(A1427,'Forecast Z Scores'!$A$1:$N$1541,14,FALSE),"Not Enough Data")</f>
        <v>Not Enough Data</v>
      </c>
      <c r="H1427" t="s">
        <v>203</v>
      </c>
    </row>
    <row r="1428" spans="1:8" x14ac:dyDescent="0.35">
      <c r="A1428" t="str">
        <f t="shared" si="22"/>
        <v>18057110805_2025</v>
      </c>
      <c r="B1428">
        <v>18057110805</v>
      </c>
      <c r="C1428">
        <v>2025</v>
      </c>
      <c r="E1428" t="e">
        <f>-(IF(VLOOKUP(B1428,'2023 Z Scores'!$A$1:$K$309,11,FALSE)&gt;2,VLOOKUP(B1428,'2023 Z Scores'!$A$1:$K$309,10,FALSE)/VLOOKUP(B1428,'2023 Z Scores'!$A$1:$K$309,11,FALSE),"Not Enough data"))</f>
        <v>#VALUE!</v>
      </c>
      <c r="F1428" t="str">
        <f>IF(VLOOKUP(A1428,'Delta Z Scores'!$A$1:$N$1541,14,FALSE)&gt;2,VLOOKUP(A1428,'Delta Z Scores'!$A$1:$N$1541,13,FALSE)/VLOOKUP(A1428,'Delta Z Scores'!$A$1:$N$1541,14,FALSE),"Not Enough Data")</f>
        <v>Not Enough Data</v>
      </c>
      <c r="G1428" t="str">
        <f>IF(VLOOKUP(A1428,'Forecast Z Scores'!$A$1:$N$1541,14,FALSE)&gt;2,VLOOKUP(A1428,'Forecast Z Scores'!$A$1:$N$1541,13,FALSE)/VLOOKUP(A1428,'Forecast Z Scores'!$A$1:$N$1541,14,FALSE),"Not Enough Data")</f>
        <v>Not Enough Data</v>
      </c>
      <c r="H1428" t="s">
        <v>203</v>
      </c>
    </row>
    <row r="1429" spans="1:8" x14ac:dyDescent="0.35">
      <c r="A1429" t="str">
        <f t="shared" si="22"/>
        <v>18057110805_2026</v>
      </c>
      <c r="B1429">
        <v>18057110805</v>
      </c>
      <c r="C1429">
        <v>2026</v>
      </c>
      <c r="E1429" t="e">
        <f>-(IF(VLOOKUP(B1429,'2023 Z Scores'!$A$1:$K$309,11,FALSE)&gt;2,VLOOKUP(B1429,'2023 Z Scores'!$A$1:$K$309,10,FALSE)/VLOOKUP(B1429,'2023 Z Scores'!$A$1:$K$309,11,FALSE),"Not Enough data"))</f>
        <v>#VALUE!</v>
      </c>
      <c r="F1429" t="str">
        <f>IF(VLOOKUP(A1429,'Delta Z Scores'!$A$1:$N$1541,14,FALSE)&gt;2,VLOOKUP(A1429,'Delta Z Scores'!$A$1:$N$1541,13,FALSE)/VLOOKUP(A1429,'Delta Z Scores'!$A$1:$N$1541,14,FALSE),"Not Enough Data")</f>
        <v>Not Enough Data</v>
      </c>
      <c r="G1429" t="str">
        <f>IF(VLOOKUP(A1429,'Forecast Z Scores'!$A$1:$N$1541,14,FALSE)&gt;2,VLOOKUP(A1429,'Forecast Z Scores'!$A$1:$N$1541,13,FALSE)/VLOOKUP(A1429,'Forecast Z Scores'!$A$1:$N$1541,14,FALSE),"Not Enough Data")</f>
        <v>Not Enough Data</v>
      </c>
      <c r="H1429" t="s">
        <v>203</v>
      </c>
    </row>
    <row r="1430" spans="1:8" x14ac:dyDescent="0.35">
      <c r="A1430" t="str">
        <f t="shared" si="22"/>
        <v>18057110805_2027</v>
      </c>
      <c r="B1430">
        <v>18057110805</v>
      </c>
      <c r="C1430">
        <v>2027</v>
      </c>
      <c r="E1430" t="e">
        <f>-(IF(VLOOKUP(B1430,'2023 Z Scores'!$A$1:$K$309,11,FALSE)&gt;2,VLOOKUP(B1430,'2023 Z Scores'!$A$1:$K$309,10,FALSE)/VLOOKUP(B1430,'2023 Z Scores'!$A$1:$K$309,11,FALSE),"Not Enough data"))</f>
        <v>#VALUE!</v>
      </c>
      <c r="F1430" t="str">
        <f>IF(VLOOKUP(A1430,'Delta Z Scores'!$A$1:$N$1541,14,FALSE)&gt;2,VLOOKUP(A1430,'Delta Z Scores'!$A$1:$N$1541,13,FALSE)/VLOOKUP(A1430,'Delta Z Scores'!$A$1:$N$1541,14,FALSE),"Not Enough Data")</f>
        <v>Not Enough Data</v>
      </c>
      <c r="G1430" t="str">
        <f>IF(VLOOKUP(A1430,'Forecast Z Scores'!$A$1:$N$1541,14,FALSE)&gt;2,VLOOKUP(A1430,'Forecast Z Scores'!$A$1:$N$1541,13,FALSE)/VLOOKUP(A1430,'Forecast Z Scores'!$A$1:$N$1541,14,FALSE),"Not Enough Data")</f>
        <v>Not Enough Data</v>
      </c>
      <c r="H1430" t="s">
        <v>203</v>
      </c>
    </row>
    <row r="1431" spans="1:8" x14ac:dyDescent="0.35">
      <c r="A1431" t="str">
        <f t="shared" si="22"/>
        <v>18057110805_2028</v>
      </c>
      <c r="B1431">
        <v>18057110805</v>
      </c>
      <c r="C1431">
        <v>2028</v>
      </c>
      <c r="E1431" t="e">
        <f>-(IF(VLOOKUP(B1431,'2023 Z Scores'!$A$1:$K$309,11,FALSE)&gt;2,VLOOKUP(B1431,'2023 Z Scores'!$A$1:$K$309,10,FALSE)/VLOOKUP(B1431,'2023 Z Scores'!$A$1:$K$309,11,FALSE),"Not Enough data"))</f>
        <v>#VALUE!</v>
      </c>
      <c r="F1431" t="str">
        <f>IF(VLOOKUP(A1431,'Delta Z Scores'!$A$1:$N$1541,14,FALSE)&gt;2,VLOOKUP(A1431,'Delta Z Scores'!$A$1:$N$1541,13,FALSE)/VLOOKUP(A1431,'Delta Z Scores'!$A$1:$N$1541,14,FALSE),"Not Enough Data")</f>
        <v>Not Enough Data</v>
      </c>
      <c r="G1431" t="str">
        <f>IF(VLOOKUP(A1431,'Forecast Z Scores'!$A$1:$N$1541,14,FALSE)&gt;2,VLOOKUP(A1431,'Forecast Z Scores'!$A$1:$N$1541,13,FALSE)/VLOOKUP(A1431,'Forecast Z Scores'!$A$1:$N$1541,14,FALSE),"Not Enough Data")</f>
        <v>Not Enough Data</v>
      </c>
      <c r="H1431" t="s">
        <v>203</v>
      </c>
    </row>
    <row r="1432" spans="1:8" x14ac:dyDescent="0.35">
      <c r="A1432" t="str">
        <f t="shared" si="22"/>
        <v>18057110807_2024</v>
      </c>
      <c r="B1432">
        <v>18057110807</v>
      </c>
      <c r="C1432">
        <v>2024</v>
      </c>
      <c r="E1432" t="e">
        <f>-(IF(VLOOKUP(B1432,'2023 Z Scores'!$A$1:$K$309,11,FALSE)&gt;2,VLOOKUP(B1432,'2023 Z Scores'!$A$1:$K$309,10,FALSE)/VLOOKUP(B1432,'2023 Z Scores'!$A$1:$K$309,11,FALSE),"Not Enough data"))</f>
        <v>#VALUE!</v>
      </c>
      <c r="F1432" t="str">
        <f>IF(VLOOKUP(A1432,'Delta Z Scores'!$A$1:$N$1541,14,FALSE)&gt;2,VLOOKUP(A1432,'Delta Z Scores'!$A$1:$N$1541,13,FALSE)/VLOOKUP(A1432,'Delta Z Scores'!$A$1:$N$1541,14,FALSE),"Not Enough Data")</f>
        <v>Not Enough Data</v>
      </c>
      <c r="G1432" t="str">
        <f>IF(VLOOKUP(A1432,'Forecast Z Scores'!$A$1:$N$1541,14,FALSE)&gt;2,VLOOKUP(A1432,'Forecast Z Scores'!$A$1:$N$1541,13,FALSE)/VLOOKUP(A1432,'Forecast Z Scores'!$A$1:$N$1541,14,FALSE),"Not Enough Data")</f>
        <v>Not Enough Data</v>
      </c>
      <c r="H1432" t="s">
        <v>203</v>
      </c>
    </row>
    <row r="1433" spans="1:8" x14ac:dyDescent="0.35">
      <c r="A1433" t="str">
        <f t="shared" si="22"/>
        <v>18057110807_2025</v>
      </c>
      <c r="B1433">
        <v>18057110807</v>
      </c>
      <c r="C1433">
        <v>2025</v>
      </c>
      <c r="E1433" t="e">
        <f>-(IF(VLOOKUP(B1433,'2023 Z Scores'!$A$1:$K$309,11,FALSE)&gt;2,VLOOKUP(B1433,'2023 Z Scores'!$A$1:$K$309,10,FALSE)/VLOOKUP(B1433,'2023 Z Scores'!$A$1:$K$309,11,FALSE),"Not Enough data"))</f>
        <v>#VALUE!</v>
      </c>
      <c r="F1433" t="str">
        <f>IF(VLOOKUP(A1433,'Delta Z Scores'!$A$1:$N$1541,14,FALSE)&gt;2,VLOOKUP(A1433,'Delta Z Scores'!$A$1:$N$1541,13,FALSE)/VLOOKUP(A1433,'Delta Z Scores'!$A$1:$N$1541,14,FALSE),"Not Enough Data")</f>
        <v>Not Enough Data</v>
      </c>
      <c r="G1433" t="str">
        <f>IF(VLOOKUP(A1433,'Forecast Z Scores'!$A$1:$N$1541,14,FALSE)&gt;2,VLOOKUP(A1433,'Forecast Z Scores'!$A$1:$N$1541,13,FALSE)/VLOOKUP(A1433,'Forecast Z Scores'!$A$1:$N$1541,14,FALSE),"Not Enough Data")</f>
        <v>Not Enough Data</v>
      </c>
      <c r="H1433" t="s">
        <v>203</v>
      </c>
    </row>
    <row r="1434" spans="1:8" x14ac:dyDescent="0.35">
      <c r="A1434" t="str">
        <f t="shared" si="22"/>
        <v>18057110807_2026</v>
      </c>
      <c r="B1434">
        <v>18057110807</v>
      </c>
      <c r="C1434">
        <v>2026</v>
      </c>
      <c r="E1434" t="e">
        <f>-(IF(VLOOKUP(B1434,'2023 Z Scores'!$A$1:$K$309,11,FALSE)&gt;2,VLOOKUP(B1434,'2023 Z Scores'!$A$1:$K$309,10,FALSE)/VLOOKUP(B1434,'2023 Z Scores'!$A$1:$K$309,11,FALSE),"Not Enough data"))</f>
        <v>#VALUE!</v>
      </c>
      <c r="F1434" t="str">
        <f>IF(VLOOKUP(A1434,'Delta Z Scores'!$A$1:$N$1541,14,FALSE)&gt;2,VLOOKUP(A1434,'Delta Z Scores'!$A$1:$N$1541,13,FALSE)/VLOOKUP(A1434,'Delta Z Scores'!$A$1:$N$1541,14,FALSE),"Not Enough Data")</f>
        <v>Not Enough Data</v>
      </c>
      <c r="G1434" t="str">
        <f>IF(VLOOKUP(A1434,'Forecast Z Scores'!$A$1:$N$1541,14,FALSE)&gt;2,VLOOKUP(A1434,'Forecast Z Scores'!$A$1:$N$1541,13,FALSE)/VLOOKUP(A1434,'Forecast Z Scores'!$A$1:$N$1541,14,FALSE),"Not Enough Data")</f>
        <v>Not Enough Data</v>
      </c>
      <c r="H1434" t="s">
        <v>203</v>
      </c>
    </row>
    <row r="1435" spans="1:8" x14ac:dyDescent="0.35">
      <c r="A1435" t="str">
        <f t="shared" si="22"/>
        <v>18057110807_2027</v>
      </c>
      <c r="B1435">
        <v>18057110807</v>
      </c>
      <c r="C1435">
        <v>2027</v>
      </c>
      <c r="E1435" t="e">
        <f>-(IF(VLOOKUP(B1435,'2023 Z Scores'!$A$1:$K$309,11,FALSE)&gt;2,VLOOKUP(B1435,'2023 Z Scores'!$A$1:$K$309,10,FALSE)/VLOOKUP(B1435,'2023 Z Scores'!$A$1:$K$309,11,FALSE),"Not Enough data"))</f>
        <v>#VALUE!</v>
      </c>
      <c r="F1435" t="str">
        <f>IF(VLOOKUP(A1435,'Delta Z Scores'!$A$1:$N$1541,14,FALSE)&gt;2,VLOOKUP(A1435,'Delta Z Scores'!$A$1:$N$1541,13,FALSE)/VLOOKUP(A1435,'Delta Z Scores'!$A$1:$N$1541,14,FALSE),"Not Enough Data")</f>
        <v>Not Enough Data</v>
      </c>
      <c r="G1435" t="str">
        <f>IF(VLOOKUP(A1435,'Forecast Z Scores'!$A$1:$N$1541,14,FALSE)&gt;2,VLOOKUP(A1435,'Forecast Z Scores'!$A$1:$N$1541,13,FALSE)/VLOOKUP(A1435,'Forecast Z Scores'!$A$1:$N$1541,14,FALSE),"Not Enough Data")</f>
        <v>Not Enough Data</v>
      </c>
      <c r="H1435" t="s">
        <v>203</v>
      </c>
    </row>
    <row r="1436" spans="1:8" x14ac:dyDescent="0.35">
      <c r="A1436" t="str">
        <f t="shared" si="22"/>
        <v>18057110807_2028</v>
      </c>
      <c r="B1436">
        <v>18057110807</v>
      </c>
      <c r="C1436">
        <v>2028</v>
      </c>
      <c r="E1436" t="e">
        <f>-(IF(VLOOKUP(B1436,'2023 Z Scores'!$A$1:$K$309,11,FALSE)&gt;2,VLOOKUP(B1436,'2023 Z Scores'!$A$1:$K$309,10,FALSE)/VLOOKUP(B1436,'2023 Z Scores'!$A$1:$K$309,11,FALSE),"Not Enough data"))</f>
        <v>#VALUE!</v>
      </c>
      <c r="F1436" t="str">
        <f>IF(VLOOKUP(A1436,'Delta Z Scores'!$A$1:$N$1541,14,FALSE)&gt;2,VLOOKUP(A1436,'Delta Z Scores'!$A$1:$N$1541,13,FALSE)/VLOOKUP(A1436,'Delta Z Scores'!$A$1:$N$1541,14,FALSE),"Not Enough Data")</f>
        <v>Not Enough Data</v>
      </c>
      <c r="G1436" t="str">
        <f>IF(VLOOKUP(A1436,'Forecast Z Scores'!$A$1:$N$1541,14,FALSE)&gt;2,VLOOKUP(A1436,'Forecast Z Scores'!$A$1:$N$1541,13,FALSE)/VLOOKUP(A1436,'Forecast Z Scores'!$A$1:$N$1541,14,FALSE),"Not Enough Data")</f>
        <v>Not Enough Data</v>
      </c>
      <c r="H1436" t="s">
        <v>203</v>
      </c>
    </row>
    <row r="1437" spans="1:8" x14ac:dyDescent="0.35">
      <c r="A1437" t="str">
        <f t="shared" si="22"/>
        <v>18057110810_2024</v>
      </c>
      <c r="B1437">
        <v>18057110810</v>
      </c>
      <c r="C1437">
        <v>2024</v>
      </c>
      <c r="E1437" t="e">
        <f>-(IF(VLOOKUP(B1437,'2023 Z Scores'!$A$1:$K$309,11,FALSE)&gt;2,VLOOKUP(B1437,'2023 Z Scores'!$A$1:$K$309,10,FALSE)/VLOOKUP(B1437,'2023 Z Scores'!$A$1:$K$309,11,FALSE),"Not Enough data"))</f>
        <v>#VALUE!</v>
      </c>
      <c r="F1437" t="str">
        <f>IF(VLOOKUP(A1437,'Delta Z Scores'!$A$1:$N$1541,14,FALSE)&gt;2,VLOOKUP(A1437,'Delta Z Scores'!$A$1:$N$1541,13,FALSE)/VLOOKUP(A1437,'Delta Z Scores'!$A$1:$N$1541,14,FALSE),"Not Enough Data")</f>
        <v>Not Enough Data</v>
      </c>
      <c r="G1437" t="str">
        <f>IF(VLOOKUP(A1437,'Forecast Z Scores'!$A$1:$N$1541,14,FALSE)&gt;2,VLOOKUP(A1437,'Forecast Z Scores'!$A$1:$N$1541,13,FALSE)/VLOOKUP(A1437,'Forecast Z Scores'!$A$1:$N$1541,14,FALSE),"Not Enough Data")</f>
        <v>Not Enough Data</v>
      </c>
      <c r="H1437" t="s">
        <v>203</v>
      </c>
    </row>
    <row r="1438" spans="1:8" x14ac:dyDescent="0.35">
      <c r="A1438" t="str">
        <f t="shared" si="22"/>
        <v>18057110810_2025</v>
      </c>
      <c r="B1438">
        <v>18057110810</v>
      </c>
      <c r="C1438">
        <v>2025</v>
      </c>
      <c r="E1438" t="e">
        <f>-(IF(VLOOKUP(B1438,'2023 Z Scores'!$A$1:$K$309,11,FALSE)&gt;2,VLOOKUP(B1438,'2023 Z Scores'!$A$1:$K$309,10,FALSE)/VLOOKUP(B1438,'2023 Z Scores'!$A$1:$K$309,11,FALSE),"Not Enough data"))</f>
        <v>#VALUE!</v>
      </c>
      <c r="F1438" t="str">
        <f>IF(VLOOKUP(A1438,'Delta Z Scores'!$A$1:$N$1541,14,FALSE)&gt;2,VLOOKUP(A1438,'Delta Z Scores'!$A$1:$N$1541,13,FALSE)/VLOOKUP(A1438,'Delta Z Scores'!$A$1:$N$1541,14,FALSE),"Not Enough Data")</f>
        <v>Not Enough Data</v>
      </c>
      <c r="G1438" t="str">
        <f>IF(VLOOKUP(A1438,'Forecast Z Scores'!$A$1:$N$1541,14,FALSE)&gt;2,VLOOKUP(A1438,'Forecast Z Scores'!$A$1:$N$1541,13,FALSE)/VLOOKUP(A1438,'Forecast Z Scores'!$A$1:$N$1541,14,FALSE),"Not Enough Data")</f>
        <v>Not Enough Data</v>
      </c>
      <c r="H1438" t="s">
        <v>203</v>
      </c>
    </row>
    <row r="1439" spans="1:8" x14ac:dyDescent="0.35">
      <c r="A1439" t="str">
        <f t="shared" si="22"/>
        <v>18057110810_2026</v>
      </c>
      <c r="B1439">
        <v>18057110810</v>
      </c>
      <c r="C1439">
        <v>2026</v>
      </c>
      <c r="E1439" t="e">
        <f>-(IF(VLOOKUP(B1439,'2023 Z Scores'!$A$1:$K$309,11,FALSE)&gt;2,VLOOKUP(B1439,'2023 Z Scores'!$A$1:$K$309,10,FALSE)/VLOOKUP(B1439,'2023 Z Scores'!$A$1:$K$309,11,FALSE),"Not Enough data"))</f>
        <v>#VALUE!</v>
      </c>
      <c r="F1439" t="str">
        <f>IF(VLOOKUP(A1439,'Delta Z Scores'!$A$1:$N$1541,14,FALSE)&gt;2,VLOOKUP(A1439,'Delta Z Scores'!$A$1:$N$1541,13,FALSE)/VLOOKUP(A1439,'Delta Z Scores'!$A$1:$N$1541,14,FALSE),"Not Enough Data")</f>
        <v>Not Enough Data</v>
      </c>
      <c r="G1439" t="str">
        <f>IF(VLOOKUP(A1439,'Forecast Z Scores'!$A$1:$N$1541,14,FALSE)&gt;2,VLOOKUP(A1439,'Forecast Z Scores'!$A$1:$N$1541,13,FALSE)/VLOOKUP(A1439,'Forecast Z Scores'!$A$1:$N$1541,14,FALSE),"Not Enough Data")</f>
        <v>Not Enough Data</v>
      </c>
      <c r="H1439" t="s">
        <v>203</v>
      </c>
    </row>
    <row r="1440" spans="1:8" x14ac:dyDescent="0.35">
      <c r="A1440" t="str">
        <f t="shared" si="22"/>
        <v>18057110810_2027</v>
      </c>
      <c r="B1440">
        <v>18057110810</v>
      </c>
      <c r="C1440">
        <v>2027</v>
      </c>
      <c r="E1440" t="e">
        <f>-(IF(VLOOKUP(B1440,'2023 Z Scores'!$A$1:$K$309,11,FALSE)&gt;2,VLOOKUP(B1440,'2023 Z Scores'!$A$1:$K$309,10,FALSE)/VLOOKUP(B1440,'2023 Z Scores'!$A$1:$K$309,11,FALSE),"Not Enough data"))</f>
        <v>#VALUE!</v>
      </c>
      <c r="F1440" t="str">
        <f>IF(VLOOKUP(A1440,'Delta Z Scores'!$A$1:$N$1541,14,FALSE)&gt;2,VLOOKUP(A1440,'Delta Z Scores'!$A$1:$N$1541,13,FALSE)/VLOOKUP(A1440,'Delta Z Scores'!$A$1:$N$1541,14,FALSE),"Not Enough Data")</f>
        <v>Not Enough Data</v>
      </c>
      <c r="G1440" t="str">
        <f>IF(VLOOKUP(A1440,'Forecast Z Scores'!$A$1:$N$1541,14,FALSE)&gt;2,VLOOKUP(A1440,'Forecast Z Scores'!$A$1:$N$1541,13,FALSE)/VLOOKUP(A1440,'Forecast Z Scores'!$A$1:$N$1541,14,FALSE),"Not Enough Data")</f>
        <v>Not Enough Data</v>
      </c>
      <c r="H1440" t="s">
        <v>203</v>
      </c>
    </row>
    <row r="1441" spans="1:8" x14ac:dyDescent="0.35">
      <c r="A1441" t="str">
        <f t="shared" si="22"/>
        <v>18057110810_2028</v>
      </c>
      <c r="B1441">
        <v>18057110810</v>
      </c>
      <c r="C1441">
        <v>2028</v>
      </c>
      <c r="E1441" t="e">
        <f>-(IF(VLOOKUP(B1441,'2023 Z Scores'!$A$1:$K$309,11,FALSE)&gt;2,VLOOKUP(B1441,'2023 Z Scores'!$A$1:$K$309,10,FALSE)/VLOOKUP(B1441,'2023 Z Scores'!$A$1:$K$309,11,FALSE),"Not Enough data"))</f>
        <v>#VALUE!</v>
      </c>
      <c r="F1441" t="str">
        <f>IF(VLOOKUP(A1441,'Delta Z Scores'!$A$1:$N$1541,14,FALSE)&gt;2,VLOOKUP(A1441,'Delta Z Scores'!$A$1:$N$1541,13,FALSE)/VLOOKUP(A1441,'Delta Z Scores'!$A$1:$N$1541,14,FALSE),"Not Enough Data")</f>
        <v>Not Enough Data</v>
      </c>
      <c r="G1441" t="str">
        <f>IF(VLOOKUP(A1441,'Forecast Z Scores'!$A$1:$N$1541,14,FALSE)&gt;2,VLOOKUP(A1441,'Forecast Z Scores'!$A$1:$N$1541,13,FALSE)/VLOOKUP(A1441,'Forecast Z Scores'!$A$1:$N$1541,14,FALSE),"Not Enough Data")</f>
        <v>Not Enough Data</v>
      </c>
      <c r="H1441" t="s">
        <v>203</v>
      </c>
    </row>
    <row r="1442" spans="1:8" x14ac:dyDescent="0.35">
      <c r="A1442" t="str">
        <f t="shared" si="22"/>
        <v>18057110813_2024</v>
      </c>
      <c r="B1442">
        <v>18057110813</v>
      </c>
      <c r="C1442">
        <v>2024</v>
      </c>
      <c r="E1442" t="e">
        <f>-(IF(VLOOKUP(B1442,'2023 Z Scores'!$A$1:$K$309,11,FALSE)&gt;2,VLOOKUP(B1442,'2023 Z Scores'!$A$1:$K$309,10,FALSE)/VLOOKUP(B1442,'2023 Z Scores'!$A$1:$K$309,11,FALSE),"Not Enough data"))</f>
        <v>#VALUE!</v>
      </c>
      <c r="F1442" t="str">
        <f>IF(VLOOKUP(A1442,'Delta Z Scores'!$A$1:$N$1541,14,FALSE)&gt;2,VLOOKUP(A1442,'Delta Z Scores'!$A$1:$N$1541,13,FALSE)/VLOOKUP(A1442,'Delta Z Scores'!$A$1:$N$1541,14,FALSE),"Not Enough Data")</f>
        <v>Not Enough Data</v>
      </c>
      <c r="G1442" t="str">
        <f>IF(VLOOKUP(A1442,'Forecast Z Scores'!$A$1:$N$1541,14,FALSE)&gt;2,VLOOKUP(A1442,'Forecast Z Scores'!$A$1:$N$1541,13,FALSE)/VLOOKUP(A1442,'Forecast Z Scores'!$A$1:$N$1541,14,FALSE),"Not Enough Data")</f>
        <v>Not Enough Data</v>
      </c>
      <c r="H1442" t="s">
        <v>203</v>
      </c>
    </row>
    <row r="1443" spans="1:8" x14ac:dyDescent="0.35">
      <c r="A1443" t="str">
        <f t="shared" si="22"/>
        <v>18057110813_2025</v>
      </c>
      <c r="B1443">
        <v>18057110813</v>
      </c>
      <c r="C1443">
        <v>2025</v>
      </c>
      <c r="E1443" t="e">
        <f>-(IF(VLOOKUP(B1443,'2023 Z Scores'!$A$1:$K$309,11,FALSE)&gt;2,VLOOKUP(B1443,'2023 Z Scores'!$A$1:$K$309,10,FALSE)/VLOOKUP(B1443,'2023 Z Scores'!$A$1:$K$309,11,FALSE),"Not Enough data"))</f>
        <v>#VALUE!</v>
      </c>
      <c r="F1443" t="str">
        <f>IF(VLOOKUP(A1443,'Delta Z Scores'!$A$1:$N$1541,14,FALSE)&gt;2,VLOOKUP(A1443,'Delta Z Scores'!$A$1:$N$1541,13,FALSE)/VLOOKUP(A1443,'Delta Z Scores'!$A$1:$N$1541,14,FALSE),"Not Enough Data")</f>
        <v>Not Enough Data</v>
      </c>
      <c r="G1443" t="str">
        <f>IF(VLOOKUP(A1443,'Forecast Z Scores'!$A$1:$N$1541,14,FALSE)&gt;2,VLOOKUP(A1443,'Forecast Z Scores'!$A$1:$N$1541,13,FALSE)/VLOOKUP(A1443,'Forecast Z Scores'!$A$1:$N$1541,14,FALSE),"Not Enough Data")</f>
        <v>Not Enough Data</v>
      </c>
      <c r="H1443" t="s">
        <v>203</v>
      </c>
    </row>
    <row r="1444" spans="1:8" x14ac:dyDescent="0.35">
      <c r="A1444" t="str">
        <f t="shared" si="22"/>
        <v>18057110813_2026</v>
      </c>
      <c r="B1444">
        <v>18057110813</v>
      </c>
      <c r="C1444">
        <v>2026</v>
      </c>
      <c r="E1444" t="e">
        <f>-(IF(VLOOKUP(B1444,'2023 Z Scores'!$A$1:$K$309,11,FALSE)&gt;2,VLOOKUP(B1444,'2023 Z Scores'!$A$1:$K$309,10,FALSE)/VLOOKUP(B1444,'2023 Z Scores'!$A$1:$K$309,11,FALSE),"Not Enough data"))</f>
        <v>#VALUE!</v>
      </c>
      <c r="F1444" t="str">
        <f>IF(VLOOKUP(A1444,'Delta Z Scores'!$A$1:$N$1541,14,FALSE)&gt;2,VLOOKUP(A1444,'Delta Z Scores'!$A$1:$N$1541,13,FALSE)/VLOOKUP(A1444,'Delta Z Scores'!$A$1:$N$1541,14,FALSE),"Not Enough Data")</f>
        <v>Not Enough Data</v>
      </c>
      <c r="G1444" t="str">
        <f>IF(VLOOKUP(A1444,'Forecast Z Scores'!$A$1:$N$1541,14,FALSE)&gt;2,VLOOKUP(A1444,'Forecast Z Scores'!$A$1:$N$1541,13,FALSE)/VLOOKUP(A1444,'Forecast Z Scores'!$A$1:$N$1541,14,FALSE),"Not Enough Data")</f>
        <v>Not Enough Data</v>
      </c>
      <c r="H1444" t="s">
        <v>203</v>
      </c>
    </row>
    <row r="1445" spans="1:8" x14ac:dyDescent="0.35">
      <c r="A1445" t="str">
        <f t="shared" si="22"/>
        <v>18057110813_2027</v>
      </c>
      <c r="B1445">
        <v>18057110813</v>
      </c>
      <c r="C1445">
        <v>2027</v>
      </c>
      <c r="E1445" t="e">
        <f>-(IF(VLOOKUP(B1445,'2023 Z Scores'!$A$1:$K$309,11,FALSE)&gt;2,VLOOKUP(B1445,'2023 Z Scores'!$A$1:$K$309,10,FALSE)/VLOOKUP(B1445,'2023 Z Scores'!$A$1:$K$309,11,FALSE),"Not Enough data"))</f>
        <v>#VALUE!</v>
      </c>
      <c r="F1445" t="str">
        <f>IF(VLOOKUP(A1445,'Delta Z Scores'!$A$1:$N$1541,14,FALSE)&gt;2,VLOOKUP(A1445,'Delta Z Scores'!$A$1:$N$1541,13,FALSE)/VLOOKUP(A1445,'Delta Z Scores'!$A$1:$N$1541,14,FALSE),"Not Enough Data")</f>
        <v>Not Enough Data</v>
      </c>
      <c r="G1445" t="str">
        <f>IF(VLOOKUP(A1445,'Forecast Z Scores'!$A$1:$N$1541,14,FALSE)&gt;2,VLOOKUP(A1445,'Forecast Z Scores'!$A$1:$N$1541,13,FALSE)/VLOOKUP(A1445,'Forecast Z Scores'!$A$1:$N$1541,14,FALSE),"Not Enough Data")</f>
        <v>Not Enough Data</v>
      </c>
      <c r="H1445" t="s">
        <v>203</v>
      </c>
    </row>
    <row r="1446" spans="1:8" x14ac:dyDescent="0.35">
      <c r="A1446" t="str">
        <f t="shared" si="22"/>
        <v>18057110813_2028</v>
      </c>
      <c r="B1446">
        <v>18057110813</v>
      </c>
      <c r="C1446">
        <v>2028</v>
      </c>
      <c r="E1446" t="e">
        <f>-(IF(VLOOKUP(B1446,'2023 Z Scores'!$A$1:$K$309,11,FALSE)&gt;2,VLOOKUP(B1446,'2023 Z Scores'!$A$1:$K$309,10,FALSE)/VLOOKUP(B1446,'2023 Z Scores'!$A$1:$K$309,11,FALSE),"Not Enough data"))</f>
        <v>#VALUE!</v>
      </c>
      <c r="F1446" t="str">
        <f>IF(VLOOKUP(A1446,'Delta Z Scores'!$A$1:$N$1541,14,FALSE)&gt;2,VLOOKUP(A1446,'Delta Z Scores'!$A$1:$N$1541,13,FALSE)/VLOOKUP(A1446,'Delta Z Scores'!$A$1:$N$1541,14,FALSE),"Not Enough Data")</f>
        <v>Not Enough Data</v>
      </c>
      <c r="G1446" t="str">
        <f>IF(VLOOKUP(A1446,'Forecast Z Scores'!$A$1:$N$1541,14,FALSE)&gt;2,VLOOKUP(A1446,'Forecast Z Scores'!$A$1:$N$1541,13,FALSE)/VLOOKUP(A1446,'Forecast Z Scores'!$A$1:$N$1541,14,FALSE),"Not Enough Data")</f>
        <v>Not Enough Data</v>
      </c>
      <c r="H1446" t="s">
        <v>203</v>
      </c>
    </row>
    <row r="1447" spans="1:8" x14ac:dyDescent="0.35">
      <c r="A1447" t="str">
        <f t="shared" si="22"/>
        <v>18057110822_2024</v>
      </c>
      <c r="B1447">
        <v>18057110822</v>
      </c>
      <c r="C1447">
        <v>2024</v>
      </c>
      <c r="E1447" t="e">
        <f>-(IF(VLOOKUP(B1447,'2023 Z Scores'!$A$1:$K$309,11,FALSE)&gt;2,VLOOKUP(B1447,'2023 Z Scores'!$A$1:$K$309,10,FALSE)/VLOOKUP(B1447,'2023 Z Scores'!$A$1:$K$309,11,FALSE),"Not Enough data"))</f>
        <v>#VALUE!</v>
      </c>
      <c r="F1447" t="str">
        <f>IF(VLOOKUP(A1447,'Delta Z Scores'!$A$1:$N$1541,14,FALSE)&gt;2,VLOOKUP(A1447,'Delta Z Scores'!$A$1:$N$1541,13,FALSE)/VLOOKUP(A1447,'Delta Z Scores'!$A$1:$N$1541,14,FALSE),"Not Enough Data")</f>
        <v>Not Enough Data</v>
      </c>
      <c r="G1447" t="str">
        <f>IF(VLOOKUP(A1447,'Forecast Z Scores'!$A$1:$N$1541,14,FALSE)&gt;2,VLOOKUP(A1447,'Forecast Z Scores'!$A$1:$N$1541,13,FALSE)/VLOOKUP(A1447,'Forecast Z Scores'!$A$1:$N$1541,14,FALSE),"Not Enough Data")</f>
        <v>Not Enough Data</v>
      </c>
      <c r="H1447" t="s">
        <v>203</v>
      </c>
    </row>
    <row r="1448" spans="1:8" x14ac:dyDescent="0.35">
      <c r="A1448" t="str">
        <f t="shared" si="22"/>
        <v>18057110822_2025</v>
      </c>
      <c r="B1448">
        <v>18057110822</v>
      </c>
      <c r="C1448">
        <v>2025</v>
      </c>
      <c r="E1448" t="e">
        <f>-(IF(VLOOKUP(B1448,'2023 Z Scores'!$A$1:$K$309,11,FALSE)&gt;2,VLOOKUP(B1448,'2023 Z Scores'!$A$1:$K$309,10,FALSE)/VLOOKUP(B1448,'2023 Z Scores'!$A$1:$K$309,11,FALSE),"Not Enough data"))</f>
        <v>#VALUE!</v>
      </c>
      <c r="F1448" t="str">
        <f>IF(VLOOKUP(A1448,'Delta Z Scores'!$A$1:$N$1541,14,FALSE)&gt;2,VLOOKUP(A1448,'Delta Z Scores'!$A$1:$N$1541,13,FALSE)/VLOOKUP(A1448,'Delta Z Scores'!$A$1:$N$1541,14,FALSE),"Not Enough Data")</f>
        <v>Not Enough Data</v>
      </c>
      <c r="G1448" t="str">
        <f>IF(VLOOKUP(A1448,'Forecast Z Scores'!$A$1:$N$1541,14,FALSE)&gt;2,VLOOKUP(A1448,'Forecast Z Scores'!$A$1:$N$1541,13,FALSE)/VLOOKUP(A1448,'Forecast Z Scores'!$A$1:$N$1541,14,FALSE),"Not Enough Data")</f>
        <v>Not Enough Data</v>
      </c>
      <c r="H1448" t="s">
        <v>203</v>
      </c>
    </row>
    <row r="1449" spans="1:8" x14ac:dyDescent="0.35">
      <c r="A1449" t="str">
        <f t="shared" si="22"/>
        <v>18057110822_2026</v>
      </c>
      <c r="B1449">
        <v>18057110822</v>
      </c>
      <c r="C1449">
        <v>2026</v>
      </c>
      <c r="E1449" t="e">
        <f>-(IF(VLOOKUP(B1449,'2023 Z Scores'!$A$1:$K$309,11,FALSE)&gt;2,VLOOKUP(B1449,'2023 Z Scores'!$A$1:$K$309,10,FALSE)/VLOOKUP(B1449,'2023 Z Scores'!$A$1:$K$309,11,FALSE),"Not Enough data"))</f>
        <v>#VALUE!</v>
      </c>
      <c r="F1449" t="str">
        <f>IF(VLOOKUP(A1449,'Delta Z Scores'!$A$1:$N$1541,14,FALSE)&gt;2,VLOOKUP(A1449,'Delta Z Scores'!$A$1:$N$1541,13,FALSE)/VLOOKUP(A1449,'Delta Z Scores'!$A$1:$N$1541,14,FALSE),"Not Enough Data")</f>
        <v>Not Enough Data</v>
      </c>
      <c r="G1449" t="str">
        <f>IF(VLOOKUP(A1449,'Forecast Z Scores'!$A$1:$N$1541,14,FALSE)&gt;2,VLOOKUP(A1449,'Forecast Z Scores'!$A$1:$N$1541,13,FALSE)/VLOOKUP(A1449,'Forecast Z Scores'!$A$1:$N$1541,14,FALSE),"Not Enough Data")</f>
        <v>Not Enough Data</v>
      </c>
      <c r="H1449" t="s">
        <v>203</v>
      </c>
    </row>
    <row r="1450" spans="1:8" x14ac:dyDescent="0.35">
      <c r="A1450" t="str">
        <f t="shared" si="22"/>
        <v>18057110822_2027</v>
      </c>
      <c r="B1450">
        <v>18057110822</v>
      </c>
      <c r="C1450">
        <v>2027</v>
      </c>
      <c r="E1450" t="e">
        <f>-(IF(VLOOKUP(B1450,'2023 Z Scores'!$A$1:$K$309,11,FALSE)&gt;2,VLOOKUP(B1450,'2023 Z Scores'!$A$1:$K$309,10,FALSE)/VLOOKUP(B1450,'2023 Z Scores'!$A$1:$K$309,11,FALSE),"Not Enough data"))</f>
        <v>#VALUE!</v>
      </c>
      <c r="F1450" t="str">
        <f>IF(VLOOKUP(A1450,'Delta Z Scores'!$A$1:$N$1541,14,FALSE)&gt;2,VLOOKUP(A1450,'Delta Z Scores'!$A$1:$N$1541,13,FALSE)/VLOOKUP(A1450,'Delta Z Scores'!$A$1:$N$1541,14,FALSE),"Not Enough Data")</f>
        <v>Not Enough Data</v>
      </c>
      <c r="G1450" t="str">
        <f>IF(VLOOKUP(A1450,'Forecast Z Scores'!$A$1:$N$1541,14,FALSE)&gt;2,VLOOKUP(A1450,'Forecast Z Scores'!$A$1:$N$1541,13,FALSE)/VLOOKUP(A1450,'Forecast Z Scores'!$A$1:$N$1541,14,FALSE),"Not Enough Data")</f>
        <v>Not Enough Data</v>
      </c>
      <c r="H1450" t="s">
        <v>203</v>
      </c>
    </row>
    <row r="1451" spans="1:8" x14ac:dyDescent="0.35">
      <c r="A1451" t="str">
        <f t="shared" si="22"/>
        <v>18057110822_2028</v>
      </c>
      <c r="B1451">
        <v>18057110822</v>
      </c>
      <c r="C1451">
        <v>2028</v>
      </c>
      <c r="E1451" t="e">
        <f>-(IF(VLOOKUP(B1451,'2023 Z Scores'!$A$1:$K$309,11,FALSE)&gt;2,VLOOKUP(B1451,'2023 Z Scores'!$A$1:$K$309,10,FALSE)/VLOOKUP(B1451,'2023 Z Scores'!$A$1:$K$309,11,FALSE),"Not Enough data"))</f>
        <v>#VALUE!</v>
      </c>
      <c r="F1451" t="str">
        <f>IF(VLOOKUP(A1451,'Delta Z Scores'!$A$1:$N$1541,14,FALSE)&gt;2,VLOOKUP(A1451,'Delta Z Scores'!$A$1:$N$1541,13,FALSE)/VLOOKUP(A1451,'Delta Z Scores'!$A$1:$N$1541,14,FALSE),"Not Enough Data")</f>
        <v>Not Enough Data</v>
      </c>
      <c r="G1451" t="str">
        <f>IF(VLOOKUP(A1451,'Forecast Z Scores'!$A$1:$N$1541,14,FALSE)&gt;2,VLOOKUP(A1451,'Forecast Z Scores'!$A$1:$N$1541,13,FALSE)/VLOOKUP(A1451,'Forecast Z Scores'!$A$1:$N$1541,14,FALSE),"Not Enough Data")</f>
        <v>Not Enough Data</v>
      </c>
      <c r="H1451" t="s">
        <v>203</v>
      </c>
    </row>
    <row r="1452" spans="1:8" x14ac:dyDescent="0.35">
      <c r="A1452" t="str">
        <f t="shared" si="22"/>
        <v>18057111006_2024</v>
      </c>
      <c r="B1452">
        <v>18057111006</v>
      </c>
      <c r="C1452">
        <v>2024</v>
      </c>
      <c r="E1452" t="e">
        <f>-(IF(VLOOKUP(B1452,'2023 Z Scores'!$A$1:$K$309,11,FALSE)&gt;2,VLOOKUP(B1452,'2023 Z Scores'!$A$1:$K$309,10,FALSE)/VLOOKUP(B1452,'2023 Z Scores'!$A$1:$K$309,11,FALSE),"Not Enough data"))</f>
        <v>#VALUE!</v>
      </c>
      <c r="F1452" t="str">
        <f>IF(VLOOKUP(A1452,'Delta Z Scores'!$A$1:$N$1541,14,FALSE)&gt;2,VLOOKUP(A1452,'Delta Z Scores'!$A$1:$N$1541,13,FALSE)/VLOOKUP(A1452,'Delta Z Scores'!$A$1:$N$1541,14,FALSE),"Not Enough Data")</f>
        <v>Not Enough Data</v>
      </c>
      <c r="G1452" t="str">
        <f>IF(VLOOKUP(A1452,'Forecast Z Scores'!$A$1:$N$1541,14,FALSE)&gt;2,VLOOKUP(A1452,'Forecast Z Scores'!$A$1:$N$1541,13,FALSE)/VLOOKUP(A1452,'Forecast Z Scores'!$A$1:$N$1541,14,FALSE),"Not Enough Data")</f>
        <v>Not Enough Data</v>
      </c>
      <c r="H1452" t="s">
        <v>203</v>
      </c>
    </row>
    <row r="1453" spans="1:8" x14ac:dyDescent="0.35">
      <c r="A1453" t="str">
        <f t="shared" si="22"/>
        <v>18057111006_2025</v>
      </c>
      <c r="B1453">
        <v>18057111006</v>
      </c>
      <c r="C1453">
        <v>2025</v>
      </c>
      <c r="E1453" t="e">
        <f>-(IF(VLOOKUP(B1453,'2023 Z Scores'!$A$1:$K$309,11,FALSE)&gt;2,VLOOKUP(B1453,'2023 Z Scores'!$A$1:$K$309,10,FALSE)/VLOOKUP(B1453,'2023 Z Scores'!$A$1:$K$309,11,FALSE),"Not Enough data"))</f>
        <v>#VALUE!</v>
      </c>
      <c r="F1453" t="str">
        <f>IF(VLOOKUP(A1453,'Delta Z Scores'!$A$1:$N$1541,14,FALSE)&gt;2,VLOOKUP(A1453,'Delta Z Scores'!$A$1:$N$1541,13,FALSE)/VLOOKUP(A1453,'Delta Z Scores'!$A$1:$N$1541,14,FALSE),"Not Enough Data")</f>
        <v>Not Enough Data</v>
      </c>
      <c r="G1453" t="str">
        <f>IF(VLOOKUP(A1453,'Forecast Z Scores'!$A$1:$N$1541,14,FALSE)&gt;2,VLOOKUP(A1453,'Forecast Z Scores'!$A$1:$N$1541,13,FALSE)/VLOOKUP(A1453,'Forecast Z Scores'!$A$1:$N$1541,14,FALSE),"Not Enough Data")</f>
        <v>Not Enough Data</v>
      </c>
      <c r="H1453" t="s">
        <v>203</v>
      </c>
    </row>
    <row r="1454" spans="1:8" x14ac:dyDescent="0.35">
      <c r="A1454" t="str">
        <f t="shared" si="22"/>
        <v>18057111006_2026</v>
      </c>
      <c r="B1454">
        <v>18057111006</v>
      </c>
      <c r="C1454">
        <v>2026</v>
      </c>
      <c r="E1454" t="e">
        <f>-(IF(VLOOKUP(B1454,'2023 Z Scores'!$A$1:$K$309,11,FALSE)&gt;2,VLOOKUP(B1454,'2023 Z Scores'!$A$1:$K$309,10,FALSE)/VLOOKUP(B1454,'2023 Z Scores'!$A$1:$K$309,11,FALSE),"Not Enough data"))</f>
        <v>#VALUE!</v>
      </c>
      <c r="F1454" t="str">
        <f>IF(VLOOKUP(A1454,'Delta Z Scores'!$A$1:$N$1541,14,FALSE)&gt;2,VLOOKUP(A1454,'Delta Z Scores'!$A$1:$N$1541,13,FALSE)/VLOOKUP(A1454,'Delta Z Scores'!$A$1:$N$1541,14,FALSE),"Not Enough Data")</f>
        <v>Not Enough Data</v>
      </c>
      <c r="G1454" t="str">
        <f>IF(VLOOKUP(A1454,'Forecast Z Scores'!$A$1:$N$1541,14,FALSE)&gt;2,VLOOKUP(A1454,'Forecast Z Scores'!$A$1:$N$1541,13,FALSE)/VLOOKUP(A1454,'Forecast Z Scores'!$A$1:$N$1541,14,FALSE),"Not Enough Data")</f>
        <v>Not Enough Data</v>
      </c>
      <c r="H1454" t="s">
        <v>203</v>
      </c>
    </row>
    <row r="1455" spans="1:8" x14ac:dyDescent="0.35">
      <c r="A1455" t="str">
        <f t="shared" si="22"/>
        <v>18057111006_2027</v>
      </c>
      <c r="B1455">
        <v>18057111006</v>
      </c>
      <c r="C1455">
        <v>2027</v>
      </c>
      <c r="E1455" t="e">
        <f>-(IF(VLOOKUP(B1455,'2023 Z Scores'!$A$1:$K$309,11,FALSE)&gt;2,VLOOKUP(B1455,'2023 Z Scores'!$A$1:$K$309,10,FALSE)/VLOOKUP(B1455,'2023 Z Scores'!$A$1:$K$309,11,FALSE),"Not Enough data"))</f>
        <v>#VALUE!</v>
      </c>
      <c r="F1455" t="str">
        <f>IF(VLOOKUP(A1455,'Delta Z Scores'!$A$1:$N$1541,14,FALSE)&gt;2,VLOOKUP(A1455,'Delta Z Scores'!$A$1:$N$1541,13,FALSE)/VLOOKUP(A1455,'Delta Z Scores'!$A$1:$N$1541,14,FALSE),"Not Enough Data")</f>
        <v>Not Enough Data</v>
      </c>
      <c r="G1455" t="str">
        <f>IF(VLOOKUP(A1455,'Forecast Z Scores'!$A$1:$N$1541,14,FALSE)&gt;2,VLOOKUP(A1455,'Forecast Z Scores'!$A$1:$N$1541,13,FALSE)/VLOOKUP(A1455,'Forecast Z Scores'!$A$1:$N$1541,14,FALSE),"Not Enough Data")</f>
        <v>Not Enough Data</v>
      </c>
      <c r="H1455" t="s">
        <v>203</v>
      </c>
    </row>
    <row r="1456" spans="1:8" x14ac:dyDescent="0.35">
      <c r="A1456" t="str">
        <f t="shared" si="22"/>
        <v>18057111006_2028</v>
      </c>
      <c r="B1456">
        <v>18057111006</v>
      </c>
      <c r="C1456">
        <v>2028</v>
      </c>
      <c r="E1456" t="e">
        <f>-(IF(VLOOKUP(B1456,'2023 Z Scores'!$A$1:$K$309,11,FALSE)&gt;2,VLOOKUP(B1456,'2023 Z Scores'!$A$1:$K$309,10,FALSE)/VLOOKUP(B1456,'2023 Z Scores'!$A$1:$K$309,11,FALSE),"Not Enough data"))</f>
        <v>#VALUE!</v>
      </c>
      <c r="F1456" t="str">
        <f>IF(VLOOKUP(A1456,'Delta Z Scores'!$A$1:$N$1541,14,FALSE)&gt;2,VLOOKUP(A1456,'Delta Z Scores'!$A$1:$N$1541,13,FALSE)/VLOOKUP(A1456,'Delta Z Scores'!$A$1:$N$1541,14,FALSE),"Not Enough Data")</f>
        <v>Not Enough Data</v>
      </c>
      <c r="G1456" t="str">
        <f>IF(VLOOKUP(A1456,'Forecast Z Scores'!$A$1:$N$1541,14,FALSE)&gt;2,VLOOKUP(A1456,'Forecast Z Scores'!$A$1:$N$1541,13,FALSE)/VLOOKUP(A1456,'Forecast Z Scores'!$A$1:$N$1541,14,FALSE),"Not Enough Data")</f>
        <v>Not Enough Data</v>
      </c>
      <c r="H1456" t="s">
        <v>203</v>
      </c>
    </row>
    <row r="1457" spans="1:8" x14ac:dyDescent="0.35">
      <c r="A1457" t="str">
        <f t="shared" si="22"/>
        <v>18057111101_2024</v>
      </c>
      <c r="B1457">
        <v>18057111101</v>
      </c>
      <c r="C1457">
        <v>2024</v>
      </c>
      <c r="E1457" t="e">
        <f>-(IF(VLOOKUP(B1457,'2023 Z Scores'!$A$1:$K$309,11,FALSE)&gt;2,VLOOKUP(B1457,'2023 Z Scores'!$A$1:$K$309,10,FALSE)/VLOOKUP(B1457,'2023 Z Scores'!$A$1:$K$309,11,FALSE),"Not Enough data"))</f>
        <v>#VALUE!</v>
      </c>
      <c r="F1457" t="str">
        <f>IF(VLOOKUP(A1457,'Delta Z Scores'!$A$1:$N$1541,14,FALSE)&gt;2,VLOOKUP(A1457,'Delta Z Scores'!$A$1:$N$1541,13,FALSE)/VLOOKUP(A1457,'Delta Z Scores'!$A$1:$N$1541,14,FALSE),"Not Enough Data")</f>
        <v>Not Enough Data</v>
      </c>
      <c r="G1457" t="str">
        <f>IF(VLOOKUP(A1457,'Forecast Z Scores'!$A$1:$N$1541,14,FALSE)&gt;2,VLOOKUP(A1457,'Forecast Z Scores'!$A$1:$N$1541,13,FALSE)/VLOOKUP(A1457,'Forecast Z Scores'!$A$1:$N$1541,14,FALSE),"Not Enough Data")</f>
        <v>Not Enough Data</v>
      </c>
      <c r="H1457" t="s">
        <v>203</v>
      </c>
    </row>
    <row r="1458" spans="1:8" x14ac:dyDescent="0.35">
      <c r="A1458" t="str">
        <f t="shared" si="22"/>
        <v>18057111101_2025</v>
      </c>
      <c r="B1458">
        <v>18057111101</v>
      </c>
      <c r="C1458">
        <v>2025</v>
      </c>
      <c r="E1458" t="e">
        <f>-(IF(VLOOKUP(B1458,'2023 Z Scores'!$A$1:$K$309,11,FALSE)&gt;2,VLOOKUP(B1458,'2023 Z Scores'!$A$1:$K$309,10,FALSE)/VLOOKUP(B1458,'2023 Z Scores'!$A$1:$K$309,11,FALSE),"Not Enough data"))</f>
        <v>#VALUE!</v>
      </c>
      <c r="F1458" t="str">
        <f>IF(VLOOKUP(A1458,'Delta Z Scores'!$A$1:$N$1541,14,FALSE)&gt;2,VLOOKUP(A1458,'Delta Z Scores'!$A$1:$N$1541,13,FALSE)/VLOOKUP(A1458,'Delta Z Scores'!$A$1:$N$1541,14,FALSE),"Not Enough Data")</f>
        <v>Not Enough Data</v>
      </c>
      <c r="G1458" t="str">
        <f>IF(VLOOKUP(A1458,'Forecast Z Scores'!$A$1:$N$1541,14,FALSE)&gt;2,VLOOKUP(A1458,'Forecast Z Scores'!$A$1:$N$1541,13,FALSE)/VLOOKUP(A1458,'Forecast Z Scores'!$A$1:$N$1541,14,FALSE),"Not Enough Data")</f>
        <v>Not Enough Data</v>
      </c>
      <c r="H1458" t="s">
        <v>203</v>
      </c>
    </row>
    <row r="1459" spans="1:8" x14ac:dyDescent="0.35">
      <c r="A1459" t="str">
        <f t="shared" si="22"/>
        <v>18057111101_2026</v>
      </c>
      <c r="B1459">
        <v>18057111101</v>
      </c>
      <c r="C1459">
        <v>2026</v>
      </c>
      <c r="E1459" t="e">
        <f>-(IF(VLOOKUP(B1459,'2023 Z Scores'!$A$1:$K$309,11,FALSE)&gt;2,VLOOKUP(B1459,'2023 Z Scores'!$A$1:$K$309,10,FALSE)/VLOOKUP(B1459,'2023 Z Scores'!$A$1:$K$309,11,FALSE),"Not Enough data"))</f>
        <v>#VALUE!</v>
      </c>
      <c r="F1459" t="str">
        <f>IF(VLOOKUP(A1459,'Delta Z Scores'!$A$1:$N$1541,14,FALSE)&gt;2,VLOOKUP(A1459,'Delta Z Scores'!$A$1:$N$1541,13,FALSE)/VLOOKUP(A1459,'Delta Z Scores'!$A$1:$N$1541,14,FALSE),"Not Enough Data")</f>
        <v>Not Enough Data</v>
      </c>
      <c r="G1459" t="str">
        <f>IF(VLOOKUP(A1459,'Forecast Z Scores'!$A$1:$N$1541,14,FALSE)&gt;2,VLOOKUP(A1459,'Forecast Z Scores'!$A$1:$N$1541,13,FALSE)/VLOOKUP(A1459,'Forecast Z Scores'!$A$1:$N$1541,14,FALSE),"Not Enough Data")</f>
        <v>Not Enough Data</v>
      </c>
      <c r="H1459" t="s">
        <v>203</v>
      </c>
    </row>
    <row r="1460" spans="1:8" x14ac:dyDescent="0.35">
      <c r="A1460" t="str">
        <f t="shared" si="22"/>
        <v>18057111101_2027</v>
      </c>
      <c r="B1460">
        <v>18057111101</v>
      </c>
      <c r="C1460">
        <v>2027</v>
      </c>
      <c r="E1460" t="e">
        <f>-(IF(VLOOKUP(B1460,'2023 Z Scores'!$A$1:$K$309,11,FALSE)&gt;2,VLOOKUP(B1460,'2023 Z Scores'!$A$1:$K$309,10,FALSE)/VLOOKUP(B1460,'2023 Z Scores'!$A$1:$K$309,11,FALSE),"Not Enough data"))</f>
        <v>#VALUE!</v>
      </c>
      <c r="F1460" t="str">
        <f>IF(VLOOKUP(A1460,'Delta Z Scores'!$A$1:$N$1541,14,FALSE)&gt;2,VLOOKUP(A1460,'Delta Z Scores'!$A$1:$N$1541,13,FALSE)/VLOOKUP(A1460,'Delta Z Scores'!$A$1:$N$1541,14,FALSE),"Not Enough Data")</f>
        <v>Not Enough Data</v>
      </c>
      <c r="G1460" t="str">
        <f>IF(VLOOKUP(A1460,'Forecast Z Scores'!$A$1:$N$1541,14,FALSE)&gt;2,VLOOKUP(A1460,'Forecast Z Scores'!$A$1:$N$1541,13,FALSE)/VLOOKUP(A1460,'Forecast Z Scores'!$A$1:$N$1541,14,FALSE),"Not Enough Data")</f>
        <v>Not Enough Data</v>
      </c>
      <c r="H1460" t="s">
        <v>203</v>
      </c>
    </row>
    <row r="1461" spans="1:8" x14ac:dyDescent="0.35">
      <c r="A1461" t="str">
        <f t="shared" si="22"/>
        <v>18057111101_2028</v>
      </c>
      <c r="B1461">
        <v>18057111101</v>
      </c>
      <c r="C1461">
        <v>2028</v>
      </c>
      <c r="E1461" t="e">
        <f>-(IF(VLOOKUP(B1461,'2023 Z Scores'!$A$1:$K$309,11,FALSE)&gt;2,VLOOKUP(B1461,'2023 Z Scores'!$A$1:$K$309,10,FALSE)/VLOOKUP(B1461,'2023 Z Scores'!$A$1:$K$309,11,FALSE),"Not Enough data"))</f>
        <v>#VALUE!</v>
      </c>
      <c r="F1461" t="str">
        <f>IF(VLOOKUP(A1461,'Delta Z Scores'!$A$1:$N$1541,14,FALSE)&gt;2,VLOOKUP(A1461,'Delta Z Scores'!$A$1:$N$1541,13,FALSE)/VLOOKUP(A1461,'Delta Z Scores'!$A$1:$N$1541,14,FALSE),"Not Enough Data")</f>
        <v>Not Enough Data</v>
      </c>
      <c r="G1461" t="str">
        <f>IF(VLOOKUP(A1461,'Forecast Z Scores'!$A$1:$N$1541,14,FALSE)&gt;2,VLOOKUP(A1461,'Forecast Z Scores'!$A$1:$N$1541,13,FALSE)/VLOOKUP(A1461,'Forecast Z Scores'!$A$1:$N$1541,14,FALSE),"Not Enough Data")</f>
        <v>Not Enough Data</v>
      </c>
      <c r="H1461" t="s">
        <v>203</v>
      </c>
    </row>
    <row r="1462" spans="1:8" x14ac:dyDescent="0.35">
      <c r="A1462" t="str">
        <f t="shared" si="22"/>
        <v>18057111103_2024</v>
      </c>
      <c r="B1462">
        <v>18057111103</v>
      </c>
      <c r="C1462">
        <v>2024</v>
      </c>
      <c r="E1462" t="e">
        <f>-(IF(VLOOKUP(B1462,'2023 Z Scores'!$A$1:$K$309,11,FALSE)&gt;2,VLOOKUP(B1462,'2023 Z Scores'!$A$1:$K$309,10,FALSE)/VLOOKUP(B1462,'2023 Z Scores'!$A$1:$K$309,11,FALSE),"Not Enough data"))</f>
        <v>#VALUE!</v>
      </c>
      <c r="F1462" t="str">
        <f>IF(VLOOKUP(A1462,'Delta Z Scores'!$A$1:$N$1541,14,FALSE)&gt;2,VLOOKUP(A1462,'Delta Z Scores'!$A$1:$N$1541,13,FALSE)/VLOOKUP(A1462,'Delta Z Scores'!$A$1:$N$1541,14,FALSE),"Not Enough Data")</f>
        <v>Not Enough Data</v>
      </c>
      <c r="G1462" t="str">
        <f>IF(VLOOKUP(A1462,'Forecast Z Scores'!$A$1:$N$1541,14,FALSE)&gt;2,VLOOKUP(A1462,'Forecast Z Scores'!$A$1:$N$1541,13,FALSE)/VLOOKUP(A1462,'Forecast Z Scores'!$A$1:$N$1541,14,FALSE),"Not Enough Data")</f>
        <v>Not Enough Data</v>
      </c>
      <c r="H1462" t="s">
        <v>203</v>
      </c>
    </row>
    <row r="1463" spans="1:8" x14ac:dyDescent="0.35">
      <c r="A1463" t="str">
        <f t="shared" si="22"/>
        <v>18057111103_2025</v>
      </c>
      <c r="B1463">
        <v>18057111103</v>
      </c>
      <c r="C1463">
        <v>2025</v>
      </c>
      <c r="E1463" t="e">
        <f>-(IF(VLOOKUP(B1463,'2023 Z Scores'!$A$1:$K$309,11,FALSE)&gt;2,VLOOKUP(B1463,'2023 Z Scores'!$A$1:$K$309,10,FALSE)/VLOOKUP(B1463,'2023 Z Scores'!$A$1:$K$309,11,FALSE),"Not Enough data"))</f>
        <v>#VALUE!</v>
      </c>
      <c r="F1463" t="str">
        <f>IF(VLOOKUP(A1463,'Delta Z Scores'!$A$1:$N$1541,14,FALSE)&gt;2,VLOOKUP(A1463,'Delta Z Scores'!$A$1:$N$1541,13,FALSE)/VLOOKUP(A1463,'Delta Z Scores'!$A$1:$N$1541,14,FALSE),"Not Enough Data")</f>
        <v>Not Enough Data</v>
      </c>
      <c r="G1463" t="str">
        <f>IF(VLOOKUP(A1463,'Forecast Z Scores'!$A$1:$N$1541,14,FALSE)&gt;2,VLOOKUP(A1463,'Forecast Z Scores'!$A$1:$N$1541,13,FALSE)/VLOOKUP(A1463,'Forecast Z Scores'!$A$1:$N$1541,14,FALSE),"Not Enough Data")</f>
        <v>Not Enough Data</v>
      </c>
      <c r="H1463" t="s">
        <v>203</v>
      </c>
    </row>
    <row r="1464" spans="1:8" x14ac:dyDescent="0.35">
      <c r="A1464" t="str">
        <f t="shared" si="22"/>
        <v>18057111103_2026</v>
      </c>
      <c r="B1464">
        <v>18057111103</v>
      </c>
      <c r="C1464">
        <v>2026</v>
      </c>
      <c r="E1464" t="e">
        <f>-(IF(VLOOKUP(B1464,'2023 Z Scores'!$A$1:$K$309,11,FALSE)&gt;2,VLOOKUP(B1464,'2023 Z Scores'!$A$1:$K$309,10,FALSE)/VLOOKUP(B1464,'2023 Z Scores'!$A$1:$K$309,11,FALSE),"Not Enough data"))</f>
        <v>#VALUE!</v>
      </c>
      <c r="F1464" t="str">
        <f>IF(VLOOKUP(A1464,'Delta Z Scores'!$A$1:$N$1541,14,FALSE)&gt;2,VLOOKUP(A1464,'Delta Z Scores'!$A$1:$N$1541,13,FALSE)/VLOOKUP(A1464,'Delta Z Scores'!$A$1:$N$1541,14,FALSE),"Not Enough Data")</f>
        <v>Not Enough Data</v>
      </c>
      <c r="G1464" t="str">
        <f>IF(VLOOKUP(A1464,'Forecast Z Scores'!$A$1:$N$1541,14,FALSE)&gt;2,VLOOKUP(A1464,'Forecast Z Scores'!$A$1:$N$1541,13,FALSE)/VLOOKUP(A1464,'Forecast Z Scores'!$A$1:$N$1541,14,FALSE),"Not Enough Data")</f>
        <v>Not Enough Data</v>
      </c>
      <c r="H1464" t="s">
        <v>203</v>
      </c>
    </row>
    <row r="1465" spans="1:8" x14ac:dyDescent="0.35">
      <c r="A1465" t="str">
        <f t="shared" si="22"/>
        <v>18057111103_2027</v>
      </c>
      <c r="B1465">
        <v>18057111103</v>
      </c>
      <c r="C1465">
        <v>2027</v>
      </c>
      <c r="E1465" t="e">
        <f>-(IF(VLOOKUP(B1465,'2023 Z Scores'!$A$1:$K$309,11,FALSE)&gt;2,VLOOKUP(B1465,'2023 Z Scores'!$A$1:$K$309,10,FALSE)/VLOOKUP(B1465,'2023 Z Scores'!$A$1:$K$309,11,FALSE),"Not Enough data"))</f>
        <v>#VALUE!</v>
      </c>
      <c r="F1465" t="str">
        <f>IF(VLOOKUP(A1465,'Delta Z Scores'!$A$1:$N$1541,14,FALSE)&gt;2,VLOOKUP(A1465,'Delta Z Scores'!$A$1:$N$1541,13,FALSE)/VLOOKUP(A1465,'Delta Z Scores'!$A$1:$N$1541,14,FALSE),"Not Enough Data")</f>
        <v>Not Enough Data</v>
      </c>
      <c r="G1465" t="str">
        <f>IF(VLOOKUP(A1465,'Forecast Z Scores'!$A$1:$N$1541,14,FALSE)&gt;2,VLOOKUP(A1465,'Forecast Z Scores'!$A$1:$N$1541,13,FALSE)/VLOOKUP(A1465,'Forecast Z Scores'!$A$1:$N$1541,14,FALSE),"Not Enough Data")</f>
        <v>Not Enough Data</v>
      </c>
      <c r="H1465" t="s">
        <v>203</v>
      </c>
    </row>
    <row r="1466" spans="1:8" x14ac:dyDescent="0.35">
      <c r="A1466" t="str">
        <f t="shared" si="22"/>
        <v>18057111103_2028</v>
      </c>
      <c r="B1466">
        <v>18057111103</v>
      </c>
      <c r="C1466">
        <v>2028</v>
      </c>
      <c r="E1466" t="e">
        <f>-(IF(VLOOKUP(B1466,'2023 Z Scores'!$A$1:$K$309,11,FALSE)&gt;2,VLOOKUP(B1466,'2023 Z Scores'!$A$1:$K$309,10,FALSE)/VLOOKUP(B1466,'2023 Z Scores'!$A$1:$K$309,11,FALSE),"Not Enough data"))</f>
        <v>#VALUE!</v>
      </c>
      <c r="F1466" t="str">
        <f>IF(VLOOKUP(A1466,'Delta Z Scores'!$A$1:$N$1541,14,FALSE)&gt;2,VLOOKUP(A1466,'Delta Z Scores'!$A$1:$N$1541,13,FALSE)/VLOOKUP(A1466,'Delta Z Scores'!$A$1:$N$1541,14,FALSE),"Not Enough Data")</f>
        <v>Not Enough Data</v>
      </c>
      <c r="G1466" t="str">
        <f>IF(VLOOKUP(A1466,'Forecast Z Scores'!$A$1:$N$1541,14,FALSE)&gt;2,VLOOKUP(A1466,'Forecast Z Scores'!$A$1:$N$1541,13,FALSE)/VLOOKUP(A1466,'Forecast Z Scores'!$A$1:$N$1541,14,FALSE),"Not Enough Data")</f>
        <v>Not Enough Data</v>
      </c>
      <c r="H1466" t="s">
        <v>203</v>
      </c>
    </row>
    <row r="1467" spans="1:8" x14ac:dyDescent="0.35">
      <c r="A1467" t="str">
        <f t="shared" si="22"/>
        <v>18057111104_2024</v>
      </c>
      <c r="B1467">
        <v>18057111104</v>
      </c>
      <c r="C1467">
        <v>2024</v>
      </c>
      <c r="E1467" t="e">
        <f>-(IF(VLOOKUP(B1467,'2023 Z Scores'!$A$1:$K$309,11,FALSE)&gt;2,VLOOKUP(B1467,'2023 Z Scores'!$A$1:$K$309,10,FALSE)/VLOOKUP(B1467,'2023 Z Scores'!$A$1:$K$309,11,FALSE),"Not Enough data"))</f>
        <v>#VALUE!</v>
      </c>
      <c r="F1467" t="str">
        <f>IF(VLOOKUP(A1467,'Delta Z Scores'!$A$1:$N$1541,14,FALSE)&gt;2,VLOOKUP(A1467,'Delta Z Scores'!$A$1:$N$1541,13,FALSE)/VLOOKUP(A1467,'Delta Z Scores'!$A$1:$N$1541,14,FALSE),"Not Enough Data")</f>
        <v>Not Enough Data</v>
      </c>
      <c r="G1467" t="str">
        <f>IF(VLOOKUP(A1467,'Forecast Z Scores'!$A$1:$N$1541,14,FALSE)&gt;2,VLOOKUP(A1467,'Forecast Z Scores'!$A$1:$N$1541,13,FALSE)/VLOOKUP(A1467,'Forecast Z Scores'!$A$1:$N$1541,14,FALSE),"Not Enough Data")</f>
        <v>Not Enough Data</v>
      </c>
      <c r="H1467" t="s">
        <v>203</v>
      </c>
    </row>
    <row r="1468" spans="1:8" x14ac:dyDescent="0.35">
      <c r="A1468" t="str">
        <f t="shared" si="22"/>
        <v>18057111104_2025</v>
      </c>
      <c r="B1468">
        <v>18057111104</v>
      </c>
      <c r="C1468">
        <v>2025</v>
      </c>
      <c r="E1468" t="e">
        <f>-(IF(VLOOKUP(B1468,'2023 Z Scores'!$A$1:$K$309,11,FALSE)&gt;2,VLOOKUP(B1468,'2023 Z Scores'!$A$1:$K$309,10,FALSE)/VLOOKUP(B1468,'2023 Z Scores'!$A$1:$K$309,11,FALSE),"Not Enough data"))</f>
        <v>#VALUE!</v>
      </c>
      <c r="F1468" t="str">
        <f>IF(VLOOKUP(A1468,'Delta Z Scores'!$A$1:$N$1541,14,FALSE)&gt;2,VLOOKUP(A1468,'Delta Z Scores'!$A$1:$N$1541,13,FALSE)/VLOOKUP(A1468,'Delta Z Scores'!$A$1:$N$1541,14,FALSE),"Not Enough Data")</f>
        <v>Not Enough Data</v>
      </c>
      <c r="G1468" t="str">
        <f>IF(VLOOKUP(A1468,'Forecast Z Scores'!$A$1:$N$1541,14,FALSE)&gt;2,VLOOKUP(A1468,'Forecast Z Scores'!$A$1:$N$1541,13,FALSE)/VLOOKUP(A1468,'Forecast Z Scores'!$A$1:$N$1541,14,FALSE),"Not Enough Data")</f>
        <v>Not Enough Data</v>
      </c>
      <c r="H1468" t="s">
        <v>203</v>
      </c>
    </row>
    <row r="1469" spans="1:8" x14ac:dyDescent="0.35">
      <c r="A1469" t="str">
        <f t="shared" si="22"/>
        <v>18057111104_2026</v>
      </c>
      <c r="B1469">
        <v>18057111104</v>
      </c>
      <c r="C1469">
        <v>2026</v>
      </c>
      <c r="E1469" t="e">
        <f>-(IF(VLOOKUP(B1469,'2023 Z Scores'!$A$1:$K$309,11,FALSE)&gt;2,VLOOKUP(B1469,'2023 Z Scores'!$A$1:$K$309,10,FALSE)/VLOOKUP(B1469,'2023 Z Scores'!$A$1:$K$309,11,FALSE),"Not Enough data"))</f>
        <v>#VALUE!</v>
      </c>
      <c r="F1469" t="str">
        <f>IF(VLOOKUP(A1469,'Delta Z Scores'!$A$1:$N$1541,14,FALSE)&gt;2,VLOOKUP(A1469,'Delta Z Scores'!$A$1:$N$1541,13,FALSE)/VLOOKUP(A1469,'Delta Z Scores'!$A$1:$N$1541,14,FALSE),"Not Enough Data")</f>
        <v>Not Enough Data</v>
      </c>
      <c r="G1469" t="str">
        <f>IF(VLOOKUP(A1469,'Forecast Z Scores'!$A$1:$N$1541,14,FALSE)&gt;2,VLOOKUP(A1469,'Forecast Z Scores'!$A$1:$N$1541,13,FALSE)/VLOOKUP(A1469,'Forecast Z Scores'!$A$1:$N$1541,14,FALSE),"Not Enough Data")</f>
        <v>Not Enough Data</v>
      </c>
      <c r="H1469" t="s">
        <v>203</v>
      </c>
    </row>
    <row r="1470" spans="1:8" x14ac:dyDescent="0.35">
      <c r="A1470" t="str">
        <f t="shared" si="22"/>
        <v>18057111104_2027</v>
      </c>
      <c r="B1470">
        <v>18057111104</v>
      </c>
      <c r="C1470">
        <v>2027</v>
      </c>
      <c r="E1470" t="e">
        <f>-(IF(VLOOKUP(B1470,'2023 Z Scores'!$A$1:$K$309,11,FALSE)&gt;2,VLOOKUP(B1470,'2023 Z Scores'!$A$1:$K$309,10,FALSE)/VLOOKUP(B1470,'2023 Z Scores'!$A$1:$K$309,11,FALSE),"Not Enough data"))</f>
        <v>#VALUE!</v>
      </c>
      <c r="F1470" t="str">
        <f>IF(VLOOKUP(A1470,'Delta Z Scores'!$A$1:$N$1541,14,FALSE)&gt;2,VLOOKUP(A1470,'Delta Z Scores'!$A$1:$N$1541,13,FALSE)/VLOOKUP(A1470,'Delta Z Scores'!$A$1:$N$1541,14,FALSE),"Not Enough Data")</f>
        <v>Not Enough Data</v>
      </c>
      <c r="G1470" t="str">
        <f>IF(VLOOKUP(A1470,'Forecast Z Scores'!$A$1:$N$1541,14,FALSE)&gt;2,VLOOKUP(A1470,'Forecast Z Scores'!$A$1:$N$1541,13,FALSE)/VLOOKUP(A1470,'Forecast Z Scores'!$A$1:$N$1541,14,FALSE),"Not Enough Data")</f>
        <v>Not Enough Data</v>
      </c>
      <c r="H1470" t="s">
        <v>203</v>
      </c>
    </row>
    <row r="1471" spans="1:8" x14ac:dyDescent="0.35">
      <c r="A1471" t="str">
        <f t="shared" si="22"/>
        <v>18057111104_2028</v>
      </c>
      <c r="B1471">
        <v>18057111104</v>
      </c>
      <c r="C1471">
        <v>2028</v>
      </c>
      <c r="E1471" t="e">
        <f>-(IF(VLOOKUP(B1471,'2023 Z Scores'!$A$1:$K$309,11,FALSE)&gt;2,VLOOKUP(B1471,'2023 Z Scores'!$A$1:$K$309,10,FALSE)/VLOOKUP(B1471,'2023 Z Scores'!$A$1:$K$309,11,FALSE),"Not Enough data"))</f>
        <v>#VALUE!</v>
      </c>
      <c r="F1471" t="str">
        <f>IF(VLOOKUP(A1471,'Delta Z Scores'!$A$1:$N$1541,14,FALSE)&gt;2,VLOOKUP(A1471,'Delta Z Scores'!$A$1:$N$1541,13,FALSE)/VLOOKUP(A1471,'Delta Z Scores'!$A$1:$N$1541,14,FALSE),"Not Enough Data")</f>
        <v>Not Enough Data</v>
      </c>
      <c r="G1471" t="str">
        <f>IF(VLOOKUP(A1471,'Forecast Z Scores'!$A$1:$N$1541,14,FALSE)&gt;2,VLOOKUP(A1471,'Forecast Z Scores'!$A$1:$N$1541,13,FALSE)/VLOOKUP(A1471,'Forecast Z Scores'!$A$1:$N$1541,14,FALSE),"Not Enough Data")</f>
        <v>Not Enough Data</v>
      </c>
      <c r="H1471" t="s">
        <v>203</v>
      </c>
    </row>
    <row r="1472" spans="1:8" x14ac:dyDescent="0.35">
      <c r="A1472" t="str">
        <f t="shared" si="22"/>
        <v>18059410801_2024</v>
      </c>
      <c r="B1472">
        <v>18059410801</v>
      </c>
      <c r="C1472">
        <v>2024</v>
      </c>
      <c r="E1472" t="e">
        <f>-(IF(VLOOKUP(B1472,'2023 Z Scores'!$A$1:$K$309,11,FALSE)&gt;2,VLOOKUP(B1472,'2023 Z Scores'!$A$1:$K$309,10,FALSE)/VLOOKUP(B1472,'2023 Z Scores'!$A$1:$K$309,11,FALSE),"Not Enough data"))</f>
        <v>#VALUE!</v>
      </c>
      <c r="F1472" t="str">
        <f>IF(VLOOKUP(A1472,'Delta Z Scores'!$A$1:$N$1541,14,FALSE)&gt;2,VLOOKUP(A1472,'Delta Z Scores'!$A$1:$N$1541,13,FALSE)/VLOOKUP(A1472,'Delta Z Scores'!$A$1:$N$1541,14,FALSE),"Not Enough Data")</f>
        <v>Not Enough Data</v>
      </c>
      <c r="G1472" t="str">
        <f>IF(VLOOKUP(A1472,'Forecast Z Scores'!$A$1:$N$1541,14,FALSE)&gt;2,VLOOKUP(A1472,'Forecast Z Scores'!$A$1:$N$1541,13,FALSE)/VLOOKUP(A1472,'Forecast Z Scores'!$A$1:$N$1541,14,FALSE),"Not Enough Data")</f>
        <v>Not Enough Data</v>
      </c>
      <c r="H1472" t="s">
        <v>203</v>
      </c>
    </row>
    <row r="1473" spans="1:8" x14ac:dyDescent="0.35">
      <c r="A1473" t="str">
        <f t="shared" si="22"/>
        <v>18059410801_2025</v>
      </c>
      <c r="B1473">
        <v>18059410801</v>
      </c>
      <c r="C1473">
        <v>2025</v>
      </c>
      <c r="E1473" t="e">
        <f>-(IF(VLOOKUP(B1473,'2023 Z Scores'!$A$1:$K$309,11,FALSE)&gt;2,VLOOKUP(B1473,'2023 Z Scores'!$A$1:$K$309,10,FALSE)/VLOOKUP(B1473,'2023 Z Scores'!$A$1:$K$309,11,FALSE),"Not Enough data"))</f>
        <v>#VALUE!</v>
      </c>
      <c r="F1473" t="str">
        <f>IF(VLOOKUP(A1473,'Delta Z Scores'!$A$1:$N$1541,14,FALSE)&gt;2,VLOOKUP(A1473,'Delta Z Scores'!$A$1:$N$1541,13,FALSE)/VLOOKUP(A1473,'Delta Z Scores'!$A$1:$N$1541,14,FALSE),"Not Enough Data")</f>
        <v>Not Enough Data</v>
      </c>
      <c r="G1473" t="str">
        <f>IF(VLOOKUP(A1473,'Forecast Z Scores'!$A$1:$N$1541,14,FALSE)&gt;2,VLOOKUP(A1473,'Forecast Z Scores'!$A$1:$N$1541,13,FALSE)/VLOOKUP(A1473,'Forecast Z Scores'!$A$1:$N$1541,14,FALSE),"Not Enough Data")</f>
        <v>Not Enough Data</v>
      </c>
      <c r="H1473" t="s">
        <v>203</v>
      </c>
    </row>
    <row r="1474" spans="1:8" x14ac:dyDescent="0.35">
      <c r="A1474" t="str">
        <f t="shared" si="22"/>
        <v>18059410801_2026</v>
      </c>
      <c r="B1474">
        <v>18059410801</v>
      </c>
      <c r="C1474">
        <v>2026</v>
      </c>
      <c r="E1474" t="e">
        <f>-(IF(VLOOKUP(B1474,'2023 Z Scores'!$A$1:$K$309,11,FALSE)&gt;2,VLOOKUP(B1474,'2023 Z Scores'!$A$1:$K$309,10,FALSE)/VLOOKUP(B1474,'2023 Z Scores'!$A$1:$K$309,11,FALSE),"Not Enough data"))</f>
        <v>#VALUE!</v>
      </c>
      <c r="F1474" t="str">
        <f>IF(VLOOKUP(A1474,'Delta Z Scores'!$A$1:$N$1541,14,FALSE)&gt;2,VLOOKUP(A1474,'Delta Z Scores'!$A$1:$N$1541,13,FALSE)/VLOOKUP(A1474,'Delta Z Scores'!$A$1:$N$1541,14,FALSE),"Not Enough Data")</f>
        <v>Not Enough Data</v>
      </c>
      <c r="G1474" t="str">
        <f>IF(VLOOKUP(A1474,'Forecast Z Scores'!$A$1:$N$1541,14,FALSE)&gt;2,VLOOKUP(A1474,'Forecast Z Scores'!$A$1:$N$1541,13,FALSE)/VLOOKUP(A1474,'Forecast Z Scores'!$A$1:$N$1541,14,FALSE),"Not Enough Data")</f>
        <v>Not Enough Data</v>
      </c>
      <c r="H1474" t="s">
        <v>203</v>
      </c>
    </row>
    <row r="1475" spans="1:8" x14ac:dyDescent="0.35">
      <c r="A1475" t="str">
        <f t="shared" ref="A1475:A1538" si="23">TEXT(B1475,0)&amp;"_"&amp;TEXT(C1475,0)</f>
        <v>18059410801_2027</v>
      </c>
      <c r="B1475">
        <v>18059410801</v>
      </c>
      <c r="C1475">
        <v>2027</v>
      </c>
      <c r="E1475" t="e">
        <f>-(IF(VLOOKUP(B1475,'2023 Z Scores'!$A$1:$K$309,11,FALSE)&gt;2,VLOOKUP(B1475,'2023 Z Scores'!$A$1:$K$309,10,FALSE)/VLOOKUP(B1475,'2023 Z Scores'!$A$1:$K$309,11,FALSE),"Not Enough data"))</f>
        <v>#VALUE!</v>
      </c>
      <c r="F1475" t="str">
        <f>IF(VLOOKUP(A1475,'Delta Z Scores'!$A$1:$N$1541,14,FALSE)&gt;2,VLOOKUP(A1475,'Delta Z Scores'!$A$1:$N$1541,13,FALSE)/VLOOKUP(A1475,'Delta Z Scores'!$A$1:$N$1541,14,FALSE),"Not Enough Data")</f>
        <v>Not Enough Data</v>
      </c>
      <c r="G1475" t="str">
        <f>IF(VLOOKUP(A1475,'Forecast Z Scores'!$A$1:$N$1541,14,FALSE)&gt;2,VLOOKUP(A1475,'Forecast Z Scores'!$A$1:$N$1541,13,FALSE)/VLOOKUP(A1475,'Forecast Z Scores'!$A$1:$N$1541,14,FALSE),"Not Enough Data")</f>
        <v>Not Enough Data</v>
      </c>
      <c r="H1475" t="s">
        <v>203</v>
      </c>
    </row>
    <row r="1476" spans="1:8" x14ac:dyDescent="0.35">
      <c r="A1476" t="str">
        <f t="shared" si="23"/>
        <v>18059410801_2028</v>
      </c>
      <c r="B1476">
        <v>18059410801</v>
      </c>
      <c r="C1476">
        <v>2028</v>
      </c>
      <c r="E1476" t="e">
        <f>-(IF(VLOOKUP(B1476,'2023 Z Scores'!$A$1:$K$309,11,FALSE)&gt;2,VLOOKUP(B1476,'2023 Z Scores'!$A$1:$K$309,10,FALSE)/VLOOKUP(B1476,'2023 Z Scores'!$A$1:$K$309,11,FALSE),"Not Enough data"))</f>
        <v>#VALUE!</v>
      </c>
      <c r="F1476" t="str">
        <f>IF(VLOOKUP(A1476,'Delta Z Scores'!$A$1:$N$1541,14,FALSE)&gt;2,VLOOKUP(A1476,'Delta Z Scores'!$A$1:$N$1541,13,FALSE)/VLOOKUP(A1476,'Delta Z Scores'!$A$1:$N$1541,14,FALSE),"Not Enough Data")</f>
        <v>Not Enough Data</v>
      </c>
      <c r="G1476" t="str">
        <f>IF(VLOOKUP(A1476,'Forecast Z Scores'!$A$1:$N$1541,14,FALSE)&gt;2,VLOOKUP(A1476,'Forecast Z Scores'!$A$1:$N$1541,13,FALSE)/VLOOKUP(A1476,'Forecast Z Scores'!$A$1:$N$1541,14,FALSE),"Not Enough Data")</f>
        <v>Not Enough Data</v>
      </c>
      <c r="H1476" t="s">
        <v>203</v>
      </c>
    </row>
    <row r="1477" spans="1:8" x14ac:dyDescent="0.35">
      <c r="A1477" t="str">
        <f t="shared" si="23"/>
        <v>18059410802_2024</v>
      </c>
      <c r="B1477">
        <v>18059410802</v>
      </c>
      <c r="C1477">
        <v>2024</v>
      </c>
      <c r="E1477" t="e">
        <f>-(IF(VLOOKUP(B1477,'2023 Z Scores'!$A$1:$K$309,11,FALSE)&gt;2,VLOOKUP(B1477,'2023 Z Scores'!$A$1:$K$309,10,FALSE)/VLOOKUP(B1477,'2023 Z Scores'!$A$1:$K$309,11,FALSE),"Not Enough data"))</f>
        <v>#VALUE!</v>
      </c>
      <c r="F1477" t="str">
        <f>IF(VLOOKUP(A1477,'Delta Z Scores'!$A$1:$N$1541,14,FALSE)&gt;2,VLOOKUP(A1477,'Delta Z Scores'!$A$1:$N$1541,13,FALSE)/VLOOKUP(A1477,'Delta Z Scores'!$A$1:$N$1541,14,FALSE),"Not Enough Data")</f>
        <v>Not Enough Data</v>
      </c>
      <c r="G1477" t="str">
        <f>IF(VLOOKUP(A1477,'Forecast Z Scores'!$A$1:$N$1541,14,FALSE)&gt;2,VLOOKUP(A1477,'Forecast Z Scores'!$A$1:$N$1541,13,FALSE)/VLOOKUP(A1477,'Forecast Z Scores'!$A$1:$N$1541,14,FALSE),"Not Enough Data")</f>
        <v>Not Enough Data</v>
      </c>
      <c r="H1477" t="s">
        <v>203</v>
      </c>
    </row>
    <row r="1478" spans="1:8" x14ac:dyDescent="0.35">
      <c r="A1478" t="str">
        <f t="shared" si="23"/>
        <v>18059410802_2025</v>
      </c>
      <c r="B1478">
        <v>18059410802</v>
      </c>
      <c r="C1478">
        <v>2025</v>
      </c>
      <c r="E1478" t="e">
        <f>-(IF(VLOOKUP(B1478,'2023 Z Scores'!$A$1:$K$309,11,FALSE)&gt;2,VLOOKUP(B1478,'2023 Z Scores'!$A$1:$K$309,10,FALSE)/VLOOKUP(B1478,'2023 Z Scores'!$A$1:$K$309,11,FALSE),"Not Enough data"))</f>
        <v>#VALUE!</v>
      </c>
      <c r="F1478" t="str">
        <f>IF(VLOOKUP(A1478,'Delta Z Scores'!$A$1:$N$1541,14,FALSE)&gt;2,VLOOKUP(A1478,'Delta Z Scores'!$A$1:$N$1541,13,FALSE)/VLOOKUP(A1478,'Delta Z Scores'!$A$1:$N$1541,14,FALSE),"Not Enough Data")</f>
        <v>Not Enough Data</v>
      </c>
      <c r="G1478" t="str">
        <f>IF(VLOOKUP(A1478,'Forecast Z Scores'!$A$1:$N$1541,14,FALSE)&gt;2,VLOOKUP(A1478,'Forecast Z Scores'!$A$1:$N$1541,13,FALSE)/VLOOKUP(A1478,'Forecast Z Scores'!$A$1:$N$1541,14,FALSE),"Not Enough Data")</f>
        <v>Not Enough Data</v>
      </c>
      <c r="H1478" t="s">
        <v>203</v>
      </c>
    </row>
    <row r="1479" spans="1:8" x14ac:dyDescent="0.35">
      <c r="A1479" t="str">
        <f t="shared" si="23"/>
        <v>18059410802_2026</v>
      </c>
      <c r="B1479">
        <v>18059410802</v>
      </c>
      <c r="C1479">
        <v>2026</v>
      </c>
      <c r="E1479" t="e">
        <f>-(IF(VLOOKUP(B1479,'2023 Z Scores'!$A$1:$K$309,11,FALSE)&gt;2,VLOOKUP(B1479,'2023 Z Scores'!$A$1:$K$309,10,FALSE)/VLOOKUP(B1479,'2023 Z Scores'!$A$1:$K$309,11,FALSE),"Not Enough data"))</f>
        <v>#VALUE!</v>
      </c>
      <c r="F1479" t="str">
        <f>IF(VLOOKUP(A1479,'Delta Z Scores'!$A$1:$N$1541,14,FALSE)&gt;2,VLOOKUP(A1479,'Delta Z Scores'!$A$1:$N$1541,13,FALSE)/VLOOKUP(A1479,'Delta Z Scores'!$A$1:$N$1541,14,FALSE),"Not Enough Data")</f>
        <v>Not Enough Data</v>
      </c>
      <c r="G1479" t="str">
        <f>IF(VLOOKUP(A1479,'Forecast Z Scores'!$A$1:$N$1541,14,FALSE)&gt;2,VLOOKUP(A1479,'Forecast Z Scores'!$A$1:$N$1541,13,FALSE)/VLOOKUP(A1479,'Forecast Z Scores'!$A$1:$N$1541,14,FALSE),"Not Enough Data")</f>
        <v>Not Enough Data</v>
      </c>
      <c r="H1479" t="s">
        <v>203</v>
      </c>
    </row>
    <row r="1480" spans="1:8" x14ac:dyDescent="0.35">
      <c r="A1480" t="str">
        <f t="shared" si="23"/>
        <v>18059410802_2027</v>
      </c>
      <c r="B1480">
        <v>18059410802</v>
      </c>
      <c r="C1480">
        <v>2027</v>
      </c>
      <c r="E1480" t="e">
        <f>-(IF(VLOOKUP(B1480,'2023 Z Scores'!$A$1:$K$309,11,FALSE)&gt;2,VLOOKUP(B1480,'2023 Z Scores'!$A$1:$K$309,10,FALSE)/VLOOKUP(B1480,'2023 Z Scores'!$A$1:$K$309,11,FALSE),"Not Enough data"))</f>
        <v>#VALUE!</v>
      </c>
      <c r="F1480" t="str">
        <f>IF(VLOOKUP(A1480,'Delta Z Scores'!$A$1:$N$1541,14,FALSE)&gt;2,VLOOKUP(A1480,'Delta Z Scores'!$A$1:$N$1541,13,FALSE)/VLOOKUP(A1480,'Delta Z Scores'!$A$1:$N$1541,14,FALSE),"Not Enough Data")</f>
        <v>Not Enough Data</v>
      </c>
      <c r="G1480" t="str">
        <f>IF(VLOOKUP(A1480,'Forecast Z Scores'!$A$1:$N$1541,14,FALSE)&gt;2,VLOOKUP(A1480,'Forecast Z Scores'!$A$1:$N$1541,13,FALSE)/VLOOKUP(A1480,'Forecast Z Scores'!$A$1:$N$1541,14,FALSE),"Not Enough Data")</f>
        <v>Not Enough Data</v>
      </c>
      <c r="H1480" t="s">
        <v>203</v>
      </c>
    </row>
    <row r="1481" spans="1:8" x14ac:dyDescent="0.35">
      <c r="A1481" t="str">
        <f t="shared" si="23"/>
        <v>18059410802_2028</v>
      </c>
      <c r="B1481">
        <v>18059410802</v>
      </c>
      <c r="C1481">
        <v>2028</v>
      </c>
      <c r="E1481" t="e">
        <f>-(IF(VLOOKUP(B1481,'2023 Z Scores'!$A$1:$K$309,11,FALSE)&gt;2,VLOOKUP(B1481,'2023 Z Scores'!$A$1:$K$309,10,FALSE)/VLOOKUP(B1481,'2023 Z Scores'!$A$1:$K$309,11,FALSE),"Not Enough data"))</f>
        <v>#VALUE!</v>
      </c>
      <c r="F1481" t="str">
        <f>IF(VLOOKUP(A1481,'Delta Z Scores'!$A$1:$N$1541,14,FALSE)&gt;2,VLOOKUP(A1481,'Delta Z Scores'!$A$1:$N$1541,13,FALSE)/VLOOKUP(A1481,'Delta Z Scores'!$A$1:$N$1541,14,FALSE),"Not Enough Data")</f>
        <v>Not Enough Data</v>
      </c>
      <c r="G1481" t="str">
        <f>IF(VLOOKUP(A1481,'Forecast Z Scores'!$A$1:$N$1541,14,FALSE)&gt;2,VLOOKUP(A1481,'Forecast Z Scores'!$A$1:$N$1541,13,FALSE)/VLOOKUP(A1481,'Forecast Z Scores'!$A$1:$N$1541,14,FALSE),"Not Enough Data")</f>
        <v>Not Enough Data</v>
      </c>
      <c r="H1481" t="s">
        <v>203</v>
      </c>
    </row>
    <row r="1482" spans="1:8" x14ac:dyDescent="0.35">
      <c r="A1482" t="str">
        <f t="shared" si="23"/>
        <v>18059410901_2024</v>
      </c>
      <c r="B1482">
        <v>18059410901</v>
      </c>
      <c r="C1482">
        <v>2024</v>
      </c>
      <c r="E1482" t="e">
        <f>-(IF(VLOOKUP(B1482,'2023 Z Scores'!$A$1:$K$309,11,FALSE)&gt;2,VLOOKUP(B1482,'2023 Z Scores'!$A$1:$K$309,10,FALSE)/VLOOKUP(B1482,'2023 Z Scores'!$A$1:$K$309,11,FALSE),"Not Enough data"))</f>
        <v>#VALUE!</v>
      </c>
      <c r="F1482" t="str">
        <f>IF(VLOOKUP(A1482,'Delta Z Scores'!$A$1:$N$1541,14,FALSE)&gt;2,VLOOKUP(A1482,'Delta Z Scores'!$A$1:$N$1541,13,FALSE)/VLOOKUP(A1482,'Delta Z Scores'!$A$1:$N$1541,14,FALSE),"Not Enough Data")</f>
        <v>Not Enough Data</v>
      </c>
      <c r="G1482" t="str">
        <f>IF(VLOOKUP(A1482,'Forecast Z Scores'!$A$1:$N$1541,14,FALSE)&gt;2,VLOOKUP(A1482,'Forecast Z Scores'!$A$1:$N$1541,13,FALSE)/VLOOKUP(A1482,'Forecast Z Scores'!$A$1:$N$1541,14,FALSE),"Not Enough Data")</f>
        <v>Not Enough Data</v>
      </c>
      <c r="H1482" t="s">
        <v>203</v>
      </c>
    </row>
    <row r="1483" spans="1:8" x14ac:dyDescent="0.35">
      <c r="A1483" t="str">
        <f t="shared" si="23"/>
        <v>18059410901_2025</v>
      </c>
      <c r="B1483">
        <v>18059410901</v>
      </c>
      <c r="C1483">
        <v>2025</v>
      </c>
      <c r="E1483" t="e">
        <f>-(IF(VLOOKUP(B1483,'2023 Z Scores'!$A$1:$K$309,11,FALSE)&gt;2,VLOOKUP(B1483,'2023 Z Scores'!$A$1:$K$309,10,FALSE)/VLOOKUP(B1483,'2023 Z Scores'!$A$1:$K$309,11,FALSE),"Not Enough data"))</f>
        <v>#VALUE!</v>
      </c>
      <c r="F1483" t="str">
        <f>IF(VLOOKUP(A1483,'Delta Z Scores'!$A$1:$N$1541,14,FALSE)&gt;2,VLOOKUP(A1483,'Delta Z Scores'!$A$1:$N$1541,13,FALSE)/VLOOKUP(A1483,'Delta Z Scores'!$A$1:$N$1541,14,FALSE),"Not Enough Data")</f>
        <v>Not Enough Data</v>
      </c>
      <c r="G1483" t="str">
        <f>IF(VLOOKUP(A1483,'Forecast Z Scores'!$A$1:$N$1541,14,FALSE)&gt;2,VLOOKUP(A1483,'Forecast Z Scores'!$A$1:$N$1541,13,FALSE)/VLOOKUP(A1483,'Forecast Z Scores'!$A$1:$N$1541,14,FALSE),"Not Enough Data")</f>
        <v>Not Enough Data</v>
      </c>
      <c r="H1483" t="s">
        <v>203</v>
      </c>
    </row>
    <row r="1484" spans="1:8" x14ac:dyDescent="0.35">
      <c r="A1484" t="str">
        <f t="shared" si="23"/>
        <v>18059410901_2026</v>
      </c>
      <c r="B1484">
        <v>18059410901</v>
      </c>
      <c r="C1484">
        <v>2026</v>
      </c>
      <c r="E1484" t="e">
        <f>-(IF(VLOOKUP(B1484,'2023 Z Scores'!$A$1:$K$309,11,FALSE)&gt;2,VLOOKUP(B1484,'2023 Z Scores'!$A$1:$K$309,10,FALSE)/VLOOKUP(B1484,'2023 Z Scores'!$A$1:$K$309,11,FALSE),"Not Enough data"))</f>
        <v>#VALUE!</v>
      </c>
      <c r="F1484" t="str">
        <f>IF(VLOOKUP(A1484,'Delta Z Scores'!$A$1:$N$1541,14,FALSE)&gt;2,VLOOKUP(A1484,'Delta Z Scores'!$A$1:$N$1541,13,FALSE)/VLOOKUP(A1484,'Delta Z Scores'!$A$1:$N$1541,14,FALSE),"Not Enough Data")</f>
        <v>Not Enough Data</v>
      </c>
      <c r="G1484" t="str">
        <f>IF(VLOOKUP(A1484,'Forecast Z Scores'!$A$1:$N$1541,14,FALSE)&gt;2,VLOOKUP(A1484,'Forecast Z Scores'!$A$1:$N$1541,13,FALSE)/VLOOKUP(A1484,'Forecast Z Scores'!$A$1:$N$1541,14,FALSE),"Not Enough Data")</f>
        <v>Not Enough Data</v>
      </c>
      <c r="H1484" t="s">
        <v>203</v>
      </c>
    </row>
    <row r="1485" spans="1:8" x14ac:dyDescent="0.35">
      <c r="A1485" t="str">
        <f t="shared" si="23"/>
        <v>18059410901_2027</v>
      </c>
      <c r="B1485">
        <v>18059410901</v>
      </c>
      <c r="C1485">
        <v>2027</v>
      </c>
      <c r="E1485" t="e">
        <f>-(IF(VLOOKUP(B1485,'2023 Z Scores'!$A$1:$K$309,11,FALSE)&gt;2,VLOOKUP(B1485,'2023 Z Scores'!$A$1:$K$309,10,FALSE)/VLOOKUP(B1485,'2023 Z Scores'!$A$1:$K$309,11,FALSE),"Not Enough data"))</f>
        <v>#VALUE!</v>
      </c>
      <c r="F1485" t="str">
        <f>IF(VLOOKUP(A1485,'Delta Z Scores'!$A$1:$N$1541,14,FALSE)&gt;2,VLOOKUP(A1485,'Delta Z Scores'!$A$1:$N$1541,13,FALSE)/VLOOKUP(A1485,'Delta Z Scores'!$A$1:$N$1541,14,FALSE),"Not Enough Data")</f>
        <v>Not Enough Data</v>
      </c>
      <c r="G1485" t="str">
        <f>IF(VLOOKUP(A1485,'Forecast Z Scores'!$A$1:$N$1541,14,FALSE)&gt;2,VLOOKUP(A1485,'Forecast Z Scores'!$A$1:$N$1541,13,FALSE)/VLOOKUP(A1485,'Forecast Z Scores'!$A$1:$N$1541,14,FALSE),"Not Enough Data")</f>
        <v>Not Enough Data</v>
      </c>
      <c r="H1485" t="s">
        <v>203</v>
      </c>
    </row>
    <row r="1486" spans="1:8" x14ac:dyDescent="0.35">
      <c r="A1486" t="str">
        <f t="shared" si="23"/>
        <v>18059410901_2028</v>
      </c>
      <c r="B1486">
        <v>18059410901</v>
      </c>
      <c r="C1486">
        <v>2028</v>
      </c>
      <c r="E1486" t="e">
        <f>-(IF(VLOOKUP(B1486,'2023 Z Scores'!$A$1:$K$309,11,FALSE)&gt;2,VLOOKUP(B1486,'2023 Z Scores'!$A$1:$K$309,10,FALSE)/VLOOKUP(B1486,'2023 Z Scores'!$A$1:$K$309,11,FALSE),"Not Enough data"))</f>
        <v>#VALUE!</v>
      </c>
      <c r="F1486" t="str">
        <f>IF(VLOOKUP(A1486,'Delta Z Scores'!$A$1:$N$1541,14,FALSE)&gt;2,VLOOKUP(A1486,'Delta Z Scores'!$A$1:$N$1541,13,FALSE)/VLOOKUP(A1486,'Delta Z Scores'!$A$1:$N$1541,14,FALSE),"Not Enough Data")</f>
        <v>Not Enough Data</v>
      </c>
      <c r="G1486" t="str">
        <f>IF(VLOOKUP(A1486,'Forecast Z Scores'!$A$1:$N$1541,14,FALSE)&gt;2,VLOOKUP(A1486,'Forecast Z Scores'!$A$1:$N$1541,13,FALSE)/VLOOKUP(A1486,'Forecast Z Scores'!$A$1:$N$1541,14,FALSE),"Not Enough Data")</f>
        <v>Not Enough Data</v>
      </c>
      <c r="H1486" t="s">
        <v>203</v>
      </c>
    </row>
    <row r="1487" spans="1:8" x14ac:dyDescent="0.35">
      <c r="A1487" t="str">
        <f t="shared" si="23"/>
        <v>18059410902_2024</v>
      </c>
      <c r="B1487">
        <v>18059410902</v>
      </c>
      <c r="C1487">
        <v>2024</v>
      </c>
      <c r="E1487" t="e">
        <f>-(IF(VLOOKUP(B1487,'2023 Z Scores'!$A$1:$K$309,11,FALSE)&gt;2,VLOOKUP(B1487,'2023 Z Scores'!$A$1:$K$309,10,FALSE)/VLOOKUP(B1487,'2023 Z Scores'!$A$1:$K$309,11,FALSE),"Not Enough data"))</f>
        <v>#VALUE!</v>
      </c>
      <c r="F1487" t="str">
        <f>IF(VLOOKUP(A1487,'Delta Z Scores'!$A$1:$N$1541,14,FALSE)&gt;2,VLOOKUP(A1487,'Delta Z Scores'!$A$1:$N$1541,13,FALSE)/VLOOKUP(A1487,'Delta Z Scores'!$A$1:$N$1541,14,FALSE),"Not Enough Data")</f>
        <v>Not Enough Data</v>
      </c>
      <c r="G1487" t="str">
        <f>IF(VLOOKUP(A1487,'Forecast Z Scores'!$A$1:$N$1541,14,FALSE)&gt;2,VLOOKUP(A1487,'Forecast Z Scores'!$A$1:$N$1541,13,FALSE)/VLOOKUP(A1487,'Forecast Z Scores'!$A$1:$N$1541,14,FALSE),"Not Enough Data")</f>
        <v>Not Enough Data</v>
      </c>
      <c r="H1487" t="s">
        <v>203</v>
      </c>
    </row>
    <row r="1488" spans="1:8" x14ac:dyDescent="0.35">
      <c r="A1488" t="str">
        <f t="shared" si="23"/>
        <v>18059410902_2025</v>
      </c>
      <c r="B1488">
        <v>18059410902</v>
      </c>
      <c r="C1488">
        <v>2025</v>
      </c>
      <c r="E1488" t="e">
        <f>-(IF(VLOOKUP(B1488,'2023 Z Scores'!$A$1:$K$309,11,FALSE)&gt;2,VLOOKUP(B1488,'2023 Z Scores'!$A$1:$K$309,10,FALSE)/VLOOKUP(B1488,'2023 Z Scores'!$A$1:$K$309,11,FALSE),"Not Enough data"))</f>
        <v>#VALUE!</v>
      </c>
      <c r="F1488" t="str">
        <f>IF(VLOOKUP(A1488,'Delta Z Scores'!$A$1:$N$1541,14,FALSE)&gt;2,VLOOKUP(A1488,'Delta Z Scores'!$A$1:$N$1541,13,FALSE)/VLOOKUP(A1488,'Delta Z Scores'!$A$1:$N$1541,14,FALSE),"Not Enough Data")</f>
        <v>Not Enough Data</v>
      </c>
      <c r="G1488" t="str">
        <f>IF(VLOOKUP(A1488,'Forecast Z Scores'!$A$1:$N$1541,14,FALSE)&gt;2,VLOOKUP(A1488,'Forecast Z Scores'!$A$1:$N$1541,13,FALSE)/VLOOKUP(A1488,'Forecast Z Scores'!$A$1:$N$1541,14,FALSE),"Not Enough Data")</f>
        <v>Not Enough Data</v>
      </c>
      <c r="H1488" t="s">
        <v>203</v>
      </c>
    </row>
    <row r="1489" spans="1:8" x14ac:dyDescent="0.35">
      <c r="A1489" t="str">
        <f t="shared" si="23"/>
        <v>18059410902_2026</v>
      </c>
      <c r="B1489">
        <v>18059410902</v>
      </c>
      <c r="C1489">
        <v>2026</v>
      </c>
      <c r="E1489" t="e">
        <f>-(IF(VLOOKUP(B1489,'2023 Z Scores'!$A$1:$K$309,11,FALSE)&gt;2,VLOOKUP(B1489,'2023 Z Scores'!$A$1:$K$309,10,FALSE)/VLOOKUP(B1489,'2023 Z Scores'!$A$1:$K$309,11,FALSE),"Not Enough data"))</f>
        <v>#VALUE!</v>
      </c>
      <c r="F1489" t="str">
        <f>IF(VLOOKUP(A1489,'Delta Z Scores'!$A$1:$N$1541,14,FALSE)&gt;2,VLOOKUP(A1489,'Delta Z Scores'!$A$1:$N$1541,13,FALSE)/VLOOKUP(A1489,'Delta Z Scores'!$A$1:$N$1541,14,FALSE),"Not Enough Data")</f>
        <v>Not Enough Data</v>
      </c>
      <c r="G1489" t="str">
        <f>IF(VLOOKUP(A1489,'Forecast Z Scores'!$A$1:$N$1541,14,FALSE)&gt;2,VLOOKUP(A1489,'Forecast Z Scores'!$A$1:$N$1541,13,FALSE)/VLOOKUP(A1489,'Forecast Z Scores'!$A$1:$N$1541,14,FALSE),"Not Enough Data")</f>
        <v>Not Enough Data</v>
      </c>
      <c r="H1489" t="s">
        <v>203</v>
      </c>
    </row>
    <row r="1490" spans="1:8" x14ac:dyDescent="0.35">
      <c r="A1490" t="str">
        <f t="shared" si="23"/>
        <v>18059410902_2027</v>
      </c>
      <c r="B1490">
        <v>18059410902</v>
      </c>
      <c r="C1490">
        <v>2027</v>
      </c>
      <c r="E1490" t="e">
        <f>-(IF(VLOOKUP(B1490,'2023 Z Scores'!$A$1:$K$309,11,FALSE)&gt;2,VLOOKUP(B1490,'2023 Z Scores'!$A$1:$K$309,10,FALSE)/VLOOKUP(B1490,'2023 Z Scores'!$A$1:$K$309,11,FALSE),"Not Enough data"))</f>
        <v>#VALUE!</v>
      </c>
      <c r="F1490" t="str">
        <f>IF(VLOOKUP(A1490,'Delta Z Scores'!$A$1:$N$1541,14,FALSE)&gt;2,VLOOKUP(A1490,'Delta Z Scores'!$A$1:$N$1541,13,FALSE)/VLOOKUP(A1490,'Delta Z Scores'!$A$1:$N$1541,14,FALSE),"Not Enough Data")</f>
        <v>Not Enough Data</v>
      </c>
      <c r="G1490" t="str">
        <f>IF(VLOOKUP(A1490,'Forecast Z Scores'!$A$1:$N$1541,14,FALSE)&gt;2,VLOOKUP(A1490,'Forecast Z Scores'!$A$1:$N$1541,13,FALSE)/VLOOKUP(A1490,'Forecast Z Scores'!$A$1:$N$1541,14,FALSE),"Not Enough Data")</f>
        <v>Not Enough Data</v>
      </c>
      <c r="H1490" t="s">
        <v>203</v>
      </c>
    </row>
    <row r="1491" spans="1:8" x14ac:dyDescent="0.35">
      <c r="A1491" t="str">
        <f t="shared" si="23"/>
        <v>18059410902_2028</v>
      </c>
      <c r="B1491">
        <v>18059410902</v>
      </c>
      <c r="C1491">
        <v>2028</v>
      </c>
      <c r="E1491" t="e">
        <f>-(IF(VLOOKUP(B1491,'2023 Z Scores'!$A$1:$K$309,11,FALSE)&gt;2,VLOOKUP(B1491,'2023 Z Scores'!$A$1:$K$309,10,FALSE)/VLOOKUP(B1491,'2023 Z Scores'!$A$1:$K$309,11,FALSE),"Not Enough data"))</f>
        <v>#VALUE!</v>
      </c>
      <c r="F1491" t="str">
        <f>IF(VLOOKUP(A1491,'Delta Z Scores'!$A$1:$N$1541,14,FALSE)&gt;2,VLOOKUP(A1491,'Delta Z Scores'!$A$1:$N$1541,13,FALSE)/VLOOKUP(A1491,'Delta Z Scores'!$A$1:$N$1541,14,FALSE),"Not Enough Data")</f>
        <v>Not Enough Data</v>
      </c>
      <c r="G1491" t="str">
        <f>IF(VLOOKUP(A1491,'Forecast Z Scores'!$A$1:$N$1541,14,FALSE)&gt;2,VLOOKUP(A1491,'Forecast Z Scores'!$A$1:$N$1541,13,FALSE)/VLOOKUP(A1491,'Forecast Z Scores'!$A$1:$N$1541,14,FALSE),"Not Enough Data")</f>
        <v>Not Enough Data</v>
      </c>
      <c r="H1491" t="s">
        <v>203</v>
      </c>
    </row>
    <row r="1492" spans="1:8" x14ac:dyDescent="0.35">
      <c r="A1492" t="str">
        <f t="shared" si="23"/>
        <v>18063210106_2024</v>
      </c>
      <c r="B1492">
        <v>18063210106</v>
      </c>
      <c r="C1492">
        <v>2024</v>
      </c>
      <c r="E1492" t="e">
        <f>-(IF(VLOOKUP(B1492,'2023 Z Scores'!$A$1:$K$309,11,FALSE)&gt;2,VLOOKUP(B1492,'2023 Z Scores'!$A$1:$K$309,10,FALSE)/VLOOKUP(B1492,'2023 Z Scores'!$A$1:$K$309,11,FALSE),"Not Enough data"))</f>
        <v>#VALUE!</v>
      </c>
      <c r="F1492" t="str">
        <f>IF(VLOOKUP(A1492,'Delta Z Scores'!$A$1:$N$1541,14,FALSE)&gt;2,VLOOKUP(A1492,'Delta Z Scores'!$A$1:$N$1541,13,FALSE)/VLOOKUP(A1492,'Delta Z Scores'!$A$1:$N$1541,14,FALSE),"Not Enough Data")</f>
        <v>Not Enough Data</v>
      </c>
      <c r="G1492" t="str">
        <f>IF(VLOOKUP(A1492,'Forecast Z Scores'!$A$1:$N$1541,14,FALSE)&gt;2,VLOOKUP(A1492,'Forecast Z Scores'!$A$1:$N$1541,13,FALSE)/VLOOKUP(A1492,'Forecast Z Scores'!$A$1:$N$1541,14,FALSE),"Not Enough Data")</f>
        <v>Not Enough Data</v>
      </c>
      <c r="H1492" t="s">
        <v>203</v>
      </c>
    </row>
    <row r="1493" spans="1:8" x14ac:dyDescent="0.35">
      <c r="A1493" t="str">
        <f t="shared" si="23"/>
        <v>18063210106_2025</v>
      </c>
      <c r="B1493">
        <v>18063210106</v>
      </c>
      <c r="C1493">
        <v>2025</v>
      </c>
      <c r="E1493" t="e">
        <f>-(IF(VLOOKUP(B1493,'2023 Z Scores'!$A$1:$K$309,11,FALSE)&gt;2,VLOOKUP(B1493,'2023 Z Scores'!$A$1:$K$309,10,FALSE)/VLOOKUP(B1493,'2023 Z Scores'!$A$1:$K$309,11,FALSE),"Not Enough data"))</f>
        <v>#VALUE!</v>
      </c>
      <c r="F1493" t="str">
        <f>IF(VLOOKUP(A1493,'Delta Z Scores'!$A$1:$N$1541,14,FALSE)&gt;2,VLOOKUP(A1493,'Delta Z Scores'!$A$1:$N$1541,13,FALSE)/VLOOKUP(A1493,'Delta Z Scores'!$A$1:$N$1541,14,FALSE),"Not Enough Data")</f>
        <v>Not Enough Data</v>
      </c>
      <c r="G1493" t="str">
        <f>IF(VLOOKUP(A1493,'Forecast Z Scores'!$A$1:$N$1541,14,FALSE)&gt;2,VLOOKUP(A1493,'Forecast Z Scores'!$A$1:$N$1541,13,FALSE)/VLOOKUP(A1493,'Forecast Z Scores'!$A$1:$N$1541,14,FALSE),"Not Enough Data")</f>
        <v>Not Enough Data</v>
      </c>
      <c r="H1493" t="s">
        <v>203</v>
      </c>
    </row>
    <row r="1494" spans="1:8" x14ac:dyDescent="0.35">
      <c r="A1494" t="str">
        <f t="shared" si="23"/>
        <v>18063210106_2026</v>
      </c>
      <c r="B1494">
        <v>18063210106</v>
      </c>
      <c r="C1494">
        <v>2026</v>
      </c>
      <c r="E1494" t="e">
        <f>-(IF(VLOOKUP(B1494,'2023 Z Scores'!$A$1:$K$309,11,FALSE)&gt;2,VLOOKUP(B1494,'2023 Z Scores'!$A$1:$K$309,10,FALSE)/VLOOKUP(B1494,'2023 Z Scores'!$A$1:$K$309,11,FALSE),"Not Enough data"))</f>
        <v>#VALUE!</v>
      </c>
      <c r="F1494" t="str">
        <f>IF(VLOOKUP(A1494,'Delta Z Scores'!$A$1:$N$1541,14,FALSE)&gt;2,VLOOKUP(A1494,'Delta Z Scores'!$A$1:$N$1541,13,FALSE)/VLOOKUP(A1494,'Delta Z Scores'!$A$1:$N$1541,14,FALSE),"Not Enough Data")</f>
        <v>Not Enough Data</v>
      </c>
      <c r="G1494" t="str">
        <f>IF(VLOOKUP(A1494,'Forecast Z Scores'!$A$1:$N$1541,14,FALSE)&gt;2,VLOOKUP(A1494,'Forecast Z Scores'!$A$1:$N$1541,13,FALSE)/VLOOKUP(A1494,'Forecast Z Scores'!$A$1:$N$1541,14,FALSE),"Not Enough Data")</f>
        <v>Not Enough Data</v>
      </c>
      <c r="H1494" t="s">
        <v>203</v>
      </c>
    </row>
    <row r="1495" spans="1:8" x14ac:dyDescent="0.35">
      <c r="A1495" t="str">
        <f t="shared" si="23"/>
        <v>18063210106_2027</v>
      </c>
      <c r="B1495">
        <v>18063210106</v>
      </c>
      <c r="C1495">
        <v>2027</v>
      </c>
      <c r="E1495" t="e">
        <f>-(IF(VLOOKUP(B1495,'2023 Z Scores'!$A$1:$K$309,11,FALSE)&gt;2,VLOOKUP(B1495,'2023 Z Scores'!$A$1:$K$309,10,FALSE)/VLOOKUP(B1495,'2023 Z Scores'!$A$1:$K$309,11,FALSE),"Not Enough data"))</f>
        <v>#VALUE!</v>
      </c>
      <c r="F1495" t="str">
        <f>IF(VLOOKUP(A1495,'Delta Z Scores'!$A$1:$N$1541,14,FALSE)&gt;2,VLOOKUP(A1495,'Delta Z Scores'!$A$1:$N$1541,13,FALSE)/VLOOKUP(A1495,'Delta Z Scores'!$A$1:$N$1541,14,FALSE),"Not Enough Data")</f>
        <v>Not Enough Data</v>
      </c>
      <c r="G1495" t="str">
        <f>IF(VLOOKUP(A1495,'Forecast Z Scores'!$A$1:$N$1541,14,FALSE)&gt;2,VLOOKUP(A1495,'Forecast Z Scores'!$A$1:$N$1541,13,FALSE)/VLOOKUP(A1495,'Forecast Z Scores'!$A$1:$N$1541,14,FALSE),"Not Enough Data")</f>
        <v>Not Enough Data</v>
      </c>
      <c r="H1495" t="s">
        <v>203</v>
      </c>
    </row>
    <row r="1496" spans="1:8" x14ac:dyDescent="0.35">
      <c r="A1496" t="str">
        <f t="shared" si="23"/>
        <v>18063210106_2028</v>
      </c>
      <c r="B1496">
        <v>18063210106</v>
      </c>
      <c r="C1496">
        <v>2028</v>
      </c>
      <c r="E1496" t="e">
        <f>-(IF(VLOOKUP(B1496,'2023 Z Scores'!$A$1:$K$309,11,FALSE)&gt;2,VLOOKUP(B1496,'2023 Z Scores'!$A$1:$K$309,10,FALSE)/VLOOKUP(B1496,'2023 Z Scores'!$A$1:$K$309,11,FALSE),"Not Enough data"))</f>
        <v>#VALUE!</v>
      </c>
      <c r="F1496" t="str">
        <f>IF(VLOOKUP(A1496,'Delta Z Scores'!$A$1:$N$1541,14,FALSE)&gt;2,VLOOKUP(A1496,'Delta Z Scores'!$A$1:$N$1541,13,FALSE)/VLOOKUP(A1496,'Delta Z Scores'!$A$1:$N$1541,14,FALSE),"Not Enough Data")</f>
        <v>Not Enough Data</v>
      </c>
      <c r="G1496" t="str">
        <f>IF(VLOOKUP(A1496,'Forecast Z Scores'!$A$1:$N$1541,14,FALSE)&gt;2,VLOOKUP(A1496,'Forecast Z Scores'!$A$1:$N$1541,13,FALSE)/VLOOKUP(A1496,'Forecast Z Scores'!$A$1:$N$1541,14,FALSE),"Not Enough Data")</f>
        <v>Not Enough Data</v>
      </c>
      <c r="H1496" t="s">
        <v>203</v>
      </c>
    </row>
    <row r="1497" spans="1:8" x14ac:dyDescent="0.35">
      <c r="A1497" t="str">
        <f t="shared" si="23"/>
        <v>18063210107_2024</v>
      </c>
      <c r="B1497">
        <v>18063210107</v>
      </c>
      <c r="C1497">
        <v>2024</v>
      </c>
      <c r="E1497" t="e">
        <f>-(IF(VLOOKUP(B1497,'2023 Z Scores'!$A$1:$K$309,11,FALSE)&gt;2,VLOOKUP(B1497,'2023 Z Scores'!$A$1:$K$309,10,FALSE)/VLOOKUP(B1497,'2023 Z Scores'!$A$1:$K$309,11,FALSE),"Not Enough data"))</f>
        <v>#VALUE!</v>
      </c>
      <c r="F1497" t="str">
        <f>IF(VLOOKUP(A1497,'Delta Z Scores'!$A$1:$N$1541,14,FALSE)&gt;2,VLOOKUP(A1497,'Delta Z Scores'!$A$1:$N$1541,13,FALSE)/VLOOKUP(A1497,'Delta Z Scores'!$A$1:$N$1541,14,FALSE),"Not Enough Data")</f>
        <v>Not Enough Data</v>
      </c>
      <c r="G1497" t="str">
        <f>IF(VLOOKUP(A1497,'Forecast Z Scores'!$A$1:$N$1541,14,FALSE)&gt;2,VLOOKUP(A1497,'Forecast Z Scores'!$A$1:$N$1541,13,FALSE)/VLOOKUP(A1497,'Forecast Z Scores'!$A$1:$N$1541,14,FALSE),"Not Enough Data")</f>
        <v>Not Enough Data</v>
      </c>
      <c r="H1497" t="s">
        <v>203</v>
      </c>
    </row>
    <row r="1498" spans="1:8" x14ac:dyDescent="0.35">
      <c r="A1498" t="str">
        <f t="shared" si="23"/>
        <v>18063210107_2025</v>
      </c>
      <c r="B1498">
        <v>18063210107</v>
      </c>
      <c r="C1498">
        <v>2025</v>
      </c>
      <c r="E1498" t="e">
        <f>-(IF(VLOOKUP(B1498,'2023 Z Scores'!$A$1:$K$309,11,FALSE)&gt;2,VLOOKUP(B1498,'2023 Z Scores'!$A$1:$K$309,10,FALSE)/VLOOKUP(B1498,'2023 Z Scores'!$A$1:$K$309,11,FALSE),"Not Enough data"))</f>
        <v>#VALUE!</v>
      </c>
      <c r="F1498" t="str">
        <f>IF(VLOOKUP(A1498,'Delta Z Scores'!$A$1:$N$1541,14,FALSE)&gt;2,VLOOKUP(A1498,'Delta Z Scores'!$A$1:$N$1541,13,FALSE)/VLOOKUP(A1498,'Delta Z Scores'!$A$1:$N$1541,14,FALSE),"Not Enough Data")</f>
        <v>Not Enough Data</v>
      </c>
      <c r="G1498" t="str">
        <f>IF(VLOOKUP(A1498,'Forecast Z Scores'!$A$1:$N$1541,14,FALSE)&gt;2,VLOOKUP(A1498,'Forecast Z Scores'!$A$1:$N$1541,13,FALSE)/VLOOKUP(A1498,'Forecast Z Scores'!$A$1:$N$1541,14,FALSE),"Not Enough Data")</f>
        <v>Not Enough Data</v>
      </c>
      <c r="H1498" t="s">
        <v>203</v>
      </c>
    </row>
    <row r="1499" spans="1:8" x14ac:dyDescent="0.35">
      <c r="A1499" t="str">
        <f t="shared" si="23"/>
        <v>18063210107_2026</v>
      </c>
      <c r="B1499">
        <v>18063210107</v>
      </c>
      <c r="C1499">
        <v>2026</v>
      </c>
      <c r="E1499" t="e">
        <f>-(IF(VLOOKUP(B1499,'2023 Z Scores'!$A$1:$K$309,11,FALSE)&gt;2,VLOOKUP(B1499,'2023 Z Scores'!$A$1:$K$309,10,FALSE)/VLOOKUP(B1499,'2023 Z Scores'!$A$1:$K$309,11,FALSE),"Not Enough data"))</f>
        <v>#VALUE!</v>
      </c>
      <c r="F1499" t="str">
        <f>IF(VLOOKUP(A1499,'Delta Z Scores'!$A$1:$N$1541,14,FALSE)&gt;2,VLOOKUP(A1499,'Delta Z Scores'!$A$1:$N$1541,13,FALSE)/VLOOKUP(A1499,'Delta Z Scores'!$A$1:$N$1541,14,FALSE),"Not Enough Data")</f>
        <v>Not Enough Data</v>
      </c>
      <c r="G1499" t="str">
        <f>IF(VLOOKUP(A1499,'Forecast Z Scores'!$A$1:$N$1541,14,FALSE)&gt;2,VLOOKUP(A1499,'Forecast Z Scores'!$A$1:$N$1541,13,FALSE)/VLOOKUP(A1499,'Forecast Z Scores'!$A$1:$N$1541,14,FALSE),"Not Enough Data")</f>
        <v>Not Enough Data</v>
      </c>
      <c r="H1499" t="s">
        <v>203</v>
      </c>
    </row>
    <row r="1500" spans="1:8" x14ac:dyDescent="0.35">
      <c r="A1500" t="str">
        <f t="shared" si="23"/>
        <v>18063210107_2027</v>
      </c>
      <c r="B1500">
        <v>18063210107</v>
      </c>
      <c r="C1500">
        <v>2027</v>
      </c>
      <c r="E1500" t="e">
        <f>-(IF(VLOOKUP(B1500,'2023 Z Scores'!$A$1:$K$309,11,FALSE)&gt;2,VLOOKUP(B1500,'2023 Z Scores'!$A$1:$K$309,10,FALSE)/VLOOKUP(B1500,'2023 Z Scores'!$A$1:$K$309,11,FALSE),"Not Enough data"))</f>
        <v>#VALUE!</v>
      </c>
      <c r="F1500" t="str">
        <f>IF(VLOOKUP(A1500,'Delta Z Scores'!$A$1:$N$1541,14,FALSE)&gt;2,VLOOKUP(A1500,'Delta Z Scores'!$A$1:$N$1541,13,FALSE)/VLOOKUP(A1500,'Delta Z Scores'!$A$1:$N$1541,14,FALSE),"Not Enough Data")</f>
        <v>Not Enough Data</v>
      </c>
      <c r="G1500" t="str">
        <f>IF(VLOOKUP(A1500,'Forecast Z Scores'!$A$1:$N$1541,14,FALSE)&gt;2,VLOOKUP(A1500,'Forecast Z Scores'!$A$1:$N$1541,13,FALSE)/VLOOKUP(A1500,'Forecast Z Scores'!$A$1:$N$1541,14,FALSE),"Not Enough Data")</f>
        <v>Not Enough Data</v>
      </c>
      <c r="H1500" t="s">
        <v>203</v>
      </c>
    </row>
    <row r="1501" spans="1:8" x14ac:dyDescent="0.35">
      <c r="A1501" t="str">
        <f t="shared" si="23"/>
        <v>18063210107_2028</v>
      </c>
      <c r="B1501">
        <v>18063210107</v>
      </c>
      <c r="C1501">
        <v>2028</v>
      </c>
      <c r="E1501" t="e">
        <f>-(IF(VLOOKUP(B1501,'2023 Z Scores'!$A$1:$K$309,11,FALSE)&gt;2,VLOOKUP(B1501,'2023 Z Scores'!$A$1:$K$309,10,FALSE)/VLOOKUP(B1501,'2023 Z Scores'!$A$1:$K$309,11,FALSE),"Not Enough data"))</f>
        <v>#VALUE!</v>
      </c>
      <c r="F1501" t="str">
        <f>IF(VLOOKUP(A1501,'Delta Z Scores'!$A$1:$N$1541,14,FALSE)&gt;2,VLOOKUP(A1501,'Delta Z Scores'!$A$1:$N$1541,13,FALSE)/VLOOKUP(A1501,'Delta Z Scores'!$A$1:$N$1541,14,FALSE),"Not Enough Data")</f>
        <v>Not Enough Data</v>
      </c>
      <c r="G1501" t="str">
        <f>IF(VLOOKUP(A1501,'Forecast Z Scores'!$A$1:$N$1541,14,FALSE)&gt;2,VLOOKUP(A1501,'Forecast Z Scores'!$A$1:$N$1541,13,FALSE)/VLOOKUP(A1501,'Forecast Z Scores'!$A$1:$N$1541,14,FALSE),"Not Enough Data")</f>
        <v>Not Enough Data</v>
      </c>
      <c r="H1501" t="s">
        <v>203</v>
      </c>
    </row>
    <row r="1502" spans="1:8" x14ac:dyDescent="0.35">
      <c r="A1502" t="str">
        <f t="shared" si="23"/>
        <v>18063210108_2024</v>
      </c>
      <c r="B1502">
        <v>18063210108</v>
      </c>
      <c r="C1502">
        <v>2024</v>
      </c>
      <c r="E1502" t="e">
        <f>-(IF(VLOOKUP(B1502,'2023 Z Scores'!$A$1:$K$309,11,FALSE)&gt;2,VLOOKUP(B1502,'2023 Z Scores'!$A$1:$K$309,10,FALSE)/VLOOKUP(B1502,'2023 Z Scores'!$A$1:$K$309,11,FALSE),"Not Enough data"))</f>
        <v>#VALUE!</v>
      </c>
      <c r="F1502" t="str">
        <f>IF(VLOOKUP(A1502,'Delta Z Scores'!$A$1:$N$1541,14,FALSE)&gt;2,VLOOKUP(A1502,'Delta Z Scores'!$A$1:$N$1541,13,FALSE)/VLOOKUP(A1502,'Delta Z Scores'!$A$1:$N$1541,14,FALSE),"Not Enough Data")</f>
        <v>Not Enough Data</v>
      </c>
      <c r="G1502" t="str">
        <f>IF(VLOOKUP(A1502,'Forecast Z Scores'!$A$1:$N$1541,14,FALSE)&gt;2,VLOOKUP(A1502,'Forecast Z Scores'!$A$1:$N$1541,13,FALSE)/VLOOKUP(A1502,'Forecast Z Scores'!$A$1:$N$1541,14,FALSE),"Not Enough Data")</f>
        <v>Not Enough Data</v>
      </c>
      <c r="H1502" t="s">
        <v>203</v>
      </c>
    </row>
    <row r="1503" spans="1:8" x14ac:dyDescent="0.35">
      <c r="A1503" t="str">
        <f t="shared" si="23"/>
        <v>18063210108_2025</v>
      </c>
      <c r="B1503">
        <v>18063210108</v>
      </c>
      <c r="C1503">
        <v>2025</v>
      </c>
      <c r="E1503" t="e">
        <f>-(IF(VLOOKUP(B1503,'2023 Z Scores'!$A$1:$K$309,11,FALSE)&gt;2,VLOOKUP(B1503,'2023 Z Scores'!$A$1:$K$309,10,FALSE)/VLOOKUP(B1503,'2023 Z Scores'!$A$1:$K$309,11,FALSE),"Not Enough data"))</f>
        <v>#VALUE!</v>
      </c>
      <c r="F1503" t="str">
        <f>IF(VLOOKUP(A1503,'Delta Z Scores'!$A$1:$N$1541,14,FALSE)&gt;2,VLOOKUP(A1503,'Delta Z Scores'!$A$1:$N$1541,13,FALSE)/VLOOKUP(A1503,'Delta Z Scores'!$A$1:$N$1541,14,FALSE),"Not Enough Data")</f>
        <v>Not Enough Data</v>
      </c>
      <c r="G1503" t="str">
        <f>IF(VLOOKUP(A1503,'Forecast Z Scores'!$A$1:$N$1541,14,FALSE)&gt;2,VLOOKUP(A1503,'Forecast Z Scores'!$A$1:$N$1541,13,FALSE)/VLOOKUP(A1503,'Forecast Z Scores'!$A$1:$N$1541,14,FALSE),"Not Enough Data")</f>
        <v>Not Enough Data</v>
      </c>
      <c r="H1503" t="s">
        <v>203</v>
      </c>
    </row>
    <row r="1504" spans="1:8" x14ac:dyDescent="0.35">
      <c r="A1504" t="str">
        <f t="shared" si="23"/>
        <v>18063210108_2026</v>
      </c>
      <c r="B1504">
        <v>18063210108</v>
      </c>
      <c r="C1504">
        <v>2026</v>
      </c>
      <c r="E1504" t="e">
        <f>-(IF(VLOOKUP(B1504,'2023 Z Scores'!$A$1:$K$309,11,FALSE)&gt;2,VLOOKUP(B1504,'2023 Z Scores'!$A$1:$K$309,10,FALSE)/VLOOKUP(B1504,'2023 Z Scores'!$A$1:$K$309,11,FALSE),"Not Enough data"))</f>
        <v>#VALUE!</v>
      </c>
      <c r="F1504" t="str">
        <f>IF(VLOOKUP(A1504,'Delta Z Scores'!$A$1:$N$1541,14,FALSE)&gt;2,VLOOKUP(A1504,'Delta Z Scores'!$A$1:$N$1541,13,FALSE)/VLOOKUP(A1504,'Delta Z Scores'!$A$1:$N$1541,14,FALSE),"Not Enough Data")</f>
        <v>Not Enough Data</v>
      </c>
      <c r="G1504" t="str">
        <f>IF(VLOOKUP(A1504,'Forecast Z Scores'!$A$1:$N$1541,14,FALSE)&gt;2,VLOOKUP(A1504,'Forecast Z Scores'!$A$1:$N$1541,13,FALSE)/VLOOKUP(A1504,'Forecast Z Scores'!$A$1:$N$1541,14,FALSE),"Not Enough Data")</f>
        <v>Not Enough Data</v>
      </c>
      <c r="H1504" t="s">
        <v>203</v>
      </c>
    </row>
    <row r="1505" spans="1:8" x14ac:dyDescent="0.35">
      <c r="A1505" t="str">
        <f t="shared" si="23"/>
        <v>18063210108_2027</v>
      </c>
      <c r="B1505">
        <v>18063210108</v>
      </c>
      <c r="C1505">
        <v>2027</v>
      </c>
      <c r="E1505" t="e">
        <f>-(IF(VLOOKUP(B1505,'2023 Z Scores'!$A$1:$K$309,11,FALSE)&gt;2,VLOOKUP(B1505,'2023 Z Scores'!$A$1:$K$309,10,FALSE)/VLOOKUP(B1505,'2023 Z Scores'!$A$1:$K$309,11,FALSE),"Not Enough data"))</f>
        <v>#VALUE!</v>
      </c>
      <c r="F1505" t="str">
        <f>IF(VLOOKUP(A1505,'Delta Z Scores'!$A$1:$N$1541,14,FALSE)&gt;2,VLOOKUP(A1505,'Delta Z Scores'!$A$1:$N$1541,13,FALSE)/VLOOKUP(A1505,'Delta Z Scores'!$A$1:$N$1541,14,FALSE),"Not Enough Data")</f>
        <v>Not Enough Data</v>
      </c>
      <c r="G1505" t="str">
        <f>IF(VLOOKUP(A1505,'Forecast Z Scores'!$A$1:$N$1541,14,FALSE)&gt;2,VLOOKUP(A1505,'Forecast Z Scores'!$A$1:$N$1541,13,FALSE)/VLOOKUP(A1505,'Forecast Z Scores'!$A$1:$N$1541,14,FALSE),"Not Enough Data")</f>
        <v>Not Enough Data</v>
      </c>
      <c r="H1505" t="s">
        <v>203</v>
      </c>
    </row>
    <row r="1506" spans="1:8" x14ac:dyDescent="0.35">
      <c r="A1506" t="str">
        <f t="shared" si="23"/>
        <v>18063210108_2028</v>
      </c>
      <c r="B1506">
        <v>18063210108</v>
      </c>
      <c r="C1506">
        <v>2028</v>
      </c>
      <c r="E1506" t="e">
        <f>-(IF(VLOOKUP(B1506,'2023 Z Scores'!$A$1:$K$309,11,FALSE)&gt;2,VLOOKUP(B1506,'2023 Z Scores'!$A$1:$K$309,10,FALSE)/VLOOKUP(B1506,'2023 Z Scores'!$A$1:$K$309,11,FALSE),"Not Enough data"))</f>
        <v>#VALUE!</v>
      </c>
      <c r="F1506" t="str">
        <f>IF(VLOOKUP(A1506,'Delta Z Scores'!$A$1:$N$1541,14,FALSE)&gt;2,VLOOKUP(A1506,'Delta Z Scores'!$A$1:$N$1541,13,FALSE)/VLOOKUP(A1506,'Delta Z Scores'!$A$1:$N$1541,14,FALSE),"Not Enough Data")</f>
        <v>Not Enough Data</v>
      </c>
      <c r="G1506" t="str">
        <f>IF(VLOOKUP(A1506,'Forecast Z Scores'!$A$1:$N$1541,14,FALSE)&gt;2,VLOOKUP(A1506,'Forecast Z Scores'!$A$1:$N$1541,13,FALSE)/VLOOKUP(A1506,'Forecast Z Scores'!$A$1:$N$1541,14,FALSE),"Not Enough Data")</f>
        <v>Not Enough Data</v>
      </c>
      <c r="H1506" t="s">
        <v>203</v>
      </c>
    </row>
    <row r="1507" spans="1:8" x14ac:dyDescent="0.35">
      <c r="A1507" t="str">
        <f t="shared" si="23"/>
        <v>18063210109_2024</v>
      </c>
      <c r="B1507">
        <v>18063210109</v>
      </c>
      <c r="C1507">
        <v>2024</v>
      </c>
      <c r="E1507" t="e">
        <f>-(IF(VLOOKUP(B1507,'2023 Z Scores'!$A$1:$K$309,11,FALSE)&gt;2,VLOOKUP(B1507,'2023 Z Scores'!$A$1:$K$309,10,FALSE)/VLOOKUP(B1507,'2023 Z Scores'!$A$1:$K$309,11,FALSE),"Not Enough data"))</f>
        <v>#VALUE!</v>
      </c>
      <c r="F1507" t="str">
        <f>IF(VLOOKUP(A1507,'Delta Z Scores'!$A$1:$N$1541,14,FALSE)&gt;2,VLOOKUP(A1507,'Delta Z Scores'!$A$1:$N$1541,13,FALSE)/VLOOKUP(A1507,'Delta Z Scores'!$A$1:$N$1541,14,FALSE),"Not Enough Data")</f>
        <v>Not Enough Data</v>
      </c>
      <c r="G1507" t="str">
        <f>IF(VLOOKUP(A1507,'Forecast Z Scores'!$A$1:$N$1541,14,FALSE)&gt;2,VLOOKUP(A1507,'Forecast Z Scores'!$A$1:$N$1541,13,FALSE)/VLOOKUP(A1507,'Forecast Z Scores'!$A$1:$N$1541,14,FALSE),"Not Enough Data")</f>
        <v>Not Enough Data</v>
      </c>
      <c r="H1507" t="s">
        <v>203</v>
      </c>
    </row>
    <row r="1508" spans="1:8" x14ac:dyDescent="0.35">
      <c r="A1508" t="str">
        <f t="shared" si="23"/>
        <v>18063210109_2025</v>
      </c>
      <c r="B1508">
        <v>18063210109</v>
      </c>
      <c r="C1508">
        <v>2025</v>
      </c>
      <c r="E1508" t="e">
        <f>-(IF(VLOOKUP(B1508,'2023 Z Scores'!$A$1:$K$309,11,FALSE)&gt;2,VLOOKUP(B1508,'2023 Z Scores'!$A$1:$K$309,10,FALSE)/VLOOKUP(B1508,'2023 Z Scores'!$A$1:$K$309,11,FALSE),"Not Enough data"))</f>
        <v>#VALUE!</v>
      </c>
      <c r="F1508" t="str">
        <f>IF(VLOOKUP(A1508,'Delta Z Scores'!$A$1:$N$1541,14,FALSE)&gt;2,VLOOKUP(A1508,'Delta Z Scores'!$A$1:$N$1541,13,FALSE)/VLOOKUP(A1508,'Delta Z Scores'!$A$1:$N$1541,14,FALSE),"Not Enough Data")</f>
        <v>Not Enough Data</v>
      </c>
      <c r="G1508" t="str">
        <f>IF(VLOOKUP(A1508,'Forecast Z Scores'!$A$1:$N$1541,14,FALSE)&gt;2,VLOOKUP(A1508,'Forecast Z Scores'!$A$1:$N$1541,13,FALSE)/VLOOKUP(A1508,'Forecast Z Scores'!$A$1:$N$1541,14,FALSE),"Not Enough Data")</f>
        <v>Not Enough Data</v>
      </c>
      <c r="H1508" t="s">
        <v>203</v>
      </c>
    </row>
    <row r="1509" spans="1:8" x14ac:dyDescent="0.35">
      <c r="A1509" t="str">
        <f t="shared" si="23"/>
        <v>18063210109_2026</v>
      </c>
      <c r="B1509">
        <v>18063210109</v>
      </c>
      <c r="C1509">
        <v>2026</v>
      </c>
      <c r="E1509" t="e">
        <f>-(IF(VLOOKUP(B1509,'2023 Z Scores'!$A$1:$K$309,11,FALSE)&gt;2,VLOOKUP(B1509,'2023 Z Scores'!$A$1:$K$309,10,FALSE)/VLOOKUP(B1509,'2023 Z Scores'!$A$1:$K$309,11,FALSE),"Not Enough data"))</f>
        <v>#VALUE!</v>
      </c>
      <c r="F1509" t="str">
        <f>IF(VLOOKUP(A1509,'Delta Z Scores'!$A$1:$N$1541,14,FALSE)&gt;2,VLOOKUP(A1509,'Delta Z Scores'!$A$1:$N$1541,13,FALSE)/VLOOKUP(A1509,'Delta Z Scores'!$A$1:$N$1541,14,FALSE),"Not Enough Data")</f>
        <v>Not Enough Data</v>
      </c>
      <c r="G1509" t="str">
        <f>IF(VLOOKUP(A1509,'Forecast Z Scores'!$A$1:$N$1541,14,FALSE)&gt;2,VLOOKUP(A1509,'Forecast Z Scores'!$A$1:$N$1541,13,FALSE)/VLOOKUP(A1509,'Forecast Z Scores'!$A$1:$N$1541,14,FALSE),"Not Enough Data")</f>
        <v>Not Enough Data</v>
      </c>
      <c r="H1509" t="s">
        <v>203</v>
      </c>
    </row>
    <row r="1510" spans="1:8" x14ac:dyDescent="0.35">
      <c r="A1510" t="str">
        <f t="shared" si="23"/>
        <v>18063210109_2027</v>
      </c>
      <c r="B1510">
        <v>18063210109</v>
      </c>
      <c r="C1510">
        <v>2027</v>
      </c>
      <c r="E1510" t="e">
        <f>-(IF(VLOOKUP(B1510,'2023 Z Scores'!$A$1:$K$309,11,FALSE)&gt;2,VLOOKUP(B1510,'2023 Z Scores'!$A$1:$K$309,10,FALSE)/VLOOKUP(B1510,'2023 Z Scores'!$A$1:$K$309,11,FALSE),"Not Enough data"))</f>
        <v>#VALUE!</v>
      </c>
      <c r="F1510" t="str">
        <f>IF(VLOOKUP(A1510,'Delta Z Scores'!$A$1:$N$1541,14,FALSE)&gt;2,VLOOKUP(A1510,'Delta Z Scores'!$A$1:$N$1541,13,FALSE)/VLOOKUP(A1510,'Delta Z Scores'!$A$1:$N$1541,14,FALSE),"Not Enough Data")</f>
        <v>Not Enough Data</v>
      </c>
      <c r="G1510" t="str">
        <f>IF(VLOOKUP(A1510,'Forecast Z Scores'!$A$1:$N$1541,14,FALSE)&gt;2,VLOOKUP(A1510,'Forecast Z Scores'!$A$1:$N$1541,13,FALSE)/VLOOKUP(A1510,'Forecast Z Scores'!$A$1:$N$1541,14,FALSE),"Not Enough Data")</f>
        <v>Not Enough Data</v>
      </c>
      <c r="H1510" t="s">
        <v>203</v>
      </c>
    </row>
    <row r="1511" spans="1:8" x14ac:dyDescent="0.35">
      <c r="A1511" t="str">
        <f t="shared" si="23"/>
        <v>18063210109_2028</v>
      </c>
      <c r="B1511">
        <v>18063210109</v>
      </c>
      <c r="C1511">
        <v>2028</v>
      </c>
      <c r="E1511" t="e">
        <f>-(IF(VLOOKUP(B1511,'2023 Z Scores'!$A$1:$K$309,11,FALSE)&gt;2,VLOOKUP(B1511,'2023 Z Scores'!$A$1:$K$309,10,FALSE)/VLOOKUP(B1511,'2023 Z Scores'!$A$1:$K$309,11,FALSE),"Not Enough data"))</f>
        <v>#VALUE!</v>
      </c>
      <c r="F1511" t="str">
        <f>IF(VLOOKUP(A1511,'Delta Z Scores'!$A$1:$N$1541,14,FALSE)&gt;2,VLOOKUP(A1511,'Delta Z Scores'!$A$1:$N$1541,13,FALSE)/VLOOKUP(A1511,'Delta Z Scores'!$A$1:$N$1541,14,FALSE),"Not Enough Data")</f>
        <v>Not Enough Data</v>
      </c>
      <c r="G1511" t="str">
        <f>IF(VLOOKUP(A1511,'Forecast Z Scores'!$A$1:$N$1541,14,FALSE)&gt;2,VLOOKUP(A1511,'Forecast Z Scores'!$A$1:$N$1541,13,FALSE)/VLOOKUP(A1511,'Forecast Z Scores'!$A$1:$N$1541,14,FALSE),"Not Enough Data")</f>
        <v>Not Enough Data</v>
      </c>
      <c r="H1511" t="s">
        <v>203</v>
      </c>
    </row>
    <row r="1512" spans="1:8" x14ac:dyDescent="0.35">
      <c r="A1512" t="str">
        <f t="shared" si="23"/>
        <v>18063210607_2024</v>
      </c>
      <c r="B1512">
        <v>18063210607</v>
      </c>
      <c r="C1512">
        <v>2024</v>
      </c>
      <c r="E1512" t="e">
        <f>-(IF(VLOOKUP(B1512,'2023 Z Scores'!$A$1:$K$309,11,FALSE)&gt;2,VLOOKUP(B1512,'2023 Z Scores'!$A$1:$K$309,10,FALSE)/VLOOKUP(B1512,'2023 Z Scores'!$A$1:$K$309,11,FALSE),"Not Enough data"))</f>
        <v>#VALUE!</v>
      </c>
      <c r="F1512" t="str">
        <f>IF(VLOOKUP(A1512,'Delta Z Scores'!$A$1:$N$1541,14,FALSE)&gt;2,VLOOKUP(A1512,'Delta Z Scores'!$A$1:$N$1541,13,FALSE)/VLOOKUP(A1512,'Delta Z Scores'!$A$1:$N$1541,14,FALSE),"Not Enough Data")</f>
        <v>Not Enough Data</v>
      </c>
      <c r="G1512" t="str">
        <f>IF(VLOOKUP(A1512,'Forecast Z Scores'!$A$1:$N$1541,14,FALSE)&gt;2,VLOOKUP(A1512,'Forecast Z Scores'!$A$1:$N$1541,13,FALSE)/VLOOKUP(A1512,'Forecast Z Scores'!$A$1:$N$1541,14,FALSE),"Not Enough Data")</f>
        <v>Not Enough Data</v>
      </c>
      <c r="H1512" t="s">
        <v>203</v>
      </c>
    </row>
    <row r="1513" spans="1:8" x14ac:dyDescent="0.35">
      <c r="A1513" t="str">
        <f t="shared" si="23"/>
        <v>18063210607_2025</v>
      </c>
      <c r="B1513">
        <v>18063210607</v>
      </c>
      <c r="C1513">
        <v>2025</v>
      </c>
      <c r="E1513" t="e">
        <f>-(IF(VLOOKUP(B1513,'2023 Z Scores'!$A$1:$K$309,11,FALSE)&gt;2,VLOOKUP(B1513,'2023 Z Scores'!$A$1:$K$309,10,FALSE)/VLOOKUP(B1513,'2023 Z Scores'!$A$1:$K$309,11,FALSE),"Not Enough data"))</f>
        <v>#VALUE!</v>
      </c>
      <c r="F1513" t="str">
        <f>IF(VLOOKUP(A1513,'Delta Z Scores'!$A$1:$N$1541,14,FALSE)&gt;2,VLOOKUP(A1513,'Delta Z Scores'!$A$1:$N$1541,13,FALSE)/VLOOKUP(A1513,'Delta Z Scores'!$A$1:$N$1541,14,FALSE),"Not Enough Data")</f>
        <v>Not Enough Data</v>
      </c>
      <c r="G1513" t="str">
        <f>IF(VLOOKUP(A1513,'Forecast Z Scores'!$A$1:$N$1541,14,FALSE)&gt;2,VLOOKUP(A1513,'Forecast Z Scores'!$A$1:$N$1541,13,FALSE)/VLOOKUP(A1513,'Forecast Z Scores'!$A$1:$N$1541,14,FALSE),"Not Enough Data")</f>
        <v>Not Enough Data</v>
      </c>
      <c r="H1513" t="s">
        <v>203</v>
      </c>
    </row>
    <row r="1514" spans="1:8" x14ac:dyDescent="0.35">
      <c r="A1514" t="str">
        <f t="shared" si="23"/>
        <v>18063210607_2026</v>
      </c>
      <c r="B1514">
        <v>18063210607</v>
      </c>
      <c r="C1514">
        <v>2026</v>
      </c>
      <c r="E1514" t="e">
        <f>-(IF(VLOOKUP(B1514,'2023 Z Scores'!$A$1:$K$309,11,FALSE)&gt;2,VLOOKUP(B1514,'2023 Z Scores'!$A$1:$K$309,10,FALSE)/VLOOKUP(B1514,'2023 Z Scores'!$A$1:$K$309,11,FALSE),"Not Enough data"))</f>
        <v>#VALUE!</v>
      </c>
      <c r="F1514" t="str">
        <f>IF(VLOOKUP(A1514,'Delta Z Scores'!$A$1:$N$1541,14,FALSE)&gt;2,VLOOKUP(A1514,'Delta Z Scores'!$A$1:$N$1541,13,FALSE)/VLOOKUP(A1514,'Delta Z Scores'!$A$1:$N$1541,14,FALSE),"Not Enough Data")</f>
        <v>Not Enough Data</v>
      </c>
      <c r="G1514" t="str">
        <f>IF(VLOOKUP(A1514,'Forecast Z Scores'!$A$1:$N$1541,14,FALSE)&gt;2,VLOOKUP(A1514,'Forecast Z Scores'!$A$1:$N$1541,13,FALSE)/VLOOKUP(A1514,'Forecast Z Scores'!$A$1:$N$1541,14,FALSE),"Not Enough Data")</f>
        <v>Not Enough Data</v>
      </c>
      <c r="H1514" t="s">
        <v>203</v>
      </c>
    </row>
    <row r="1515" spans="1:8" x14ac:dyDescent="0.35">
      <c r="A1515" t="str">
        <f t="shared" si="23"/>
        <v>18063210607_2027</v>
      </c>
      <c r="B1515">
        <v>18063210607</v>
      </c>
      <c r="C1515">
        <v>2027</v>
      </c>
      <c r="E1515" t="e">
        <f>-(IF(VLOOKUP(B1515,'2023 Z Scores'!$A$1:$K$309,11,FALSE)&gt;2,VLOOKUP(B1515,'2023 Z Scores'!$A$1:$K$309,10,FALSE)/VLOOKUP(B1515,'2023 Z Scores'!$A$1:$K$309,11,FALSE),"Not Enough data"))</f>
        <v>#VALUE!</v>
      </c>
      <c r="F1515" t="str">
        <f>IF(VLOOKUP(A1515,'Delta Z Scores'!$A$1:$N$1541,14,FALSE)&gt;2,VLOOKUP(A1515,'Delta Z Scores'!$A$1:$N$1541,13,FALSE)/VLOOKUP(A1515,'Delta Z Scores'!$A$1:$N$1541,14,FALSE),"Not Enough Data")</f>
        <v>Not Enough Data</v>
      </c>
      <c r="G1515" t="str">
        <f>IF(VLOOKUP(A1515,'Forecast Z Scores'!$A$1:$N$1541,14,FALSE)&gt;2,VLOOKUP(A1515,'Forecast Z Scores'!$A$1:$N$1541,13,FALSE)/VLOOKUP(A1515,'Forecast Z Scores'!$A$1:$N$1541,14,FALSE),"Not Enough Data")</f>
        <v>Not Enough Data</v>
      </c>
      <c r="H1515" t="s">
        <v>203</v>
      </c>
    </row>
    <row r="1516" spans="1:8" x14ac:dyDescent="0.35">
      <c r="A1516" t="str">
        <f t="shared" si="23"/>
        <v>18063210607_2028</v>
      </c>
      <c r="B1516">
        <v>18063210607</v>
      </c>
      <c r="C1516">
        <v>2028</v>
      </c>
      <c r="E1516" t="e">
        <f>-(IF(VLOOKUP(B1516,'2023 Z Scores'!$A$1:$K$309,11,FALSE)&gt;2,VLOOKUP(B1516,'2023 Z Scores'!$A$1:$K$309,10,FALSE)/VLOOKUP(B1516,'2023 Z Scores'!$A$1:$K$309,11,FALSE),"Not Enough data"))</f>
        <v>#VALUE!</v>
      </c>
      <c r="F1516" t="str">
        <f>IF(VLOOKUP(A1516,'Delta Z Scores'!$A$1:$N$1541,14,FALSE)&gt;2,VLOOKUP(A1516,'Delta Z Scores'!$A$1:$N$1541,13,FALSE)/VLOOKUP(A1516,'Delta Z Scores'!$A$1:$N$1541,14,FALSE),"Not Enough Data")</f>
        <v>Not Enough Data</v>
      </c>
      <c r="G1516" t="str">
        <f>IF(VLOOKUP(A1516,'Forecast Z Scores'!$A$1:$N$1541,14,FALSE)&gt;2,VLOOKUP(A1516,'Forecast Z Scores'!$A$1:$N$1541,13,FALSE)/VLOOKUP(A1516,'Forecast Z Scores'!$A$1:$N$1541,14,FALSE),"Not Enough Data")</f>
        <v>Not Enough Data</v>
      </c>
      <c r="H1516" t="s">
        <v>203</v>
      </c>
    </row>
    <row r="1517" spans="1:8" x14ac:dyDescent="0.35">
      <c r="A1517" t="str">
        <f t="shared" si="23"/>
        <v>18063210608_2024</v>
      </c>
      <c r="B1517">
        <v>18063210608</v>
      </c>
      <c r="C1517">
        <v>2024</v>
      </c>
      <c r="E1517" t="e">
        <f>-(IF(VLOOKUP(B1517,'2023 Z Scores'!$A$1:$K$309,11,FALSE)&gt;2,VLOOKUP(B1517,'2023 Z Scores'!$A$1:$K$309,10,FALSE)/VLOOKUP(B1517,'2023 Z Scores'!$A$1:$K$309,11,FALSE),"Not Enough data"))</f>
        <v>#VALUE!</v>
      </c>
      <c r="F1517" t="str">
        <f>IF(VLOOKUP(A1517,'Delta Z Scores'!$A$1:$N$1541,14,FALSE)&gt;2,VLOOKUP(A1517,'Delta Z Scores'!$A$1:$N$1541,13,FALSE)/VLOOKUP(A1517,'Delta Z Scores'!$A$1:$N$1541,14,FALSE),"Not Enough Data")</f>
        <v>Not Enough Data</v>
      </c>
      <c r="G1517" t="str">
        <f>IF(VLOOKUP(A1517,'Forecast Z Scores'!$A$1:$N$1541,14,FALSE)&gt;2,VLOOKUP(A1517,'Forecast Z Scores'!$A$1:$N$1541,13,FALSE)/VLOOKUP(A1517,'Forecast Z Scores'!$A$1:$N$1541,14,FALSE),"Not Enough Data")</f>
        <v>Not Enough Data</v>
      </c>
      <c r="H1517" t="s">
        <v>203</v>
      </c>
    </row>
    <row r="1518" spans="1:8" x14ac:dyDescent="0.35">
      <c r="A1518" t="str">
        <f t="shared" si="23"/>
        <v>18063210608_2025</v>
      </c>
      <c r="B1518">
        <v>18063210608</v>
      </c>
      <c r="C1518">
        <v>2025</v>
      </c>
      <c r="E1518" t="e">
        <f>-(IF(VLOOKUP(B1518,'2023 Z Scores'!$A$1:$K$309,11,FALSE)&gt;2,VLOOKUP(B1518,'2023 Z Scores'!$A$1:$K$309,10,FALSE)/VLOOKUP(B1518,'2023 Z Scores'!$A$1:$K$309,11,FALSE),"Not Enough data"))</f>
        <v>#VALUE!</v>
      </c>
      <c r="F1518" t="str">
        <f>IF(VLOOKUP(A1518,'Delta Z Scores'!$A$1:$N$1541,14,FALSE)&gt;2,VLOOKUP(A1518,'Delta Z Scores'!$A$1:$N$1541,13,FALSE)/VLOOKUP(A1518,'Delta Z Scores'!$A$1:$N$1541,14,FALSE),"Not Enough Data")</f>
        <v>Not Enough Data</v>
      </c>
      <c r="G1518" t="str">
        <f>IF(VLOOKUP(A1518,'Forecast Z Scores'!$A$1:$N$1541,14,FALSE)&gt;2,VLOOKUP(A1518,'Forecast Z Scores'!$A$1:$N$1541,13,FALSE)/VLOOKUP(A1518,'Forecast Z Scores'!$A$1:$N$1541,14,FALSE),"Not Enough Data")</f>
        <v>Not Enough Data</v>
      </c>
      <c r="H1518" t="s">
        <v>203</v>
      </c>
    </row>
    <row r="1519" spans="1:8" x14ac:dyDescent="0.35">
      <c r="A1519" t="str">
        <f t="shared" si="23"/>
        <v>18063210608_2026</v>
      </c>
      <c r="B1519">
        <v>18063210608</v>
      </c>
      <c r="C1519">
        <v>2026</v>
      </c>
      <c r="E1519" t="e">
        <f>-(IF(VLOOKUP(B1519,'2023 Z Scores'!$A$1:$K$309,11,FALSE)&gt;2,VLOOKUP(B1519,'2023 Z Scores'!$A$1:$K$309,10,FALSE)/VLOOKUP(B1519,'2023 Z Scores'!$A$1:$K$309,11,FALSE),"Not Enough data"))</f>
        <v>#VALUE!</v>
      </c>
      <c r="F1519" t="str">
        <f>IF(VLOOKUP(A1519,'Delta Z Scores'!$A$1:$N$1541,14,FALSE)&gt;2,VLOOKUP(A1519,'Delta Z Scores'!$A$1:$N$1541,13,FALSE)/VLOOKUP(A1519,'Delta Z Scores'!$A$1:$N$1541,14,FALSE),"Not Enough Data")</f>
        <v>Not Enough Data</v>
      </c>
      <c r="G1519" t="str">
        <f>IF(VLOOKUP(A1519,'Forecast Z Scores'!$A$1:$N$1541,14,FALSE)&gt;2,VLOOKUP(A1519,'Forecast Z Scores'!$A$1:$N$1541,13,FALSE)/VLOOKUP(A1519,'Forecast Z Scores'!$A$1:$N$1541,14,FALSE),"Not Enough Data")</f>
        <v>Not Enough Data</v>
      </c>
      <c r="H1519" t="s">
        <v>203</v>
      </c>
    </row>
    <row r="1520" spans="1:8" x14ac:dyDescent="0.35">
      <c r="A1520" t="str">
        <f t="shared" si="23"/>
        <v>18063210608_2027</v>
      </c>
      <c r="B1520">
        <v>18063210608</v>
      </c>
      <c r="C1520">
        <v>2027</v>
      </c>
      <c r="E1520" t="e">
        <f>-(IF(VLOOKUP(B1520,'2023 Z Scores'!$A$1:$K$309,11,FALSE)&gt;2,VLOOKUP(B1520,'2023 Z Scores'!$A$1:$K$309,10,FALSE)/VLOOKUP(B1520,'2023 Z Scores'!$A$1:$K$309,11,FALSE),"Not Enough data"))</f>
        <v>#VALUE!</v>
      </c>
      <c r="F1520" t="str">
        <f>IF(VLOOKUP(A1520,'Delta Z Scores'!$A$1:$N$1541,14,FALSE)&gt;2,VLOOKUP(A1520,'Delta Z Scores'!$A$1:$N$1541,13,FALSE)/VLOOKUP(A1520,'Delta Z Scores'!$A$1:$N$1541,14,FALSE),"Not Enough Data")</f>
        <v>Not Enough Data</v>
      </c>
      <c r="G1520" t="str">
        <f>IF(VLOOKUP(A1520,'Forecast Z Scores'!$A$1:$N$1541,14,FALSE)&gt;2,VLOOKUP(A1520,'Forecast Z Scores'!$A$1:$N$1541,13,FALSE)/VLOOKUP(A1520,'Forecast Z Scores'!$A$1:$N$1541,14,FALSE),"Not Enough Data")</f>
        <v>Not Enough Data</v>
      </c>
      <c r="H1520" t="s">
        <v>203</v>
      </c>
    </row>
    <row r="1521" spans="1:8" x14ac:dyDescent="0.35">
      <c r="A1521" t="str">
        <f t="shared" si="23"/>
        <v>18063210608_2028</v>
      </c>
      <c r="B1521">
        <v>18063210608</v>
      </c>
      <c r="C1521">
        <v>2028</v>
      </c>
      <c r="E1521" t="e">
        <f>-(IF(VLOOKUP(B1521,'2023 Z Scores'!$A$1:$K$309,11,FALSE)&gt;2,VLOOKUP(B1521,'2023 Z Scores'!$A$1:$K$309,10,FALSE)/VLOOKUP(B1521,'2023 Z Scores'!$A$1:$K$309,11,FALSE),"Not Enough data"))</f>
        <v>#VALUE!</v>
      </c>
      <c r="F1521" t="str">
        <f>IF(VLOOKUP(A1521,'Delta Z Scores'!$A$1:$N$1541,14,FALSE)&gt;2,VLOOKUP(A1521,'Delta Z Scores'!$A$1:$N$1541,13,FALSE)/VLOOKUP(A1521,'Delta Z Scores'!$A$1:$N$1541,14,FALSE),"Not Enough Data")</f>
        <v>Not Enough Data</v>
      </c>
      <c r="G1521" t="str">
        <f>IF(VLOOKUP(A1521,'Forecast Z Scores'!$A$1:$N$1541,14,FALSE)&gt;2,VLOOKUP(A1521,'Forecast Z Scores'!$A$1:$N$1541,13,FALSE)/VLOOKUP(A1521,'Forecast Z Scores'!$A$1:$N$1541,14,FALSE),"Not Enough Data")</f>
        <v>Not Enough Data</v>
      </c>
      <c r="H1521" t="s">
        <v>203</v>
      </c>
    </row>
    <row r="1522" spans="1:8" x14ac:dyDescent="0.35">
      <c r="A1522" t="str">
        <f t="shared" si="23"/>
        <v>18063210611_2024</v>
      </c>
      <c r="B1522">
        <v>18063210611</v>
      </c>
      <c r="C1522">
        <v>2024</v>
      </c>
      <c r="E1522" t="e">
        <f>-(IF(VLOOKUP(B1522,'2023 Z Scores'!$A$1:$K$309,11,FALSE)&gt;2,VLOOKUP(B1522,'2023 Z Scores'!$A$1:$K$309,10,FALSE)/VLOOKUP(B1522,'2023 Z Scores'!$A$1:$K$309,11,FALSE),"Not Enough data"))</f>
        <v>#VALUE!</v>
      </c>
      <c r="F1522" t="str">
        <f>IF(VLOOKUP(A1522,'Delta Z Scores'!$A$1:$N$1541,14,FALSE)&gt;2,VLOOKUP(A1522,'Delta Z Scores'!$A$1:$N$1541,13,FALSE)/VLOOKUP(A1522,'Delta Z Scores'!$A$1:$N$1541,14,FALSE),"Not Enough Data")</f>
        <v>Not Enough Data</v>
      </c>
      <c r="G1522" t="str">
        <f>IF(VLOOKUP(A1522,'Forecast Z Scores'!$A$1:$N$1541,14,FALSE)&gt;2,VLOOKUP(A1522,'Forecast Z Scores'!$A$1:$N$1541,13,FALSE)/VLOOKUP(A1522,'Forecast Z Scores'!$A$1:$N$1541,14,FALSE),"Not Enough Data")</f>
        <v>Not Enough Data</v>
      </c>
      <c r="H1522" t="s">
        <v>203</v>
      </c>
    </row>
    <row r="1523" spans="1:8" x14ac:dyDescent="0.35">
      <c r="A1523" t="str">
        <f t="shared" si="23"/>
        <v>18063210611_2025</v>
      </c>
      <c r="B1523">
        <v>18063210611</v>
      </c>
      <c r="C1523">
        <v>2025</v>
      </c>
      <c r="E1523" t="e">
        <f>-(IF(VLOOKUP(B1523,'2023 Z Scores'!$A$1:$K$309,11,FALSE)&gt;2,VLOOKUP(B1523,'2023 Z Scores'!$A$1:$K$309,10,FALSE)/VLOOKUP(B1523,'2023 Z Scores'!$A$1:$K$309,11,FALSE),"Not Enough data"))</f>
        <v>#VALUE!</v>
      </c>
      <c r="F1523" t="str">
        <f>IF(VLOOKUP(A1523,'Delta Z Scores'!$A$1:$N$1541,14,FALSE)&gt;2,VLOOKUP(A1523,'Delta Z Scores'!$A$1:$N$1541,13,FALSE)/VLOOKUP(A1523,'Delta Z Scores'!$A$1:$N$1541,14,FALSE),"Not Enough Data")</f>
        <v>Not Enough Data</v>
      </c>
      <c r="G1523" t="str">
        <f>IF(VLOOKUP(A1523,'Forecast Z Scores'!$A$1:$N$1541,14,FALSE)&gt;2,VLOOKUP(A1523,'Forecast Z Scores'!$A$1:$N$1541,13,FALSE)/VLOOKUP(A1523,'Forecast Z Scores'!$A$1:$N$1541,14,FALSE),"Not Enough Data")</f>
        <v>Not Enough Data</v>
      </c>
      <c r="H1523" t="s">
        <v>203</v>
      </c>
    </row>
    <row r="1524" spans="1:8" x14ac:dyDescent="0.35">
      <c r="A1524" t="str">
        <f t="shared" si="23"/>
        <v>18063210611_2026</v>
      </c>
      <c r="B1524">
        <v>18063210611</v>
      </c>
      <c r="C1524">
        <v>2026</v>
      </c>
      <c r="E1524" t="e">
        <f>-(IF(VLOOKUP(B1524,'2023 Z Scores'!$A$1:$K$309,11,FALSE)&gt;2,VLOOKUP(B1524,'2023 Z Scores'!$A$1:$K$309,10,FALSE)/VLOOKUP(B1524,'2023 Z Scores'!$A$1:$K$309,11,FALSE),"Not Enough data"))</f>
        <v>#VALUE!</v>
      </c>
      <c r="F1524" t="str">
        <f>IF(VLOOKUP(A1524,'Delta Z Scores'!$A$1:$N$1541,14,FALSE)&gt;2,VLOOKUP(A1524,'Delta Z Scores'!$A$1:$N$1541,13,FALSE)/VLOOKUP(A1524,'Delta Z Scores'!$A$1:$N$1541,14,FALSE),"Not Enough Data")</f>
        <v>Not Enough Data</v>
      </c>
      <c r="G1524" t="str">
        <f>IF(VLOOKUP(A1524,'Forecast Z Scores'!$A$1:$N$1541,14,FALSE)&gt;2,VLOOKUP(A1524,'Forecast Z Scores'!$A$1:$N$1541,13,FALSE)/VLOOKUP(A1524,'Forecast Z Scores'!$A$1:$N$1541,14,FALSE),"Not Enough Data")</f>
        <v>Not Enough Data</v>
      </c>
      <c r="H1524" t="s">
        <v>203</v>
      </c>
    </row>
    <row r="1525" spans="1:8" x14ac:dyDescent="0.35">
      <c r="A1525" t="str">
        <f t="shared" si="23"/>
        <v>18063210611_2027</v>
      </c>
      <c r="B1525">
        <v>18063210611</v>
      </c>
      <c r="C1525">
        <v>2027</v>
      </c>
      <c r="E1525" t="e">
        <f>-(IF(VLOOKUP(B1525,'2023 Z Scores'!$A$1:$K$309,11,FALSE)&gt;2,VLOOKUP(B1525,'2023 Z Scores'!$A$1:$K$309,10,FALSE)/VLOOKUP(B1525,'2023 Z Scores'!$A$1:$K$309,11,FALSE),"Not Enough data"))</f>
        <v>#VALUE!</v>
      </c>
      <c r="F1525" t="str">
        <f>IF(VLOOKUP(A1525,'Delta Z Scores'!$A$1:$N$1541,14,FALSE)&gt;2,VLOOKUP(A1525,'Delta Z Scores'!$A$1:$N$1541,13,FALSE)/VLOOKUP(A1525,'Delta Z Scores'!$A$1:$N$1541,14,FALSE),"Not Enough Data")</f>
        <v>Not Enough Data</v>
      </c>
      <c r="G1525" t="str">
        <f>IF(VLOOKUP(A1525,'Forecast Z Scores'!$A$1:$N$1541,14,FALSE)&gt;2,VLOOKUP(A1525,'Forecast Z Scores'!$A$1:$N$1541,13,FALSE)/VLOOKUP(A1525,'Forecast Z Scores'!$A$1:$N$1541,14,FALSE),"Not Enough Data")</f>
        <v>Not Enough Data</v>
      </c>
      <c r="H1525" t="s">
        <v>203</v>
      </c>
    </row>
    <row r="1526" spans="1:8" x14ac:dyDescent="0.35">
      <c r="A1526" t="str">
        <f t="shared" si="23"/>
        <v>18063210611_2028</v>
      </c>
      <c r="B1526">
        <v>18063210611</v>
      </c>
      <c r="C1526">
        <v>2028</v>
      </c>
      <c r="E1526" t="e">
        <f>-(IF(VLOOKUP(B1526,'2023 Z Scores'!$A$1:$K$309,11,FALSE)&gt;2,VLOOKUP(B1526,'2023 Z Scores'!$A$1:$K$309,10,FALSE)/VLOOKUP(B1526,'2023 Z Scores'!$A$1:$K$309,11,FALSE),"Not Enough data"))</f>
        <v>#VALUE!</v>
      </c>
      <c r="F1526" t="str">
        <f>IF(VLOOKUP(A1526,'Delta Z Scores'!$A$1:$N$1541,14,FALSE)&gt;2,VLOOKUP(A1526,'Delta Z Scores'!$A$1:$N$1541,13,FALSE)/VLOOKUP(A1526,'Delta Z Scores'!$A$1:$N$1541,14,FALSE),"Not Enough Data")</f>
        <v>Not Enough Data</v>
      </c>
      <c r="G1526" t="str">
        <f>IF(VLOOKUP(A1526,'Forecast Z Scores'!$A$1:$N$1541,14,FALSE)&gt;2,VLOOKUP(A1526,'Forecast Z Scores'!$A$1:$N$1541,13,FALSE)/VLOOKUP(A1526,'Forecast Z Scores'!$A$1:$N$1541,14,FALSE),"Not Enough Data")</f>
        <v>Not Enough Data</v>
      </c>
      <c r="H1526" t="s">
        <v>203</v>
      </c>
    </row>
    <row r="1527" spans="1:8" x14ac:dyDescent="0.35">
      <c r="A1527" t="str">
        <f t="shared" si="23"/>
        <v>18063210614_2024</v>
      </c>
      <c r="B1527">
        <v>18063210614</v>
      </c>
      <c r="C1527">
        <v>2024</v>
      </c>
      <c r="E1527" t="e">
        <f>-(IF(VLOOKUP(B1527,'2023 Z Scores'!$A$1:$K$309,11,FALSE)&gt;2,VLOOKUP(B1527,'2023 Z Scores'!$A$1:$K$309,10,FALSE)/VLOOKUP(B1527,'2023 Z Scores'!$A$1:$K$309,11,FALSE),"Not Enough data"))</f>
        <v>#VALUE!</v>
      </c>
      <c r="F1527" t="str">
        <f>IF(VLOOKUP(A1527,'Delta Z Scores'!$A$1:$N$1541,14,FALSE)&gt;2,VLOOKUP(A1527,'Delta Z Scores'!$A$1:$N$1541,13,FALSE)/VLOOKUP(A1527,'Delta Z Scores'!$A$1:$N$1541,14,FALSE),"Not Enough Data")</f>
        <v>Not Enough Data</v>
      </c>
      <c r="G1527" t="str">
        <f>IF(VLOOKUP(A1527,'Forecast Z Scores'!$A$1:$N$1541,14,FALSE)&gt;2,VLOOKUP(A1527,'Forecast Z Scores'!$A$1:$N$1541,13,FALSE)/VLOOKUP(A1527,'Forecast Z Scores'!$A$1:$N$1541,14,FALSE),"Not Enough Data")</f>
        <v>Not Enough Data</v>
      </c>
      <c r="H1527" t="s">
        <v>203</v>
      </c>
    </row>
    <row r="1528" spans="1:8" x14ac:dyDescent="0.35">
      <c r="A1528" t="str">
        <f t="shared" si="23"/>
        <v>18063210614_2025</v>
      </c>
      <c r="B1528">
        <v>18063210614</v>
      </c>
      <c r="C1528">
        <v>2025</v>
      </c>
      <c r="E1528" t="e">
        <f>-(IF(VLOOKUP(B1528,'2023 Z Scores'!$A$1:$K$309,11,FALSE)&gt;2,VLOOKUP(B1528,'2023 Z Scores'!$A$1:$K$309,10,FALSE)/VLOOKUP(B1528,'2023 Z Scores'!$A$1:$K$309,11,FALSE),"Not Enough data"))</f>
        <v>#VALUE!</v>
      </c>
      <c r="F1528" t="str">
        <f>IF(VLOOKUP(A1528,'Delta Z Scores'!$A$1:$N$1541,14,FALSE)&gt;2,VLOOKUP(A1528,'Delta Z Scores'!$A$1:$N$1541,13,FALSE)/VLOOKUP(A1528,'Delta Z Scores'!$A$1:$N$1541,14,FALSE),"Not Enough Data")</f>
        <v>Not Enough Data</v>
      </c>
      <c r="G1528" t="str">
        <f>IF(VLOOKUP(A1528,'Forecast Z Scores'!$A$1:$N$1541,14,FALSE)&gt;2,VLOOKUP(A1528,'Forecast Z Scores'!$A$1:$N$1541,13,FALSE)/VLOOKUP(A1528,'Forecast Z Scores'!$A$1:$N$1541,14,FALSE),"Not Enough Data")</f>
        <v>Not Enough Data</v>
      </c>
      <c r="H1528" t="s">
        <v>203</v>
      </c>
    </row>
    <row r="1529" spans="1:8" x14ac:dyDescent="0.35">
      <c r="A1529" t="str">
        <f t="shared" si="23"/>
        <v>18063210614_2026</v>
      </c>
      <c r="B1529">
        <v>18063210614</v>
      </c>
      <c r="C1529">
        <v>2026</v>
      </c>
      <c r="E1529" t="e">
        <f>-(IF(VLOOKUP(B1529,'2023 Z Scores'!$A$1:$K$309,11,FALSE)&gt;2,VLOOKUP(B1529,'2023 Z Scores'!$A$1:$K$309,10,FALSE)/VLOOKUP(B1529,'2023 Z Scores'!$A$1:$K$309,11,FALSE),"Not Enough data"))</f>
        <v>#VALUE!</v>
      </c>
      <c r="F1529" t="str">
        <f>IF(VLOOKUP(A1529,'Delta Z Scores'!$A$1:$N$1541,14,FALSE)&gt;2,VLOOKUP(A1529,'Delta Z Scores'!$A$1:$N$1541,13,FALSE)/VLOOKUP(A1529,'Delta Z Scores'!$A$1:$N$1541,14,FALSE),"Not Enough Data")</f>
        <v>Not Enough Data</v>
      </c>
      <c r="G1529" t="str">
        <f>IF(VLOOKUP(A1529,'Forecast Z Scores'!$A$1:$N$1541,14,FALSE)&gt;2,VLOOKUP(A1529,'Forecast Z Scores'!$A$1:$N$1541,13,FALSE)/VLOOKUP(A1529,'Forecast Z Scores'!$A$1:$N$1541,14,FALSE),"Not Enough Data")</f>
        <v>Not Enough Data</v>
      </c>
      <c r="H1529" t="s">
        <v>203</v>
      </c>
    </row>
    <row r="1530" spans="1:8" x14ac:dyDescent="0.35">
      <c r="A1530" t="str">
        <f t="shared" si="23"/>
        <v>18063210614_2027</v>
      </c>
      <c r="B1530">
        <v>18063210614</v>
      </c>
      <c r="C1530">
        <v>2027</v>
      </c>
      <c r="E1530" t="e">
        <f>-(IF(VLOOKUP(B1530,'2023 Z Scores'!$A$1:$K$309,11,FALSE)&gt;2,VLOOKUP(B1530,'2023 Z Scores'!$A$1:$K$309,10,FALSE)/VLOOKUP(B1530,'2023 Z Scores'!$A$1:$K$309,11,FALSE),"Not Enough data"))</f>
        <v>#VALUE!</v>
      </c>
      <c r="F1530" t="str">
        <f>IF(VLOOKUP(A1530,'Delta Z Scores'!$A$1:$N$1541,14,FALSE)&gt;2,VLOOKUP(A1530,'Delta Z Scores'!$A$1:$N$1541,13,FALSE)/VLOOKUP(A1530,'Delta Z Scores'!$A$1:$N$1541,14,FALSE),"Not Enough Data")</f>
        <v>Not Enough Data</v>
      </c>
      <c r="G1530" t="str">
        <f>IF(VLOOKUP(A1530,'Forecast Z Scores'!$A$1:$N$1541,14,FALSE)&gt;2,VLOOKUP(A1530,'Forecast Z Scores'!$A$1:$N$1541,13,FALSE)/VLOOKUP(A1530,'Forecast Z Scores'!$A$1:$N$1541,14,FALSE),"Not Enough Data")</f>
        <v>Not Enough Data</v>
      </c>
      <c r="H1530" t="s">
        <v>203</v>
      </c>
    </row>
    <row r="1531" spans="1:8" x14ac:dyDescent="0.35">
      <c r="A1531" t="str">
        <f t="shared" si="23"/>
        <v>18063210614_2028</v>
      </c>
      <c r="B1531">
        <v>18063210614</v>
      </c>
      <c r="C1531">
        <v>2028</v>
      </c>
      <c r="E1531" t="e">
        <f>-(IF(VLOOKUP(B1531,'2023 Z Scores'!$A$1:$K$309,11,FALSE)&gt;2,VLOOKUP(B1531,'2023 Z Scores'!$A$1:$K$309,10,FALSE)/VLOOKUP(B1531,'2023 Z Scores'!$A$1:$K$309,11,FALSE),"Not Enough data"))</f>
        <v>#VALUE!</v>
      </c>
      <c r="F1531" t="str">
        <f>IF(VLOOKUP(A1531,'Delta Z Scores'!$A$1:$N$1541,14,FALSE)&gt;2,VLOOKUP(A1531,'Delta Z Scores'!$A$1:$N$1541,13,FALSE)/VLOOKUP(A1531,'Delta Z Scores'!$A$1:$N$1541,14,FALSE),"Not Enough Data")</f>
        <v>Not Enough Data</v>
      </c>
      <c r="G1531" t="str">
        <f>IF(VLOOKUP(A1531,'Forecast Z Scores'!$A$1:$N$1541,14,FALSE)&gt;2,VLOOKUP(A1531,'Forecast Z Scores'!$A$1:$N$1541,13,FALSE)/VLOOKUP(A1531,'Forecast Z Scores'!$A$1:$N$1541,14,FALSE),"Not Enough Data")</f>
        <v>Not Enough Data</v>
      </c>
      <c r="H1531" t="s">
        <v>203</v>
      </c>
    </row>
    <row r="1532" spans="1:8" x14ac:dyDescent="0.35">
      <c r="A1532" t="str">
        <f t="shared" si="23"/>
        <v>18063210616_2024</v>
      </c>
      <c r="B1532">
        <v>18063210616</v>
      </c>
      <c r="C1532">
        <v>2024</v>
      </c>
      <c r="E1532" t="e">
        <f>-(IF(VLOOKUP(B1532,'2023 Z Scores'!$A$1:$K$309,11,FALSE)&gt;2,VLOOKUP(B1532,'2023 Z Scores'!$A$1:$K$309,10,FALSE)/VLOOKUP(B1532,'2023 Z Scores'!$A$1:$K$309,11,FALSE),"Not Enough data"))</f>
        <v>#VALUE!</v>
      </c>
      <c r="F1532" t="str">
        <f>IF(VLOOKUP(A1532,'Delta Z Scores'!$A$1:$N$1541,14,FALSE)&gt;2,VLOOKUP(A1532,'Delta Z Scores'!$A$1:$N$1541,13,FALSE)/VLOOKUP(A1532,'Delta Z Scores'!$A$1:$N$1541,14,FALSE),"Not Enough Data")</f>
        <v>Not Enough Data</v>
      </c>
      <c r="G1532" t="str">
        <f>IF(VLOOKUP(A1532,'Forecast Z Scores'!$A$1:$N$1541,14,FALSE)&gt;2,VLOOKUP(A1532,'Forecast Z Scores'!$A$1:$N$1541,13,FALSE)/VLOOKUP(A1532,'Forecast Z Scores'!$A$1:$N$1541,14,FALSE),"Not Enough Data")</f>
        <v>Not Enough Data</v>
      </c>
      <c r="H1532" t="s">
        <v>203</v>
      </c>
    </row>
    <row r="1533" spans="1:8" x14ac:dyDescent="0.35">
      <c r="A1533" t="str">
        <f t="shared" si="23"/>
        <v>18063210616_2025</v>
      </c>
      <c r="B1533">
        <v>18063210616</v>
      </c>
      <c r="C1533">
        <v>2025</v>
      </c>
      <c r="E1533" t="e">
        <f>-(IF(VLOOKUP(B1533,'2023 Z Scores'!$A$1:$K$309,11,FALSE)&gt;2,VLOOKUP(B1533,'2023 Z Scores'!$A$1:$K$309,10,FALSE)/VLOOKUP(B1533,'2023 Z Scores'!$A$1:$K$309,11,FALSE),"Not Enough data"))</f>
        <v>#VALUE!</v>
      </c>
      <c r="F1533" t="str">
        <f>IF(VLOOKUP(A1533,'Delta Z Scores'!$A$1:$N$1541,14,FALSE)&gt;2,VLOOKUP(A1533,'Delta Z Scores'!$A$1:$N$1541,13,FALSE)/VLOOKUP(A1533,'Delta Z Scores'!$A$1:$N$1541,14,FALSE),"Not Enough Data")</f>
        <v>Not Enough Data</v>
      </c>
      <c r="G1533" t="str">
        <f>IF(VLOOKUP(A1533,'Forecast Z Scores'!$A$1:$N$1541,14,FALSE)&gt;2,VLOOKUP(A1533,'Forecast Z Scores'!$A$1:$N$1541,13,FALSE)/VLOOKUP(A1533,'Forecast Z Scores'!$A$1:$N$1541,14,FALSE),"Not Enough Data")</f>
        <v>Not Enough Data</v>
      </c>
      <c r="H1533" t="s">
        <v>203</v>
      </c>
    </row>
    <row r="1534" spans="1:8" x14ac:dyDescent="0.35">
      <c r="A1534" t="str">
        <f t="shared" si="23"/>
        <v>18063210616_2026</v>
      </c>
      <c r="B1534">
        <v>18063210616</v>
      </c>
      <c r="C1534">
        <v>2026</v>
      </c>
      <c r="E1534" t="e">
        <f>-(IF(VLOOKUP(B1534,'2023 Z Scores'!$A$1:$K$309,11,FALSE)&gt;2,VLOOKUP(B1534,'2023 Z Scores'!$A$1:$K$309,10,FALSE)/VLOOKUP(B1534,'2023 Z Scores'!$A$1:$K$309,11,FALSE),"Not Enough data"))</f>
        <v>#VALUE!</v>
      </c>
      <c r="F1534" t="str">
        <f>IF(VLOOKUP(A1534,'Delta Z Scores'!$A$1:$N$1541,14,FALSE)&gt;2,VLOOKUP(A1534,'Delta Z Scores'!$A$1:$N$1541,13,FALSE)/VLOOKUP(A1534,'Delta Z Scores'!$A$1:$N$1541,14,FALSE),"Not Enough Data")</f>
        <v>Not Enough Data</v>
      </c>
      <c r="G1534" t="str">
        <f>IF(VLOOKUP(A1534,'Forecast Z Scores'!$A$1:$N$1541,14,FALSE)&gt;2,VLOOKUP(A1534,'Forecast Z Scores'!$A$1:$N$1541,13,FALSE)/VLOOKUP(A1534,'Forecast Z Scores'!$A$1:$N$1541,14,FALSE),"Not Enough Data")</f>
        <v>Not Enough Data</v>
      </c>
      <c r="H1534" t="s">
        <v>203</v>
      </c>
    </row>
    <row r="1535" spans="1:8" x14ac:dyDescent="0.35">
      <c r="A1535" t="str">
        <f t="shared" si="23"/>
        <v>18063210616_2027</v>
      </c>
      <c r="B1535">
        <v>18063210616</v>
      </c>
      <c r="C1535">
        <v>2027</v>
      </c>
      <c r="E1535" t="e">
        <f>-(IF(VLOOKUP(B1535,'2023 Z Scores'!$A$1:$K$309,11,FALSE)&gt;2,VLOOKUP(B1535,'2023 Z Scores'!$A$1:$K$309,10,FALSE)/VLOOKUP(B1535,'2023 Z Scores'!$A$1:$K$309,11,FALSE),"Not Enough data"))</f>
        <v>#VALUE!</v>
      </c>
      <c r="F1535" t="str">
        <f>IF(VLOOKUP(A1535,'Delta Z Scores'!$A$1:$N$1541,14,FALSE)&gt;2,VLOOKUP(A1535,'Delta Z Scores'!$A$1:$N$1541,13,FALSE)/VLOOKUP(A1535,'Delta Z Scores'!$A$1:$N$1541,14,FALSE),"Not Enough Data")</f>
        <v>Not Enough Data</v>
      </c>
      <c r="G1535" t="str">
        <f>IF(VLOOKUP(A1535,'Forecast Z Scores'!$A$1:$N$1541,14,FALSE)&gt;2,VLOOKUP(A1535,'Forecast Z Scores'!$A$1:$N$1541,13,FALSE)/VLOOKUP(A1535,'Forecast Z Scores'!$A$1:$N$1541,14,FALSE),"Not Enough Data")</f>
        <v>Not Enough Data</v>
      </c>
      <c r="H1535" t="s">
        <v>203</v>
      </c>
    </row>
    <row r="1536" spans="1:8" x14ac:dyDescent="0.35">
      <c r="A1536" t="str">
        <f t="shared" si="23"/>
        <v>18063210616_2028</v>
      </c>
      <c r="B1536">
        <v>18063210616</v>
      </c>
      <c r="C1536">
        <v>2028</v>
      </c>
      <c r="E1536" t="e">
        <f>-(IF(VLOOKUP(B1536,'2023 Z Scores'!$A$1:$K$309,11,FALSE)&gt;2,VLOOKUP(B1536,'2023 Z Scores'!$A$1:$K$309,10,FALSE)/VLOOKUP(B1536,'2023 Z Scores'!$A$1:$K$309,11,FALSE),"Not Enough data"))</f>
        <v>#VALUE!</v>
      </c>
      <c r="F1536" t="str">
        <f>IF(VLOOKUP(A1536,'Delta Z Scores'!$A$1:$N$1541,14,FALSE)&gt;2,VLOOKUP(A1536,'Delta Z Scores'!$A$1:$N$1541,13,FALSE)/VLOOKUP(A1536,'Delta Z Scores'!$A$1:$N$1541,14,FALSE),"Not Enough Data")</f>
        <v>Not Enough Data</v>
      </c>
      <c r="G1536" t="str">
        <f>IF(VLOOKUP(A1536,'Forecast Z Scores'!$A$1:$N$1541,14,FALSE)&gt;2,VLOOKUP(A1536,'Forecast Z Scores'!$A$1:$N$1541,13,FALSE)/VLOOKUP(A1536,'Forecast Z Scores'!$A$1:$N$1541,14,FALSE),"Not Enough Data")</f>
        <v>Not Enough Data</v>
      </c>
      <c r="H1536" t="s">
        <v>203</v>
      </c>
    </row>
    <row r="1537" spans="1:8" x14ac:dyDescent="0.35">
      <c r="A1537" t="str">
        <f t="shared" si="23"/>
        <v>18063210617_2024</v>
      </c>
      <c r="B1537">
        <v>18063210617</v>
      </c>
      <c r="C1537">
        <v>2024</v>
      </c>
      <c r="E1537" t="e">
        <f>-(IF(VLOOKUP(B1537,'2023 Z Scores'!$A$1:$K$309,11,FALSE)&gt;2,VLOOKUP(B1537,'2023 Z Scores'!$A$1:$K$309,10,FALSE)/VLOOKUP(B1537,'2023 Z Scores'!$A$1:$K$309,11,FALSE),"Not Enough data"))</f>
        <v>#VALUE!</v>
      </c>
      <c r="F1537" t="str">
        <f>IF(VLOOKUP(A1537,'Delta Z Scores'!$A$1:$N$1541,14,FALSE)&gt;2,VLOOKUP(A1537,'Delta Z Scores'!$A$1:$N$1541,13,FALSE)/VLOOKUP(A1537,'Delta Z Scores'!$A$1:$N$1541,14,FALSE),"Not Enough Data")</f>
        <v>Not Enough Data</v>
      </c>
      <c r="G1537" t="str">
        <f>IF(VLOOKUP(A1537,'Forecast Z Scores'!$A$1:$N$1541,14,FALSE)&gt;2,VLOOKUP(A1537,'Forecast Z Scores'!$A$1:$N$1541,13,FALSE)/VLOOKUP(A1537,'Forecast Z Scores'!$A$1:$N$1541,14,FALSE),"Not Enough Data")</f>
        <v>Not Enough Data</v>
      </c>
      <c r="H1537" t="s">
        <v>203</v>
      </c>
    </row>
    <row r="1538" spans="1:8" x14ac:dyDescent="0.35">
      <c r="A1538" t="str">
        <f t="shared" si="23"/>
        <v>18063210617_2025</v>
      </c>
      <c r="B1538">
        <v>18063210617</v>
      </c>
      <c r="C1538">
        <v>2025</v>
      </c>
      <c r="E1538" t="e">
        <f>-(IF(VLOOKUP(B1538,'2023 Z Scores'!$A$1:$K$309,11,FALSE)&gt;2,VLOOKUP(B1538,'2023 Z Scores'!$A$1:$K$309,10,FALSE)/VLOOKUP(B1538,'2023 Z Scores'!$A$1:$K$309,11,FALSE),"Not Enough data"))</f>
        <v>#VALUE!</v>
      </c>
      <c r="F1538" t="str">
        <f>IF(VLOOKUP(A1538,'Delta Z Scores'!$A$1:$N$1541,14,FALSE)&gt;2,VLOOKUP(A1538,'Delta Z Scores'!$A$1:$N$1541,13,FALSE)/VLOOKUP(A1538,'Delta Z Scores'!$A$1:$N$1541,14,FALSE),"Not Enough Data")</f>
        <v>Not Enough Data</v>
      </c>
      <c r="G1538" t="str">
        <f>IF(VLOOKUP(A1538,'Forecast Z Scores'!$A$1:$N$1541,14,FALSE)&gt;2,VLOOKUP(A1538,'Forecast Z Scores'!$A$1:$N$1541,13,FALSE)/VLOOKUP(A1538,'Forecast Z Scores'!$A$1:$N$1541,14,FALSE),"Not Enough Data")</f>
        <v>Not Enough Data</v>
      </c>
      <c r="H1538" t="s">
        <v>203</v>
      </c>
    </row>
    <row r="1539" spans="1:8" x14ac:dyDescent="0.35">
      <c r="A1539" t="str">
        <f t="shared" ref="A1539:A1541" si="24">TEXT(B1539,0)&amp;"_"&amp;TEXT(C1539,0)</f>
        <v>18063210617_2026</v>
      </c>
      <c r="B1539">
        <v>18063210617</v>
      </c>
      <c r="C1539">
        <v>2026</v>
      </c>
      <c r="E1539" t="e">
        <f>-(IF(VLOOKUP(B1539,'2023 Z Scores'!$A$1:$K$309,11,FALSE)&gt;2,VLOOKUP(B1539,'2023 Z Scores'!$A$1:$K$309,10,FALSE)/VLOOKUP(B1539,'2023 Z Scores'!$A$1:$K$309,11,FALSE),"Not Enough data"))</f>
        <v>#VALUE!</v>
      </c>
      <c r="F1539" t="str">
        <f>IF(VLOOKUP(A1539,'Delta Z Scores'!$A$1:$N$1541,14,FALSE)&gt;2,VLOOKUP(A1539,'Delta Z Scores'!$A$1:$N$1541,13,FALSE)/VLOOKUP(A1539,'Delta Z Scores'!$A$1:$N$1541,14,FALSE),"Not Enough Data")</f>
        <v>Not Enough Data</v>
      </c>
      <c r="G1539" t="str">
        <f>IF(VLOOKUP(A1539,'Forecast Z Scores'!$A$1:$N$1541,14,FALSE)&gt;2,VLOOKUP(A1539,'Forecast Z Scores'!$A$1:$N$1541,13,FALSE)/VLOOKUP(A1539,'Forecast Z Scores'!$A$1:$N$1541,14,FALSE),"Not Enough Data")</f>
        <v>Not Enough Data</v>
      </c>
      <c r="H1539" t="s">
        <v>203</v>
      </c>
    </row>
    <row r="1540" spans="1:8" x14ac:dyDescent="0.35">
      <c r="A1540" t="str">
        <f t="shared" si="24"/>
        <v>18063210617_2027</v>
      </c>
      <c r="B1540">
        <v>18063210617</v>
      </c>
      <c r="C1540">
        <v>2027</v>
      </c>
      <c r="E1540" t="e">
        <f>-(IF(VLOOKUP(B1540,'2023 Z Scores'!$A$1:$K$309,11,FALSE)&gt;2,VLOOKUP(B1540,'2023 Z Scores'!$A$1:$K$309,10,FALSE)/VLOOKUP(B1540,'2023 Z Scores'!$A$1:$K$309,11,FALSE),"Not Enough data"))</f>
        <v>#VALUE!</v>
      </c>
      <c r="F1540" t="str">
        <f>IF(VLOOKUP(A1540,'Delta Z Scores'!$A$1:$N$1541,14,FALSE)&gt;2,VLOOKUP(A1540,'Delta Z Scores'!$A$1:$N$1541,13,FALSE)/VLOOKUP(A1540,'Delta Z Scores'!$A$1:$N$1541,14,FALSE),"Not Enough Data")</f>
        <v>Not Enough Data</v>
      </c>
      <c r="G1540" t="str">
        <f>IF(VLOOKUP(A1540,'Forecast Z Scores'!$A$1:$N$1541,14,FALSE)&gt;2,VLOOKUP(A1540,'Forecast Z Scores'!$A$1:$N$1541,13,FALSE)/VLOOKUP(A1540,'Forecast Z Scores'!$A$1:$N$1541,14,FALSE),"Not Enough Data")</f>
        <v>Not Enough Data</v>
      </c>
      <c r="H1540" t="s">
        <v>203</v>
      </c>
    </row>
    <row r="1541" spans="1:8" x14ac:dyDescent="0.35">
      <c r="A1541" t="str">
        <f t="shared" si="24"/>
        <v>18063210617_2028</v>
      </c>
      <c r="B1541">
        <v>18063210617</v>
      </c>
      <c r="C1541">
        <v>2028</v>
      </c>
      <c r="E1541" t="e">
        <f>-(IF(VLOOKUP(B1541,'2023 Z Scores'!$A$1:$K$309,11,FALSE)&gt;2,VLOOKUP(B1541,'2023 Z Scores'!$A$1:$K$309,10,FALSE)/VLOOKUP(B1541,'2023 Z Scores'!$A$1:$K$309,11,FALSE),"Not Enough data"))</f>
        <v>#VALUE!</v>
      </c>
      <c r="F1541" t="str">
        <f>IF(VLOOKUP(A1541,'Delta Z Scores'!$A$1:$N$1541,14,FALSE)&gt;2,VLOOKUP(A1541,'Delta Z Scores'!$A$1:$N$1541,13,FALSE)/VLOOKUP(A1541,'Delta Z Scores'!$A$1:$N$1541,14,FALSE),"Not Enough Data")</f>
        <v>Not Enough Data</v>
      </c>
      <c r="G1541" t="str">
        <f>IF(VLOOKUP(A1541,'Forecast Z Scores'!$A$1:$N$1541,14,FALSE)&gt;2,VLOOKUP(A1541,'Forecast Z Scores'!$A$1:$N$1541,13,FALSE)/VLOOKUP(A1541,'Forecast Z Scores'!$A$1:$N$1541,14,FALSE),"Not Enough Data")</f>
        <v>Not Enough Data</v>
      </c>
      <c r="H1541" t="s">
        <v>203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Project Journal</vt:lpstr>
      <vt:lpstr>Indicator ranking</vt:lpstr>
      <vt:lpstr>Indicator Allignment</vt:lpstr>
      <vt:lpstr>2023 Z Scores</vt:lpstr>
      <vt:lpstr>Delta Z Scores</vt:lpstr>
      <vt:lpstr>Forecast Z Scores</vt:lpstr>
      <vt:lpstr>Composite Gentrification 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Flaim</dc:creator>
  <cp:lastModifiedBy>Thomas Flaim</cp:lastModifiedBy>
  <dcterms:created xsi:type="dcterms:W3CDTF">2025-05-10T18:18:30Z</dcterms:created>
  <dcterms:modified xsi:type="dcterms:W3CDTF">2025-06-26T19:25:30Z</dcterms:modified>
</cp:coreProperties>
</file>