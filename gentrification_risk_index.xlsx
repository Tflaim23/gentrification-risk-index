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94603F21-C697-4A2B-B9B9-1FDF3B2675C3}" xr6:coauthVersionLast="47" xr6:coauthVersionMax="47" xr10:uidLastSave="{00000000-0000-0000-0000-000000000000}"/>
  <bookViews>
    <workbookView xWindow="-80" yWindow="-80" windowWidth="19360" windowHeight="11440" xr2:uid="{0B6FBAD5-73A5-4EC5-9B05-79911AEEB115}"/>
  </bookViews>
  <sheets>
    <sheet name="Project Journal" sheetId="1" r:id="rId1"/>
    <sheet name="Indicator ranking" sheetId="6" r:id="rId2"/>
    <sheet name="Indicator Allignment" sheetId="60" r:id="rId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60" l="1"/>
  <c r="A4" i="60"/>
  <c r="A5" i="60"/>
  <c r="A6" i="60"/>
  <c r="A7" i="60"/>
  <c r="A8" i="60"/>
  <c r="A9" i="60"/>
  <c r="A2" i="60"/>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<sst xmlns="http://schemas.openxmlformats.org/spreadsheetml/2006/main" count="190" uniqueCount="166">
  <si>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</si>
  <si>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</si>
  <si>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</si>
  <si>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</si>
  <si>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</si>
  <si>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</si>
  <si>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</si>
  <si>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</si>
  <si>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</si>
  <si>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</si>
  <si>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</si>
  <si>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</si>
  <si>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</si>
  <si>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</si>
  <si>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</si>
  <si>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</si>
  <si>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</si>
  <si>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</si>
  <si>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</si>
  <si>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</si>
  <si>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</si>
  <si>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</si>
  <si>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</si>
  <si>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</si>
  <si>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</si>
  <si>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</si>
  <si>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</si>
  <si>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</si>
  <si>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</si>
  <si>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</si>
  <si>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</si>
  <si>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</si>
  <si>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</si>
  <si>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</si>
  <si>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</si>
  <si>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</si>
  <si>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</si>
  <si>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</si>
  <si>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</si>
  <si>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</si>
  <si>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</si>
  <si>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</si>
  <si>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</si>
  <si>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</si>
  <si>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</si>
  <si>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</si>
  <si>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</si>
  <si>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</si>
  <si>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</si>
  <si>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</si>
  <si>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</si>
  <si>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</si>
  <si>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</si>
  <si>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</si>
  <si>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</si>
  <si>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</si>
  <si>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</si>
  <si>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</si>
  <si>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</si>
  <si>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</si>
  <si>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</si>
  <si>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</si>
  <si>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</si>
  <si>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</si>
  <si>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</si>
  <si>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</si>
  <si>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</si>
  <si>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</si>
  <si>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</si>
  <si>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</si>
  <si>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</si>
  <si>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</si>
  <si>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</si>
  <si>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</si>
  <si>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</si>
  <si>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</si>
  <si>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</si>
  <si>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</si>
  <si>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</si>
  <si>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</si>
  <si>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</si>
  <si>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</si>
  <si>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</si>
  <si>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</si>
  <si>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 xml:space="preserve">Since Housing Tenure Change Over time, Rent Burden % and Owner Occupancy rate were all highly rated and similar and not all included may attempt to combine into a single Housing Pressure index if possible </t>
  </si>
  <si>
    <t>Download ZORI, ZHVI and Zip to tract data. Use ChatGPT to help understand how to use mutate(), pivot_longer() and left_join()</t>
  </si>
  <si>
    <t>Collect 311 complain calls</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</si>
  <si>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</si>
  <si>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</si>
  <si>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</si>
  <si>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</si>
  <si>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</si>
  <si>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</si>
  <si>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</si>
  <si>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</si>
  <si>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</si>
  <si>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</si>
  <si>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</si>
  <si>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</si>
  <si>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</si>
  <si>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</si>
  <si>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</si>
  <si>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</si>
  <si>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</si>
  <si>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</si>
  <si>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</si>
  <si>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</si>
  <si>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</si>
  <si>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</si>
  <si>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</si>
  <si>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Forecast Vacancy</t>
  </si>
  <si>
    <t>Used ChatGPT for sanity checks, not listed in scripts. Also used ChatGPT to understand the pipe operator to make things go faster.</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</si>
  <si>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</si>
  <si>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</si>
  <si>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</si>
  <si>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</si>
  <si>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</si>
  <si>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</si>
  <si>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</si>
  <si>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</si>
  <si>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</si>
  <si>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</si>
  <si>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</si>
  <si>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Forecast Housing Preassure</t>
  </si>
  <si>
    <t>Housing preassure value defined as % rent burdned houses times renter occupancy rate to fully capture the amount of renters and how much strain they are under</t>
  </si>
  <si>
    <t>Forecast 311 complaints</t>
  </si>
  <si>
    <t>Obvious visual trends but it was forecasting too flat so I forced it to fit a trend</t>
  </si>
  <si>
    <t>Add Forced Trend</t>
  </si>
  <si>
    <t>Add the same Force trend to ZOR, ZHVI and Income forecasts since these logically will always be captured by a trend through time, usually upwards. Leave education, vacancy, housing pressure and Demographics as is to autofit because they are more volatile and don't have a clear typical trend over time like how inflation and GDP growth would effect the others</t>
  </si>
  <si>
    <t>Normalize forecast and forecast deltas</t>
  </si>
  <si>
    <t>Factors</t>
  </si>
  <si>
    <t>Delta</t>
  </si>
  <si>
    <t>Value</t>
  </si>
  <si>
    <t>Positive</t>
  </si>
  <si>
    <t>Negative</t>
  </si>
  <si>
    <t>Each indicator needs directional alignment  based on how it effects gentrification before being combined some may need to be negated. Touched on this in the factor assessment document but clearly laid out in the indicator alignment sheet.</t>
  </si>
  <si>
    <t>Normalize raw forecast values as well as year over year delta for each indicator. After averaging those two scores out it will make it easier to combine with the other 7 indicators to create a composite gentrification score out of 8.</t>
  </si>
  <si>
    <t>For some of the forecasts some tracts are still somewhat static forecasts with (1,1,0) or just 0s because a lack of or bad data. This is fine because for the final weighting they will either be not included or just weigh the overall normalized gentrification score to be less extreme, either work out out since there is a degree of uncertainty.</t>
  </si>
  <si>
    <t>Chose forecasting all 8 individually,  2024-2028, but 2025-2028 being the only true future forecasts from current time, 2024 will be used as lag and can serve as a good reliability check when the data is released</t>
  </si>
  <si>
    <t>Steep learning curve for the first two forecasts using tsibble to convert then using fable to forecast, but after learning the basics it is plug and chug with some changes</t>
  </si>
  <si>
    <t>Attempt 1: normalized forecasts into one gentrification score</t>
  </si>
  <si>
    <t>Noisy and unstable forecasts, have to go back and smooth all my forecasts then rerun the normalization scripts</t>
  </si>
  <si>
    <t>Overhaul forecasting and normalization scripts</t>
  </si>
  <si>
    <t>Reviewing my work I found two issues. One was that some of the forecasts were volatile and this was fixed by applying a 3 year trailing average. The second issue was some of the forecasts would explode do to what seems like clerical errors in the data for example a data point being in the 90s while all other are in the 900s, this was resolved by clipping values that jump or fall 5x</t>
  </si>
  <si>
    <t>log transformed like all the monetary indicators even though the data acts like a percent it is a little skewed so I wanted to penalize high end growth</t>
  </si>
  <si>
    <t>Long process compared to all other stages of the project, lots of troubleshooting help from chat gpt</t>
  </si>
  <si>
    <t>Attempt 2: normalized forecasts into one gentrification score</t>
  </si>
  <si>
    <t>Two  changes here as well: 2:1 ratio for delta z scores to raw forecast z scores since the deltas are more indicative of the direction it is headed and gentrification is dynamic. Second change is adding 2024 forecast values and also going back and grabbing 2023 raw values for the lag for 2024 deltas.</t>
  </si>
  <si>
    <t xml:space="preserve">Similar process, just logged for the forecast then exponentiated </t>
  </si>
  <si>
    <t>"Factor" and "Indicator" are used interchangeably and also file and folder names may be slightly incosistent/misleading but I wanted to make sure all the scripts were 100% reproducable so they were left as is</t>
  </si>
  <si>
    <t>Might decide to try 3:1 or other ratios internally to see how it changes the GRI. Also considered forecasting 2023 for the tracts that do not have 2023 raw data but noise and uncertainty makes it pointless just leave it out</t>
  </si>
  <si>
    <t>Nuanced 311 calls</t>
  </si>
  <si>
    <t>(For early stage gentrification, sometimes opposite for late stage, opposite for late)</t>
  </si>
  <si>
    <t>Since in early stage gentrifying neighborhoods more 311 calls indicates more gentrification, but in late stage it is the opposite I took a snapshot of my top 3 indicators (income, demographics and rent) in 2024 to detirmine if each tract was early stage or late stage currently and depending on that flip the impact of 311 calls or if in is uncertain flatten it to 0 since it won't give a great signal</t>
  </si>
  <si>
    <t xml:space="preserve">Also categorized tratcs if they were detirmed to be super early stage or super late stage currently based on the indicators and gave these a 2x multiplier because we can be even more confident about the effects of these </t>
  </si>
  <si>
    <t>Left 311 calls out of the GBI because their impact on gentrification is dependent on the stage of gentrification so adding them really won't add much value even if I created another glimpse of the top 3 indicators to base it off of like when I forecasted the 311 calls. Also still negate vacancy</t>
  </si>
  <si>
    <t>Create Gentrification baseline index</t>
  </si>
  <si>
    <t>Attempt 3: normalized forecasts into one gentrification score</t>
  </si>
  <si>
    <t>Created a 2023 baseline to add context to what stage of gentrification the tract is currently in before the forecast. For tracts with no 2023 data available it was interpolated. Also will use these interpolated values for the 2024 deltas.</t>
  </si>
  <si>
    <t>After creating the interpolated raw data to create a 2023 baseline it makes sense to use this new data for my 2024 deltas  since there will be less missing data replaced with reasonable interpolations</t>
  </si>
  <si>
    <t>Use interpolated 2023 values for 2024 deltas in normalization scripts</t>
  </si>
  <si>
    <t>Overhaul forecasting scripts again</t>
  </si>
  <si>
    <t>3 year rolling average</t>
  </si>
  <si>
    <t xml:space="preserve">Reviewing my work I found another issue, for almost all tracts and all 8 indicators the 2025 and 2026 forecasts were going flat and almost identical across the board. To fix this tried different smoothing methods and decided with </t>
  </si>
  <si>
    <t>Change from rolling average to LOESS because LOESS adapts to local trends without flattening abrupt but valid shifts which was happening in 2026 (the first year the rolling average was being applied)</t>
  </si>
  <si>
    <t>Not going to implement it into the forecast scripts because it is generally a fair enough estamite for the deltas but not rigouous enough to impact my forecasts of the raw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</si>
</sst>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3">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abSelected="1" topLeftCell="A32" zoomScale="98" workbookViewId="0">
      <selection activeCell="C34" sqref="C34"/>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87</v>
      </c>
      <c r="B1" s="1" t="s">
        <v>0</v>
      </c>
      <c r="C1" s="1" t="s">
        <v>1</v>
      </c>
      <c r="D1" s="1" t="s">
        <v>98</v>
      </c>
      <c r="E1" s="1"/>
      <c r="F1" s="1"/>
      <c r="G1" s="1"/>
      <c r="H1" s="1"/>
      <c r="I1" s="1"/>
    </row>
    <row r="2" spans="1:9" ht="117.5" customHeight="1" x14ac:dyDescent="0.35">
      <c r="A2" s="2">
        <v>45787</v>
      </c>
      <c r="B2" s="1" t="s">
        <v>2</v>
      </c>
      <c r="C2" s="1" t="s">
        <v>5</v>
      </c>
      <c r="D2" s="1" t="s">
        <v>149</v>
      </c>
      <c r="E2" s="1"/>
      <c r="F2" s="1"/>
      <c r="G2" s="1"/>
      <c r="H2" s="1"/>
      <c r="I2" s="1"/>
    </row>
    <row r="3" spans="1:9" ht="65.5" customHeight="1" x14ac:dyDescent="0.35">
      <c r="A3" s="2">
        <v>45787</v>
      </c>
      <c r="B3" s="1" t="s">
        <v>102</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93</v>
      </c>
      <c r="D5" s="1" t="s">
        <v>70</v>
      </c>
      <c r="E5" s="1"/>
      <c r="F5" s="1"/>
      <c r="G5" s="1"/>
      <c r="H5" s="1"/>
      <c r="I5" s="1"/>
    </row>
    <row r="6" spans="1:9" ht="103" customHeight="1" x14ac:dyDescent="0.35">
      <c r="A6" s="2">
        <v>45789</v>
      </c>
      <c r="B6" s="1" t="s">
        <v>103</v>
      </c>
      <c r="C6" s="1" t="s">
        <v>83</v>
      </c>
      <c r="D6" s="1" t="s">
        <v>84</v>
      </c>
      <c r="E6" s="1"/>
      <c r="F6" s="1"/>
      <c r="G6" s="1"/>
      <c r="H6" s="1"/>
      <c r="I6" s="1"/>
    </row>
    <row r="7" spans="1:9" ht="91.5" customHeight="1" x14ac:dyDescent="0.35">
      <c r="A7" s="2">
        <v>45789</v>
      </c>
      <c r="B7" s="1" t="s">
        <v>100</v>
      </c>
      <c r="C7" s="1" t="s">
        <v>90</v>
      </c>
      <c r="D7" s="1" t="s">
        <v>111</v>
      </c>
      <c r="E7" s="1"/>
      <c r="F7" s="1"/>
      <c r="G7" s="1"/>
      <c r="H7" s="1"/>
      <c r="I7" s="1"/>
    </row>
    <row r="8" spans="1:9" ht="180" customHeight="1" x14ac:dyDescent="0.35">
      <c r="A8" s="2">
        <v>45791</v>
      </c>
      <c r="B8" s="1" t="s">
        <v>101</v>
      </c>
      <c r="C8" s="1" t="s">
        <v>85</v>
      </c>
      <c r="D8" s="1" t="s">
        <v>88</v>
      </c>
      <c r="E8" s="1"/>
      <c r="F8" s="1"/>
      <c r="G8" s="1"/>
      <c r="H8" s="1"/>
      <c r="I8" s="1"/>
    </row>
    <row r="9" spans="1:9" ht="74" customHeight="1" x14ac:dyDescent="0.35">
      <c r="A9" s="2">
        <v>45793</v>
      </c>
      <c r="B9" s="1" t="s">
        <v>86</v>
      </c>
      <c r="C9" s="1" t="s">
        <v>89</v>
      </c>
      <c r="D9" s="1" t="s">
        <v>97</v>
      </c>
      <c r="E9" s="1"/>
      <c r="F9" s="1"/>
      <c r="G9" s="1"/>
      <c r="H9" s="1"/>
      <c r="I9" s="1"/>
    </row>
    <row r="10" spans="1:9" ht="137.5" customHeight="1" x14ac:dyDescent="0.35">
      <c r="A10" s="2">
        <v>45794</v>
      </c>
      <c r="B10" s="1" t="s">
        <v>95</v>
      </c>
      <c r="C10" s="1" t="s">
        <v>94</v>
      </c>
      <c r="D10" s="1" t="s">
        <v>138</v>
      </c>
      <c r="E10" s="1"/>
      <c r="F10" s="1"/>
      <c r="G10" s="1"/>
      <c r="H10" s="1"/>
      <c r="I10" s="1"/>
    </row>
    <row r="11" spans="1:9" ht="165.5" customHeight="1" x14ac:dyDescent="0.35">
      <c r="A11" s="2">
        <v>45794</v>
      </c>
      <c r="B11" s="1" t="s">
        <v>91</v>
      </c>
      <c r="C11" s="1" t="s">
        <v>92</v>
      </c>
      <c r="D11" s="1" t="s">
        <v>99</v>
      </c>
      <c r="E11" s="1"/>
      <c r="F11" s="1"/>
      <c r="G11" s="1"/>
      <c r="H11" s="1"/>
      <c r="I11" s="1"/>
    </row>
    <row r="12" spans="1:9" ht="149.5" customHeight="1" x14ac:dyDescent="0.35">
      <c r="A12" s="2">
        <v>45794</v>
      </c>
      <c r="B12" s="1" t="s">
        <v>114</v>
      </c>
      <c r="C12" s="1" t="s">
        <v>120</v>
      </c>
      <c r="D12" s="1"/>
      <c r="E12" s="1"/>
      <c r="F12" s="1"/>
      <c r="G12" s="1"/>
      <c r="H12" s="1"/>
      <c r="I12" s="1"/>
    </row>
    <row r="13" spans="1:9" ht="51" customHeight="1" x14ac:dyDescent="0.35">
      <c r="A13" s="2">
        <v>45796</v>
      </c>
      <c r="B13" s="1" t="s">
        <v>96</v>
      </c>
      <c r="C13" s="1" t="s">
        <v>104</v>
      </c>
      <c r="D13" s="1"/>
      <c r="E13" s="1"/>
      <c r="F13" s="1"/>
      <c r="G13" s="1"/>
      <c r="H13" s="1"/>
      <c r="I13" s="1"/>
    </row>
    <row r="14" spans="1:9" ht="67.5" customHeight="1" x14ac:dyDescent="0.35">
      <c r="A14" s="2">
        <v>45797</v>
      </c>
      <c r="B14" s="1" t="s">
        <v>105</v>
      </c>
      <c r="C14" s="1" t="s">
        <v>106</v>
      </c>
      <c r="D14" s="1"/>
      <c r="E14" s="1"/>
      <c r="F14" s="1"/>
      <c r="G14" s="1"/>
      <c r="H14" s="1"/>
      <c r="I14" s="1"/>
    </row>
    <row r="15" spans="1:9" ht="51" customHeight="1" x14ac:dyDescent="0.35">
      <c r="A15" s="2">
        <v>45799</v>
      </c>
      <c r="B15" s="1" t="s">
        <v>107</v>
      </c>
      <c r="C15" s="1" t="s">
        <v>108</v>
      </c>
      <c r="D15" s="1"/>
      <c r="E15" s="1"/>
      <c r="F15" s="1"/>
      <c r="G15" s="1"/>
      <c r="H15" s="1"/>
      <c r="I15" s="1"/>
    </row>
    <row r="16" spans="1:9" ht="40" customHeight="1" x14ac:dyDescent="0.35">
      <c r="A16" s="2">
        <v>45800</v>
      </c>
      <c r="B16" s="1" t="s">
        <v>109</v>
      </c>
      <c r="C16" s="1" t="s">
        <v>148</v>
      </c>
      <c r="D16" s="1"/>
      <c r="E16" s="1"/>
      <c r="F16" s="1"/>
      <c r="G16" s="1"/>
      <c r="H16" s="1"/>
      <c r="I16" s="1"/>
    </row>
    <row r="17" spans="1:9" ht="82.5" customHeight="1" x14ac:dyDescent="0.35">
      <c r="A17" s="2">
        <v>45801</v>
      </c>
      <c r="B17" s="1" t="s">
        <v>110</v>
      </c>
      <c r="C17" s="1" t="s">
        <v>117</v>
      </c>
      <c r="D17" s="1" t="s">
        <v>139</v>
      </c>
      <c r="E17" s="1"/>
      <c r="F17" s="1"/>
      <c r="G17" s="1"/>
      <c r="H17" s="1"/>
      <c r="I17" s="1"/>
    </row>
    <row r="18" spans="1:9" ht="86.5" customHeight="1" x14ac:dyDescent="0.35">
      <c r="A18" s="2">
        <v>45437</v>
      </c>
      <c r="B18" s="1" t="s">
        <v>112</v>
      </c>
      <c r="C18" s="1" t="s">
        <v>113</v>
      </c>
      <c r="D18" s="1" t="s">
        <v>115</v>
      </c>
      <c r="E18" s="1"/>
      <c r="F18" s="1"/>
      <c r="G18" s="1"/>
      <c r="H18" s="1"/>
      <c r="I18" s="1"/>
    </row>
    <row r="19" spans="1:9" ht="126" customHeight="1" x14ac:dyDescent="0.35">
      <c r="A19" s="2">
        <v>45437</v>
      </c>
      <c r="B19" s="1" t="s">
        <v>114</v>
      </c>
      <c r="C19" s="1" t="s">
        <v>137</v>
      </c>
      <c r="D19" s="1"/>
      <c r="E19" s="1"/>
      <c r="F19" s="1"/>
      <c r="G19" s="1"/>
      <c r="H19" s="1"/>
      <c r="I19" s="1"/>
    </row>
    <row r="20" spans="1:9" ht="41.5" customHeight="1" x14ac:dyDescent="0.35">
      <c r="A20" s="2">
        <v>45437</v>
      </c>
      <c r="B20" s="1" t="s">
        <v>116</v>
      </c>
      <c r="C20" s="1" t="s">
        <v>117</v>
      </c>
      <c r="D20" s="1"/>
      <c r="E20" s="1"/>
      <c r="F20" s="1"/>
      <c r="G20" s="1"/>
      <c r="H20" s="1"/>
      <c r="I20" s="1"/>
    </row>
    <row r="21" spans="1:9" ht="24.5" customHeight="1" x14ac:dyDescent="0.35">
      <c r="A21" s="2">
        <v>45804</v>
      </c>
      <c r="B21" s="1" t="s">
        <v>118</v>
      </c>
      <c r="C21" s="1" t="s">
        <v>119</v>
      </c>
      <c r="D21" s="1"/>
      <c r="E21" s="1"/>
      <c r="F21" s="1"/>
      <c r="G21" s="1"/>
      <c r="H21" s="1"/>
      <c r="I21" s="1"/>
    </row>
    <row r="22" spans="1:9" ht="79" customHeight="1" x14ac:dyDescent="0.35">
      <c r="A22" s="2">
        <v>45805</v>
      </c>
      <c r="B22" s="1" t="s">
        <v>121</v>
      </c>
      <c r="C22" s="1" t="s">
        <v>122</v>
      </c>
      <c r="D22" s="1"/>
      <c r="E22" s="1"/>
      <c r="F22" s="1"/>
      <c r="G22" s="1"/>
      <c r="H22" s="1"/>
      <c r="I22" s="1"/>
    </row>
    <row r="23" spans="1:9" ht="76" customHeight="1" x14ac:dyDescent="0.35">
      <c r="A23" s="2">
        <v>45806</v>
      </c>
      <c r="B23" s="1" t="s">
        <v>123</v>
      </c>
      <c r="C23" s="1" t="s">
        <v>124</v>
      </c>
      <c r="D23" s="1" t="s">
        <v>144</v>
      </c>
      <c r="E23" s="1"/>
      <c r="F23" s="1"/>
      <c r="G23" s="1"/>
      <c r="H23" s="1"/>
      <c r="I23" s="1"/>
    </row>
    <row r="24" spans="1:9" ht="64.5" customHeight="1" x14ac:dyDescent="0.35">
      <c r="A24" s="2">
        <v>45807</v>
      </c>
      <c r="B24" s="1" t="s">
        <v>125</v>
      </c>
      <c r="C24" s="1" t="s">
        <v>126</v>
      </c>
      <c r="D24" s="1"/>
      <c r="E24" s="1"/>
      <c r="F24" s="1"/>
      <c r="G24" s="1"/>
      <c r="H24" s="1"/>
      <c r="I24" s="1"/>
    </row>
    <row r="25" spans="1:9" ht="115.5" customHeight="1" x14ac:dyDescent="0.35">
      <c r="A25" s="2">
        <v>45807</v>
      </c>
      <c r="B25" s="1" t="s">
        <v>127</v>
      </c>
      <c r="C25" s="1" t="s">
        <v>128</v>
      </c>
      <c r="D25" s="1"/>
      <c r="E25" s="1"/>
      <c r="F25" s="1"/>
      <c r="G25" s="1"/>
      <c r="H25" s="1"/>
      <c r="I25" s="1"/>
    </row>
    <row r="26" spans="1:9" ht="111" customHeight="1" x14ac:dyDescent="0.35">
      <c r="A26" s="2">
        <v>45808</v>
      </c>
      <c r="B26" s="1" t="s">
        <v>129</v>
      </c>
      <c r="C26" s="1" t="s">
        <v>136</v>
      </c>
      <c r="D26" s="1" t="s">
        <v>135</v>
      </c>
      <c r="E26" s="1"/>
      <c r="F26" s="1"/>
      <c r="G26" s="1"/>
      <c r="H26" s="1"/>
      <c r="I26" s="1"/>
    </row>
    <row r="27" spans="1:9" ht="81" customHeight="1" x14ac:dyDescent="0.35">
      <c r="A27" s="2">
        <v>45812</v>
      </c>
      <c r="B27" s="1" t="s">
        <v>140</v>
      </c>
      <c r="C27" s="1" t="s">
        <v>141</v>
      </c>
      <c r="D27" s="1" t="s">
        <v>162</v>
      </c>
      <c r="E27" s="1"/>
      <c r="F27" s="1"/>
      <c r="G27" s="1"/>
      <c r="H27" s="1"/>
      <c r="I27" s="1"/>
    </row>
    <row r="28" spans="1:9" ht="134.5" customHeight="1" x14ac:dyDescent="0.35">
      <c r="A28" s="2">
        <v>45448</v>
      </c>
      <c r="B28" s="1" t="s">
        <v>142</v>
      </c>
      <c r="C28" s="1" t="s">
        <v>143</v>
      </c>
      <c r="D28" s="1" t="s">
        <v>145</v>
      </c>
      <c r="E28" s="1"/>
      <c r="F28" s="1"/>
      <c r="G28" s="1"/>
      <c r="H28" s="1"/>
      <c r="I28" s="1"/>
    </row>
    <row r="29" spans="1:9" ht="98.5" customHeight="1" x14ac:dyDescent="0.35">
      <c r="A29" s="2">
        <v>45454</v>
      </c>
      <c r="B29" s="1" t="s">
        <v>146</v>
      </c>
      <c r="C29" s="1" t="s">
        <v>147</v>
      </c>
      <c r="D29" s="1" t="s">
        <v>150</v>
      </c>
      <c r="E29" s="1"/>
      <c r="F29" s="1"/>
      <c r="G29" s="1"/>
      <c r="H29" s="1"/>
      <c r="I29" s="1"/>
    </row>
    <row r="30" spans="1:9" ht="138.5" customHeight="1" x14ac:dyDescent="0.35">
      <c r="A30" s="2">
        <v>45820</v>
      </c>
      <c r="B30" s="1" t="s">
        <v>151</v>
      </c>
      <c r="C30" s="1" t="s">
        <v>153</v>
      </c>
      <c r="D30" s="1" t="s">
        <v>154</v>
      </c>
      <c r="E30" s="1"/>
      <c r="F30" s="1"/>
      <c r="G30" s="1"/>
      <c r="H30" s="1"/>
      <c r="I30" s="1"/>
    </row>
    <row r="31" spans="1:9" ht="127.5" customHeight="1" x14ac:dyDescent="0.35">
      <c r="A31" s="2">
        <v>45821</v>
      </c>
      <c r="B31" s="1" t="s">
        <v>156</v>
      </c>
      <c r="C31" s="1" t="s">
        <v>158</v>
      </c>
      <c r="D31" s="1" t="s">
        <v>155</v>
      </c>
      <c r="E31" s="1"/>
      <c r="F31" s="1"/>
      <c r="G31" s="1"/>
      <c r="H31" s="1"/>
      <c r="I31" s="1"/>
    </row>
    <row r="32" spans="1:9" ht="85" customHeight="1" x14ac:dyDescent="0.35">
      <c r="A32" s="2">
        <v>45827</v>
      </c>
      <c r="B32" s="1" t="s">
        <v>160</v>
      </c>
      <c r="C32" s="1" t="s">
        <v>159</v>
      </c>
      <c r="D32" s="1" t="s">
        <v>165</v>
      </c>
      <c r="E32" s="1"/>
      <c r="F32" s="1"/>
      <c r="G32" s="1"/>
      <c r="H32" s="1"/>
      <c r="I32" s="1"/>
    </row>
    <row r="33" spans="1:9" ht="112" customHeight="1" x14ac:dyDescent="0.35">
      <c r="A33" s="2">
        <v>45828</v>
      </c>
      <c r="B33" s="1" t="s">
        <v>161</v>
      </c>
      <c r="C33" s="1" t="s">
        <v>163</v>
      </c>
      <c r="D33" s="1" t="s">
        <v>164</v>
      </c>
      <c r="E33" s="1"/>
      <c r="F33" s="1"/>
      <c r="G33" s="1"/>
      <c r="H33" s="1"/>
      <c r="I33" s="1"/>
    </row>
    <row r="34" spans="1:9" ht="72.5" x14ac:dyDescent="0.35">
      <c r="A34" s="2">
        <v>45830</v>
      </c>
      <c r="B34" s="1" t="s">
        <v>157</v>
      </c>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C1" zoomScale="82" workbookViewId="0">
      <selection activeCell="K7" sqref="K7"/>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77FC-7EC4-40B8-892C-AE96055A6E9E}">
  <dimension ref="A1:D9"/>
  <sheetViews>
    <sheetView workbookViewId="0">
      <selection activeCell="C5" sqref="C5"/>
    </sheetView>
  </sheetViews>
  <sheetFormatPr defaultRowHeight="14.5" x14ac:dyDescent="0.35"/>
  <cols>
    <col min="1" max="1" width="27.54296875" customWidth="1"/>
    <col min="2" max="2" width="11.54296875" customWidth="1"/>
  </cols>
  <sheetData>
    <row r="1" spans="1:4" x14ac:dyDescent="0.35">
      <c r="A1" t="s">
        <v>130</v>
      </c>
      <c r="B1" t="s">
        <v>132</v>
      </c>
      <c r="C1" t="s">
        <v>131</v>
      </c>
    </row>
    <row r="2" spans="1:4" x14ac:dyDescent="0.35">
      <c r="A2" t="str">
        <f>'Indicator ranking'!I2</f>
        <v>Median income growth</v>
      </c>
      <c r="B2" t="s">
        <v>133</v>
      </c>
      <c r="C2" t="s">
        <v>133</v>
      </c>
    </row>
    <row r="3" spans="1:4" x14ac:dyDescent="0.35">
      <c r="A3" t="str">
        <f>'Indicator ranking'!I3</f>
        <v>Demographic shift (% White)</v>
      </c>
      <c r="B3" t="s">
        <v>133</v>
      </c>
      <c r="C3" t="s">
        <v>133</v>
      </c>
    </row>
    <row r="4" spans="1:4" x14ac:dyDescent="0.35">
      <c r="A4" t="str">
        <f>'Indicator ranking'!I4</f>
        <v>Rent price growth</v>
      </c>
      <c r="B4" t="s">
        <v>133</v>
      </c>
      <c r="C4" t="s">
        <v>133</v>
      </c>
    </row>
    <row r="5" spans="1:4" x14ac:dyDescent="0.35">
      <c r="A5" t="str">
        <f>'Indicator ranking'!I5</f>
        <v>Vacancy rate</v>
      </c>
      <c r="B5" t="s">
        <v>134</v>
      </c>
      <c r="C5" t="s">
        <v>134</v>
      </c>
    </row>
    <row r="6" spans="1:4" x14ac:dyDescent="0.35">
      <c r="A6" t="str">
        <f>'Indicator ranking'!I6</f>
        <v>% Bachelor's degree+</v>
      </c>
      <c r="B6" t="s">
        <v>133</v>
      </c>
      <c r="C6" t="s">
        <v>133</v>
      </c>
    </row>
    <row r="7" spans="1:4" x14ac:dyDescent="0.35">
      <c r="A7" t="str">
        <f>'Indicator ranking'!I7</f>
        <v>Home value growth</v>
      </c>
      <c r="B7" t="s">
        <v>133</v>
      </c>
      <c r="C7" t="s">
        <v>133</v>
      </c>
    </row>
    <row r="8" spans="1:4" x14ac:dyDescent="0.35">
      <c r="A8" t="str">
        <f>'Indicator ranking'!I8</f>
        <v>Housing tenure change over time</v>
      </c>
      <c r="B8" t="s">
        <v>133</v>
      </c>
      <c r="C8" t="s">
        <v>133</v>
      </c>
    </row>
    <row r="9" spans="1:4" x14ac:dyDescent="0.35">
      <c r="A9" t="str">
        <f>'Indicator ranking'!I9</f>
        <v>311 complaints volume</v>
      </c>
      <c r="B9" t="s">
        <v>133</v>
      </c>
      <c r="C9" t="s">
        <v>133</v>
      </c>
      <c r="D9" t="s">
        <v>152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 Journal</vt:lpstr>
      <vt:lpstr>Indicator ranking</vt:lpstr>
      <vt:lpstr>Indicator Allignment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2025-06-22T20:48:19Z</dcterms:modified>
</cp:coreProperties>
</file>